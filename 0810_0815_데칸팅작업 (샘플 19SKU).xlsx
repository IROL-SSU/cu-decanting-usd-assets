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GF\Downloads\※ 숭실대 산학협력\"/>
    </mc:Choice>
  </mc:AlternateContent>
  <bookViews>
    <workbookView xWindow="1005" yWindow="1005" windowWidth="15000" windowHeight="10005"/>
  </bookViews>
  <sheets>
    <sheet name="SUMMARY" sheetId="4" r:id="rId1"/>
    <sheet name="상품별 작업시간" sheetId="7" r:id="rId2"/>
    <sheet name="Order" sheetId="5" r:id="rId3"/>
    <sheet name="RAW" sheetId="1" r:id="rId4"/>
  </sheets>
  <definedNames>
    <definedName name="_xlnm._FilterDatabase" localSheetId="3" hidden="1">RAW!$A$1:$AB$2217</definedName>
    <definedName name="_xlnm._FilterDatabase" localSheetId="1" hidden="1">'상품별 작업시간'!$A$3:$K$62</definedName>
  </definedNames>
  <calcPr calcId="162913"/>
  <pivotCaches>
    <pivotCache cacheId="41" r:id="rId5"/>
  </pivotCaches>
</workbook>
</file>

<file path=xl/calcChain.xml><?xml version="1.0" encoding="utf-8"?>
<calcChain xmlns="http://schemas.openxmlformats.org/spreadsheetml/2006/main">
  <c r="K12" i="7" l="1"/>
  <c r="K13" i="7"/>
  <c r="K16" i="7"/>
  <c r="K17" i="7"/>
  <c r="K18" i="7"/>
  <c r="K19" i="7"/>
  <c r="K20" i="7"/>
  <c r="K21" i="7"/>
  <c r="K22" i="7"/>
  <c r="K30" i="7"/>
  <c r="K31" i="7"/>
  <c r="K48" i="7"/>
  <c r="K49" i="7"/>
  <c r="K51" i="7"/>
  <c r="K52" i="7"/>
  <c r="K53" i="7"/>
  <c r="K54" i="7"/>
  <c r="K55" i="7"/>
  <c r="K56" i="7"/>
  <c r="N5" i="4"/>
  <c r="N6" i="4"/>
  <c r="N11" i="4" s="1"/>
  <c r="N7" i="4"/>
  <c r="N8" i="4"/>
  <c r="N9" i="4"/>
  <c r="N10" i="4"/>
  <c r="I4" i="7"/>
  <c r="J4" i="7" s="1"/>
  <c r="K4" i="7" s="1"/>
  <c r="I5" i="7"/>
  <c r="J5" i="7" s="1"/>
  <c r="K5" i="7" s="1"/>
  <c r="I6" i="7"/>
  <c r="J6" i="7" s="1"/>
  <c r="K6" i="7" s="1"/>
  <c r="I7" i="7"/>
  <c r="J7" i="7" s="1"/>
  <c r="K7" i="7" s="1"/>
  <c r="I8" i="7"/>
  <c r="J8" i="7" s="1"/>
  <c r="K8" i="7" s="1"/>
  <c r="I9" i="7"/>
  <c r="J9" i="7" s="1"/>
  <c r="K9" i="7" s="1"/>
  <c r="I10" i="7"/>
  <c r="J10" i="7" s="1"/>
  <c r="K10" i="7" s="1"/>
  <c r="I11" i="7"/>
  <c r="J11" i="7" s="1"/>
  <c r="K11" i="7" s="1"/>
  <c r="I12" i="7"/>
  <c r="J12" i="7" s="1"/>
  <c r="I13" i="7"/>
  <c r="J13" i="7" s="1"/>
  <c r="I14" i="7"/>
  <c r="J14" i="7" s="1"/>
  <c r="K14" i="7" s="1"/>
  <c r="I15" i="7"/>
  <c r="J15" i="7" s="1"/>
  <c r="K15" i="7" s="1"/>
  <c r="I16" i="7"/>
  <c r="J16" i="7" s="1"/>
  <c r="I17" i="7"/>
  <c r="J17" i="7" s="1"/>
  <c r="I18" i="7"/>
  <c r="J18" i="7" s="1"/>
  <c r="I19" i="7"/>
  <c r="J19" i="7" s="1"/>
  <c r="I20" i="7"/>
  <c r="J20" i="7" s="1"/>
  <c r="I21" i="7"/>
  <c r="J21" i="7" s="1"/>
  <c r="I22" i="7"/>
  <c r="J22" i="7" s="1"/>
  <c r="I23" i="7"/>
  <c r="J23" i="7" s="1"/>
  <c r="K23" i="7" s="1"/>
  <c r="I24" i="7"/>
  <c r="J24" i="7" s="1"/>
  <c r="K24" i="7" s="1"/>
  <c r="I25" i="7"/>
  <c r="J25" i="7" s="1"/>
  <c r="K25" i="7" s="1"/>
  <c r="I26" i="7"/>
  <c r="J26" i="7" s="1"/>
  <c r="K26" i="7" s="1"/>
  <c r="I27" i="7"/>
  <c r="J27" i="7" s="1"/>
  <c r="K27" i="7" s="1"/>
  <c r="I28" i="7"/>
  <c r="J28" i="7" s="1"/>
  <c r="K28" i="7" s="1"/>
  <c r="I29" i="7"/>
  <c r="J29" i="7" s="1"/>
  <c r="K29" i="7" s="1"/>
  <c r="I30" i="7"/>
  <c r="J30" i="7" s="1"/>
  <c r="I31" i="7"/>
  <c r="J31" i="7" s="1"/>
  <c r="I32" i="7"/>
  <c r="J32" i="7" s="1"/>
  <c r="K32" i="7" s="1"/>
  <c r="I33" i="7"/>
  <c r="J33" i="7" s="1"/>
  <c r="K33" i="7" s="1"/>
  <c r="I34" i="7"/>
  <c r="J34" i="7" s="1"/>
  <c r="K34" i="7" s="1"/>
  <c r="I35" i="7"/>
  <c r="J35" i="7" s="1"/>
  <c r="K35" i="7" s="1"/>
  <c r="I36" i="7"/>
  <c r="J36" i="7" s="1"/>
  <c r="K36" i="7" s="1"/>
  <c r="I37" i="7"/>
  <c r="J37" i="7" s="1"/>
  <c r="K37" i="7" s="1"/>
  <c r="I38" i="7"/>
  <c r="J38" i="7" s="1"/>
  <c r="K38" i="7" s="1"/>
  <c r="I39" i="7"/>
  <c r="J39" i="7" s="1"/>
  <c r="K39" i="7" s="1"/>
  <c r="I40" i="7"/>
  <c r="J40" i="7" s="1"/>
  <c r="K40" i="7" s="1"/>
  <c r="I41" i="7"/>
  <c r="J41" i="7" s="1"/>
  <c r="K41" i="7" s="1"/>
  <c r="I42" i="7"/>
  <c r="J42" i="7" s="1"/>
  <c r="K42" i="7" s="1"/>
  <c r="I43" i="7"/>
  <c r="J43" i="7" s="1"/>
  <c r="K43" i="7" s="1"/>
  <c r="I44" i="7"/>
  <c r="J44" i="7" s="1"/>
  <c r="K44" i="7" s="1"/>
  <c r="I45" i="7"/>
  <c r="J45" i="7" s="1"/>
  <c r="K45" i="7" s="1"/>
  <c r="I46" i="7"/>
  <c r="J46" i="7" s="1"/>
  <c r="K46" i="7" s="1"/>
  <c r="I47" i="7"/>
  <c r="J47" i="7" s="1"/>
  <c r="K47" i="7" s="1"/>
  <c r="I48" i="7"/>
  <c r="J48" i="7" s="1"/>
  <c r="I49" i="7"/>
  <c r="J49" i="7" s="1"/>
  <c r="I50" i="7"/>
  <c r="J50" i="7" s="1"/>
  <c r="K50" i="7" s="1"/>
  <c r="I51" i="7"/>
  <c r="J51" i="7" s="1"/>
  <c r="I52" i="7"/>
  <c r="J52" i="7" s="1"/>
  <c r="I53" i="7"/>
  <c r="J53" i="7" s="1"/>
  <c r="I54" i="7"/>
  <c r="J54" i="7" s="1"/>
  <c r="I55" i="7"/>
  <c r="J55" i="7" s="1"/>
  <c r="I56" i="7"/>
  <c r="J56" i="7" s="1"/>
  <c r="I57" i="7"/>
  <c r="J57" i="7" s="1"/>
  <c r="K57" i="7" s="1"/>
  <c r="I58" i="7"/>
  <c r="J58" i="7" s="1"/>
  <c r="K58" i="7" s="1"/>
  <c r="I59" i="7"/>
  <c r="J59" i="7" s="1"/>
  <c r="K59" i="7" s="1"/>
  <c r="I60" i="7"/>
  <c r="J60" i="7" s="1"/>
  <c r="K60" i="7" s="1"/>
  <c r="I61" i="7"/>
  <c r="J61" i="7" s="1"/>
  <c r="K61" i="7" s="1"/>
  <c r="I62" i="7"/>
  <c r="J62" i="7" s="1"/>
  <c r="K62" i="7" s="1"/>
  <c r="G12" i="4"/>
  <c r="M6" i="4"/>
  <c r="M7" i="4"/>
  <c r="M8" i="4"/>
  <c r="M9" i="4"/>
  <c r="M10" i="4"/>
  <c r="M5" i="4"/>
  <c r="G11" i="4"/>
  <c r="F11" i="4"/>
  <c r="X9" i="1" l="1"/>
  <c r="W9" i="1"/>
  <c r="V2" i="1" l="1"/>
  <c r="P6" i="4" l="1"/>
  <c r="Q6" i="4" s="1"/>
  <c r="P7" i="4"/>
  <c r="Q7" i="4" s="1"/>
  <c r="P8" i="4"/>
  <c r="P9" i="4"/>
  <c r="P10" i="4"/>
  <c r="Q10" i="4" s="1"/>
  <c r="P5" i="4"/>
  <c r="Q5" i="4" s="1"/>
  <c r="Q8" i="4"/>
  <c r="Q9" i="4"/>
  <c r="Q11" i="4" l="1"/>
  <c r="W3" i="1"/>
  <c r="W4" i="1"/>
  <c r="W5" i="1"/>
  <c r="W6" i="1"/>
  <c r="W7" i="1"/>
  <c r="W2" i="1"/>
  <c r="M2" i="1" l="1"/>
  <c r="M3" i="1"/>
  <c r="M4" i="1"/>
  <c r="M5" i="1"/>
  <c r="M6" i="1"/>
  <c r="M7" i="1"/>
  <c r="M8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9" i="1"/>
  <c r="M10" i="1"/>
  <c r="M11" i="1"/>
  <c r="M12" i="1"/>
  <c r="M13" i="1"/>
  <c r="M14" i="1"/>
  <c r="M15" i="1"/>
  <c r="M16" i="1"/>
  <c r="M1136" i="1"/>
  <c r="M1137" i="1"/>
  <c r="M17" i="1"/>
  <c r="M18" i="1"/>
  <c r="M1138" i="1"/>
  <c r="M1139" i="1"/>
  <c r="M1140" i="1"/>
  <c r="M19" i="1"/>
  <c r="M20" i="1"/>
  <c r="M1141" i="1"/>
  <c r="M1142" i="1"/>
  <c r="M1143" i="1"/>
  <c r="M1620" i="1"/>
  <c r="M1621" i="1"/>
  <c r="M1622" i="1"/>
  <c r="M1623" i="1"/>
  <c r="M1624" i="1"/>
  <c r="M1625" i="1"/>
  <c r="M1626" i="1"/>
  <c r="M1627" i="1"/>
  <c r="M1628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1629" i="1"/>
  <c r="M671" i="1"/>
  <c r="M1630" i="1"/>
  <c r="M1631" i="1"/>
  <c r="M672" i="1"/>
  <c r="M673" i="1"/>
  <c r="M674" i="1"/>
  <c r="M1632" i="1"/>
  <c r="M1633" i="1"/>
  <c r="M1634" i="1"/>
  <c r="M675" i="1"/>
  <c r="M676" i="1"/>
  <c r="M677" i="1"/>
  <c r="M1635" i="1"/>
  <c r="M1636" i="1"/>
  <c r="M678" i="1"/>
  <c r="M679" i="1"/>
  <c r="M680" i="1"/>
  <c r="M1637" i="1"/>
  <c r="M1638" i="1"/>
  <c r="M1639" i="1"/>
  <c r="M118" i="1"/>
  <c r="M681" i="1"/>
  <c r="M682" i="1"/>
  <c r="M683" i="1"/>
  <c r="M684" i="1"/>
  <c r="M685" i="1"/>
  <c r="M686" i="1"/>
  <c r="M687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141" i="1"/>
  <c r="M142" i="1"/>
  <c r="M143" i="1"/>
  <c r="M144" i="1"/>
  <c r="M145" i="1"/>
  <c r="M1499" i="1"/>
  <c r="M1500" i="1"/>
  <c r="M1501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2013" i="1"/>
  <c r="M1502" i="1"/>
  <c r="M1640" i="1"/>
  <c r="M1503" i="1"/>
  <c r="M1641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2014" i="1"/>
  <c r="M1523" i="1"/>
  <c r="M1220" i="1"/>
  <c r="M1221" i="1"/>
  <c r="M1222" i="1"/>
  <c r="M2015" i="1"/>
  <c r="M2016" i="1"/>
  <c r="M2017" i="1"/>
  <c r="M1223" i="1"/>
  <c r="M1224" i="1"/>
  <c r="M2018" i="1"/>
  <c r="M2019" i="1"/>
  <c r="M1225" i="1"/>
  <c r="M2020" i="1"/>
  <c r="M2021" i="1"/>
  <c r="M2022" i="1"/>
  <c r="M1642" i="1"/>
  <c r="M2023" i="1"/>
  <c r="M1226" i="1"/>
  <c r="M1643" i="1"/>
  <c r="M1644" i="1"/>
  <c r="M1227" i="1"/>
  <c r="M2024" i="1"/>
  <c r="M1645" i="1"/>
  <c r="M1228" i="1"/>
  <c r="M2025" i="1"/>
  <c r="M2026" i="1"/>
  <c r="M1646" i="1"/>
  <c r="M1647" i="1"/>
  <c r="M2027" i="1"/>
  <c r="M2028" i="1"/>
  <c r="M2029" i="1"/>
  <c r="M2030" i="1"/>
  <c r="M1648" i="1"/>
  <c r="M1229" i="1"/>
  <c r="M2031" i="1"/>
  <c r="M1649" i="1"/>
  <c r="M2032" i="1"/>
  <c r="M2033" i="1"/>
  <c r="M1230" i="1"/>
  <c r="M1231" i="1"/>
  <c r="M1650" i="1"/>
  <c r="M1651" i="1"/>
  <c r="M2034" i="1"/>
  <c r="M2035" i="1"/>
  <c r="M1232" i="1"/>
  <c r="M1652" i="1"/>
  <c r="M1653" i="1"/>
  <c r="M1233" i="1"/>
  <c r="M2036" i="1"/>
  <c r="M2037" i="1"/>
  <c r="M1234" i="1"/>
  <c r="M1235" i="1"/>
  <c r="M1654" i="1"/>
  <c r="M1655" i="1"/>
  <c r="M2038" i="1"/>
  <c r="M2039" i="1"/>
  <c r="M2040" i="1"/>
  <c r="M2041" i="1"/>
  <c r="M1656" i="1"/>
  <c r="M2042" i="1"/>
  <c r="M1657" i="1"/>
  <c r="M1236" i="1"/>
  <c r="M2043" i="1"/>
  <c r="M1237" i="1"/>
  <c r="M2044" i="1"/>
  <c r="M1238" i="1"/>
  <c r="M2045" i="1"/>
  <c r="M2046" i="1"/>
  <c r="M1658" i="1"/>
  <c r="M2047" i="1"/>
  <c r="M1659" i="1"/>
  <c r="M2048" i="1"/>
  <c r="M1660" i="1"/>
  <c r="M1661" i="1"/>
  <c r="M1239" i="1"/>
  <c r="M1240" i="1"/>
  <c r="M728" i="1"/>
  <c r="M1241" i="1"/>
  <c r="M1662" i="1"/>
  <c r="M1663" i="1"/>
  <c r="M1664" i="1"/>
  <c r="M1242" i="1"/>
  <c r="M1243" i="1"/>
  <c r="M1244" i="1"/>
  <c r="M1665" i="1"/>
  <c r="M1666" i="1"/>
  <c r="M1667" i="1"/>
  <c r="M1245" i="1"/>
  <c r="M1668" i="1"/>
  <c r="M1246" i="1"/>
  <c r="M1669" i="1"/>
  <c r="M1670" i="1"/>
  <c r="M1671" i="1"/>
  <c r="M1247" i="1"/>
  <c r="M1248" i="1"/>
  <c r="M1249" i="1"/>
  <c r="M1672" i="1"/>
  <c r="M729" i="1"/>
  <c r="M1673" i="1"/>
  <c r="M730" i="1"/>
  <c r="M1674" i="1"/>
  <c r="M731" i="1"/>
  <c r="M1675" i="1"/>
  <c r="M1676" i="1"/>
  <c r="M1677" i="1"/>
  <c r="M732" i="1"/>
  <c r="M733" i="1"/>
  <c r="M734" i="1"/>
  <c r="M735" i="1"/>
  <c r="M1678" i="1"/>
  <c r="M1679" i="1"/>
  <c r="M736" i="1"/>
  <c r="M1680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1144" i="1"/>
  <c r="M1145" i="1"/>
  <c r="M1146" i="1"/>
  <c r="M1147" i="1"/>
  <c r="M427" i="1"/>
  <c r="M428" i="1"/>
  <c r="M429" i="1"/>
  <c r="M430" i="1"/>
  <c r="M431" i="1"/>
  <c r="M432" i="1"/>
  <c r="M433" i="1"/>
  <c r="M434" i="1"/>
  <c r="M435" i="1"/>
  <c r="M371" i="1"/>
  <c r="M436" i="1"/>
  <c r="M437" i="1"/>
  <c r="M438" i="1"/>
  <c r="M439" i="1"/>
  <c r="M372" i="1"/>
  <c r="M440" i="1"/>
  <c r="M441" i="1"/>
  <c r="M373" i="1"/>
  <c r="M442" i="1"/>
  <c r="M374" i="1"/>
  <c r="M443" i="1"/>
  <c r="M444" i="1"/>
  <c r="M445" i="1"/>
  <c r="M446" i="1"/>
  <c r="M375" i="1"/>
  <c r="M376" i="1"/>
  <c r="M447" i="1"/>
  <c r="M448" i="1"/>
  <c r="M449" i="1"/>
  <c r="M450" i="1"/>
  <c r="M451" i="1"/>
  <c r="M452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164" i="1"/>
  <c r="M165" i="1"/>
  <c r="M783" i="1"/>
  <c r="M784" i="1"/>
  <c r="M166" i="1"/>
  <c r="M167" i="1"/>
  <c r="M168" i="1"/>
  <c r="M169" i="1"/>
  <c r="M170" i="1"/>
  <c r="M504" i="1"/>
  <c r="M171" i="1"/>
  <c r="M505" i="1"/>
  <c r="M506" i="1"/>
  <c r="M507" i="1"/>
  <c r="M172" i="1"/>
  <c r="M173" i="1"/>
  <c r="M508" i="1"/>
  <c r="M509" i="1"/>
  <c r="M510" i="1"/>
  <c r="M174" i="1"/>
  <c r="M175" i="1"/>
  <c r="M176" i="1"/>
  <c r="M511" i="1"/>
  <c r="M512" i="1"/>
  <c r="M513" i="1"/>
  <c r="M177" i="1"/>
  <c r="M178" i="1"/>
  <c r="M514" i="1"/>
  <c r="M515" i="1"/>
  <c r="M516" i="1"/>
  <c r="M179" i="1"/>
  <c r="M180" i="1"/>
  <c r="M181" i="1"/>
  <c r="M517" i="1"/>
  <c r="M518" i="1"/>
  <c r="M519" i="1"/>
  <c r="M182" i="1"/>
  <c r="M183" i="1"/>
  <c r="M520" i="1"/>
  <c r="M521" i="1"/>
  <c r="M184" i="1"/>
  <c r="M185" i="1"/>
  <c r="M522" i="1"/>
  <c r="M186" i="1"/>
  <c r="M187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1" i="1"/>
  <c r="M22" i="1"/>
  <c r="M202" i="1"/>
  <c r="M203" i="1"/>
  <c r="M23" i="1"/>
  <c r="M24" i="1"/>
  <c r="M204" i="1"/>
  <c r="M205" i="1"/>
  <c r="M206" i="1"/>
  <c r="M25" i="1"/>
  <c r="M26" i="1"/>
  <c r="M207" i="1"/>
  <c r="M27" i="1"/>
  <c r="M28" i="1"/>
  <c r="M208" i="1"/>
  <c r="M209" i="1"/>
  <c r="M29" i="1"/>
  <c r="M30" i="1"/>
  <c r="M31" i="1"/>
  <c r="M32" i="1"/>
  <c r="M33" i="1"/>
  <c r="M34" i="1"/>
  <c r="M35" i="1"/>
  <c r="M36" i="1"/>
  <c r="M37" i="1"/>
  <c r="M38" i="1"/>
  <c r="M39" i="1"/>
  <c r="M40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1307" i="1"/>
  <c r="M1308" i="1"/>
  <c r="M1309" i="1"/>
  <c r="M1310" i="1"/>
  <c r="M1311" i="1"/>
  <c r="M1312" i="1"/>
  <c r="M1313" i="1"/>
  <c r="M1314" i="1"/>
  <c r="M1524" i="1"/>
  <c r="M1525" i="1"/>
  <c r="M1315" i="1"/>
  <c r="M1316" i="1"/>
  <c r="M1317" i="1"/>
  <c r="M1318" i="1"/>
  <c r="M1319" i="1"/>
  <c r="M1526" i="1"/>
  <c r="M1527" i="1"/>
  <c r="M1320" i="1"/>
  <c r="M1321" i="1"/>
  <c r="M1322" i="1"/>
  <c r="M1528" i="1"/>
  <c r="M1323" i="1"/>
  <c r="M1324" i="1"/>
  <c r="M1325" i="1"/>
  <c r="M1529" i="1"/>
  <c r="M1326" i="1"/>
  <c r="M1327" i="1"/>
  <c r="M1328" i="1"/>
  <c r="M1530" i="1"/>
  <c r="M1329" i="1"/>
  <c r="M1531" i="1"/>
  <c r="M1532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533" i="1"/>
  <c r="M1534" i="1"/>
  <c r="M1342" i="1"/>
  <c r="M1343" i="1"/>
  <c r="M1344" i="1"/>
  <c r="M1345" i="1"/>
  <c r="M1535" i="1"/>
  <c r="M1346" i="1"/>
  <c r="M1347" i="1"/>
  <c r="M1348" i="1"/>
  <c r="M1349" i="1"/>
  <c r="M1536" i="1"/>
  <c r="M1350" i="1"/>
  <c r="M1537" i="1"/>
  <c r="M1351" i="1"/>
  <c r="M1538" i="1"/>
  <c r="M1352" i="1"/>
  <c r="M1539" i="1"/>
  <c r="M1353" i="1"/>
  <c r="M1354" i="1"/>
  <c r="M1540" i="1"/>
  <c r="M1355" i="1"/>
  <c r="M1541" i="1"/>
  <c r="M1356" i="1"/>
  <c r="M1542" i="1"/>
  <c r="M1357" i="1"/>
  <c r="M1358" i="1"/>
  <c r="M1543" i="1"/>
  <c r="M1544" i="1"/>
  <c r="M1359" i="1"/>
  <c r="M1360" i="1"/>
  <c r="M1361" i="1"/>
  <c r="M1362" i="1"/>
  <c r="M1363" i="1"/>
  <c r="M1364" i="1"/>
  <c r="M1365" i="1"/>
  <c r="M1366" i="1"/>
  <c r="M1545" i="1"/>
  <c r="M1367" i="1"/>
  <c r="M1368" i="1"/>
  <c r="M1369" i="1"/>
  <c r="M1370" i="1"/>
  <c r="M1546" i="1"/>
  <c r="M1547" i="1"/>
  <c r="M1923" i="1"/>
  <c r="M1924" i="1"/>
  <c r="M1925" i="1"/>
  <c r="M1926" i="1"/>
  <c r="M1927" i="1"/>
  <c r="M1928" i="1"/>
  <c r="M1929" i="1"/>
  <c r="M1930" i="1"/>
  <c r="M1931" i="1"/>
  <c r="M2170" i="1"/>
  <c r="M1932" i="1"/>
  <c r="M1933" i="1"/>
  <c r="M1934" i="1"/>
  <c r="M2171" i="1"/>
  <c r="M2172" i="1"/>
  <c r="M1935" i="1"/>
  <c r="M1936" i="1"/>
  <c r="M1937" i="1"/>
  <c r="M2173" i="1"/>
  <c r="M2174" i="1"/>
  <c r="M1938" i="1"/>
  <c r="M1939" i="1"/>
  <c r="M1940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210" i="1"/>
  <c r="M211" i="1"/>
  <c r="M212" i="1"/>
  <c r="M213" i="1"/>
  <c r="M1699" i="1"/>
  <c r="M1700" i="1"/>
  <c r="M214" i="1"/>
  <c r="M1701" i="1"/>
  <c r="M215" i="1"/>
  <c r="M216" i="1"/>
  <c r="M1702" i="1"/>
  <c r="M217" i="1"/>
  <c r="M218" i="1"/>
  <c r="M1703" i="1"/>
  <c r="M1704" i="1"/>
  <c r="M219" i="1"/>
  <c r="M220" i="1"/>
  <c r="M221" i="1"/>
  <c r="M1705" i="1"/>
  <c r="M1706" i="1"/>
  <c r="M222" i="1"/>
  <c r="M1707" i="1"/>
  <c r="M1708" i="1"/>
  <c r="M223" i="1"/>
  <c r="M224" i="1"/>
  <c r="M1709" i="1"/>
  <c r="M1710" i="1"/>
  <c r="M225" i="1"/>
  <c r="M226" i="1"/>
  <c r="M1711" i="1"/>
  <c r="M1712" i="1"/>
  <c r="M227" i="1"/>
  <c r="M228" i="1"/>
  <c r="M1713" i="1"/>
  <c r="M1714" i="1"/>
  <c r="M229" i="1"/>
  <c r="M230" i="1"/>
  <c r="M231" i="1"/>
  <c r="M1715" i="1"/>
  <c r="M1716" i="1"/>
  <c r="M232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1729" i="1"/>
  <c r="M41" i="1"/>
  <c r="M42" i="1"/>
  <c r="M43" i="1"/>
  <c r="M44" i="1"/>
  <c r="M45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730" i="1"/>
  <c r="M1731" i="1"/>
  <c r="M1273" i="1"/>
  <c r="M1274" i="1"/>
  <c r="M1732" i="1"/>
  <c r="M1733" i="1"/>
  <c r="M1734" i="1"/>
  <c r="M1735" i="1"/>
  <c r="M1275" i="1"/>
  <c r="M1736" i="1"/>
  <c r="M1737" i="1"/>
  <c r="M1276" i="1"/>
  <c r="M1738" i="1"/>
  <c r="M1739" i="1"/>
  <c r="M1740" i="1"/>
  <c r="M1741" i="1"/>
  <c r="M1742" i="1"/>
  <c r="M1148" i="1"/>
  <c r="M1149" i="1"/>
  <c r="M1743" i="1"/>
  <c r="M1744" i="1"/>
  <c r="M1745" i="1"/>
  <c r="M1150" i="1"/>
  <c r="M1746" i="1"/>
  <c r="M1151" i="1"/>
  <c r="M1152" i="1"/>
  <c r="M233" i="1"/>
  <c r="M234" i="1"/>
  <c r="M235" i="1"/>
  <c r="M236" i="1"/>
  <c r="M237" i="1"/>
  <c r="M238" i="1"/>
  <c r="M239" i="1"/>
  <c r="M1153" i="1"/>
  <c r="M240" i="1"/>
  <c r="M1154" i="1"/>
  <c r="M1155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860" i="1"/>
  <c r="M46" i="1"/>
  <c r="M47" i="1"/>
  <c r="M48" i="1"/>
  <c r="M49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861" i="1"/>
  <c r="M271" i="1"/>
  <c r="M272" i="1"/>
  <c r="M273" i="1"/>
  <c r="M1888" i="1"/>
  <c r="M1889" i="1"/>
  <c r="M274" i="1"/>
  <c r="M275" i="1"/>
  <c r="M276" i="1"/>
  <c r="M1890" i="1"/>
  <c r="M1891" i="1"/>
  <c r="M1892" i="1"/>
  <c r="M277" i="1"/>
  <c r="M278" i="1"/>
  <c r="M862" i="1"/>
  <c r="M863" i="1"/>
  <c r="M864" i="1"/>
  <c r="M865" i="1"/>
  <c r="M1893" i="1"/>
  <c r="M1894" i="1"/>
  <c r="M1895" i="1"/>
  <c r="M866" i="1"/>
  <c r="M867" i="1"/>
  <c r="M868" i="1"/>
  <c r="M869" i="1"/>
  <c r="M870" i="1"/>
  <c r="M1896" i="1"/>
  <c r="M871" i="1"/>
  <c r="M872" i="1"/>
  <c r="M1897" i="1"/>
  <c r="M1898" i="1"/>
  <c r="M873" i="1"/>
  <c r="M874" i="1"/>
  <c r="M875" i="1"/>
  <c r="M876" i="1"/>
  <c r="M877" i="1"/>
  <c r="M878" i="1"/>
  <c r="M879" i="1"/>
  <c r="M880" i="1"/>
  <c r="M1899" i="1"/>
  <c r="M881" i="1"/>
  <c r="M882" i="1"/>
  <c r="M883" i="1"/>
  <c r="M884" i="1"/>
  <c r="M1900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2049" i="1"/>
  <c r="M2050" i="1"/>
  <c r="M2051" i="1"/>
  <c r="M913" i="1"/>
  <c r="M914" i="1"/>
  <c r="M2052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453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279" i="1"/>
  <c r="M280" i="1"/>
  <c r="M281" i="1"/>
  <c r="M282" i="1"/>
  <c r="M283" i="1"/>
  <c r="M284" i="1"/>
  <c r="M285" i="1"/>
  <c r="M286" i="1"/>
  <c r="M287" i="1"/>
  <c r="M288" i="1"/>
  <c r="M289" i="1"/>
  <c r="M2053" i="1"/>
  <c r="M2054" i="1"/>
  <c r="M2055" i="1"/>
  <c r="M2056" i="1"/>
  <c r="M2057" i="1"/>
  <c r="M290" i="1"/>
  <c r="M291" i="1"/>
  <c r="M2058" i="1"/>
  <c r="M2059" i="1"/>
  <c r="M292" i="1"/>
  <c r="M293" i="1"/>
  <c r="M2060" i="1"/>
  <c r="M2061" i="1"/>
  <c r="M294" i="1"/>
  <c r="M295" i="1"/>
  <c r="M2062" i="1"/>
  <c r="M2063" i="1"/>
  <c r="M296" i="1"/>
  <c r="M297" i="1"/>
  <c r="M2064" i="1"/>
  <c r="M2065" i="1"/>
  <c r="M2066" i="1"/>
  <c r="M2067" i="1"/>
  <c r="M2068" i="1"/>
  <c r="M2069" i="1"/>
  <c r="M298" i="1"/>
  <c r="M299" i="1"/>
  <c r="M300" i="1"/>
  <c r="M2070" i="1"/>
  <c r="M301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1371" i="1"/>
  <c r="M2083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941" i="1"/>
  <c r="M1942" i="1"/>
  <c r="M1943" i="1"/>
  <c r="M1944" i="1"/>
  <c r="M1945" i="1"/>
  <c r="M1946" i="1"/>
  <c r="M1947" i="1"/>
  <c r="M1948" i="1"/>
  <c r="M1949" i="1"/>
  <c r="M1548" i="1"/>
  <c r="M1549" i="1"/>
  <c r="M1950" i="1"/>
  <c r="M1951" i="1"/>
  <c r="M1952" i="1"/>
  <c r="M1550" i="1"/>
  <c r="M1551" i="1"/>
  <c r="M1953" i="1"/>
  <c r="M1954" i="1"/>
  <c r="M1955" i="1"/>
  <c r="M1552" i="1"/>
  <c r="M1553" i="1"/>
  <c r="M1956" i="1"/>
  <c r="M1957" i="1"/>
  <c r="M1958" i="1"/>
  <c r="M1747" i="1"/>
  <c r="M1748" i="1"/>
  <c r="M1554" i="1"/>
  <c r="M1555" i="1"/>
  <c r="M1749" i="1"/>
  <c r="M1959" i="1"/>
  <c r="M1960" i="1"/>
  <c r="M1556" i="1"/>
  <c r="M1557" i="1"/>
  <c r="M1750" i="1"/>
  <c r="M1751" i="1"/>
  <c r="M1752" i="1"/>
  <c r="M1558" i="1"/>
  <c r="M1559" i="1"/>
  <c r="M1753" i="1"/>
  <c r="M1754" i="1"/>
  <c r="M1755" i="1"/>
  <c r="M1756" i="1"/>
  <c r="M1757" i="1"/>
  <c r="M1758" i="1"/>
  <c r="M1560" i="1"/>
  <c r="M1561" i="1"/>
  <c r="M1759" i="1"/>
  <c r="M1760" i="1"/>
  <c r="M1761" i="1"/>
  <c r="M1562" i="1"/>
  <c r="M1563" i="1"/>
  <c r="M1762" i="1"/>
  <c r="M1763" i="1"/>
  <c r="M1764" i="1"/>
  <c r="M1765" i="1"/>
  <c r="M1564" i="1"/>
  <c r="M1766" i="1"/>
  <c r="M1565" i="1"/>
  <c r="M1767" i="1"/>
  <c r="M1768" i="1"/>
  <c r="M1769" i="1"/>
  <c r="M1770" i="1"/>
  <c r="M1566" i="1"/>
  <c r="M1567" i="1"/>
  <c r="M1771" i="1"/>
  <c r="M1772" i="1"/>
  <c r="M1773" i="1"/>
  <c r="M1774" i="1"/>
  <c r="M1775" i="1"/>
  <c r="M1776" i="1"/>
  <c r="M1568" i="1"/>
  <c r="M1569" i="1"/>
  <c r="M1777" i="1"/>
  <c r="M1778" i="1"/>
  <c r="M1779" i="1"/>
  <c r="M1780" i="1"/>
  <c r="M1781" i="1"/>
  <c r="M1782" i="1"/>
  <c r="M1783" i="1"/>
  <c r="M1784" i="1"/>
  <c r="M1785" i="1"/>
  <c r="M1570" i="1"/>
  <c r="M1571" i="1"/>
  <c r="M1786" i="1"/>
  <c r="M1787" i="1"/>
  <c r="M1788" i="1"/>
  <c r="M1789" i="1"/>
  <c r="M1790" i="1"/>
  <c r="M1791" i="1"/>
  <c r="M1792" i="1"/>
  <c r="M1793" i="1"/>
  <c r="M1794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972" i="1"/>
  <c r="M973" i="1"/>
  <c r="M974" i="1"/>
  <c r="M975" i="1"/>
  <c r="M976" i="1"/>
  <c r="M977" i="1"/>
  <c r="M978" i="1"/>
  <c r="M979" i="1"/>
  <c r="M78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1572" i="1"/>
  <c r="M1573" i="1"/>
  <c r="M1574" i="1"/>
  <c r="M980" i="1"/>
  <c r="M1575" i="1"/>
  <c r="M1576" i="1"/>
  <c r="M1577" i="1"/>
  <c r="M981" i="1"/>
  <c r="M982" i="1"/>
  <c r="M983" i="1"/>
  <c r="M1578" i="1"/>
  <c r="M984" i="1"/>
  <c r="M985" i="1"/>
  <c r="M1579" i="1"/>
  <c r="M986" i="1"/>
  <c r="M987" i="1"/>
  <c r="M1580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581" i="1"/>
  <c r="M1582" i="1"/>
  <c r="M1583" i="1"/>
  <c r="M1002" i="1"/>
  <c r="M1003" i="1"/>
  <c r="M1004" i="1"/>
  <c r="M1005" i="1"/>
  <c r="M1006" i="1"/>
  <c r="M1007" i="1"/>
  <c r="M1008" i="1"/>
  <c r="M1009" i="1"/>
  <c r="M1010" i="1"/>
  <c r="M1584" i="1"/>
  <c r="M1585" i="1"/>
  <c r="M1586" i="1"/>
  <c r="M1011" i="1"/>
  <c r="M1012" i="1"/>
  <c r="M1013" i="1"/>
  <c r="M1014" i="1"/>
  <c r="M1015" i="1"/>
  <c r="M1016" i="1"/>
  <c r="M2084" i="1"/>
  <c r="M1017" i="1"/>
  <c r="M1018" i="1"/>
  <c r="M1019" i="1"/>
  <c r="M1587" i="1"/>
  <c r="M1588" i="1"/>
  <c r="M1589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1590" i="1"/>
  <c r="M1591" i="1"/>
  <c r="M1592" i="1"/>
  <c r="M2097" i="1"/>
  <c r="M2098" i="1"/>
  <c r="M2099" i="1"/>
  <c r="M2100" i="1"/>
  <c r="M2101" i="1"/>
  <c r="M2102" i="1"/>
  <c r="M2103" i="1"/>
  <c r="M1593" i="1"/>
  <c r="M1594" i="1"/>
  <c r="M2104" i="1"/>
  <c r="M2105" i="1"/>
  <c r="M159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1901" i="1"/>
  <c r="M1902" i="1"/>
  <c r="M1903" i="1"/>
  <c r="M1904" i="1"/>
  <c r="M1905" i="1"/>
  <c r="M1906" i="1"/>
  <c r="M1907" i="1"/>
  <c r="M1908" i="1"/>
  <c r="M1909" i="1"/>
  <c r="M1910" i="1"/>
  <c r="M1911" i="1"/>
  <c r="M1156" i="1"/>
  <c r="M1157" i="1"/>
  <c r="M1277" i="1"/>
  <c r="M1158" i="1"/>
  <c r="M1159" i="1"/>
  <c r="M1278" i="1"/>
  <c r="M1912" i="1"/>
  <c r="M1160" i="1"/>
  <c r="M1913" i="1"/>
  <c r="M1914" i="1"/>
  <c r="M1161" i="1"/>
  <c r="M1162" i="1"/>
  <c r="M1163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612" i="1"/>
  <c r="M613" i="1"/>
  <c r="M614" i="1"/>
  <c r="M1297" i="1"/>
  <c r="M615" i="1"/>
  <c r="M1298" i="1"/>
  <c r="M616" i="1"/>
  <c r="M617" i="1"/>
  <c r="M618" i="1"/>
  <c r="M1299" i="1"/>
  <c r="M1300" i="1"/>
  <c r="M619" i="1"/>
  <c r="M620" i="1"/>
  <c r="M621" i="1"/>
  <c r="M1301" i="1"/>
  <c r="M622" i="1"/>
  <c r="M623" i="1"/>
  <c r="M1302" i="1"/>
  <c r="M624" i="1"/>
  <c r="M625" i="1"/>
  <c r="M626" i="1"/>
  <c r="M1303" i="1"/>
  <c r="M1304" i="1"/>
  <c r="M1305" i="1"/>
  <c r="M130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348" i="1"/>
  <c r="M1040" i="1"/>
  <c r="M1041" i="1"/>
  <c r="M1042" i="1"/>
  <c r="M349" i="1"/>
  <c r="M1043" i="1"/>
  <c r="M350" i="1"/>
  <c r="M351" i="1"/>
  <c r="M1044" i="1"/>
  <c r="M1045" i="1"/>
  <c r="M352" i="1"/>
  <c r="M1046" i="1"/>
  <c r="M1047" i="1"/>
  <c r="M1961" i="1"/>
  <c r="M353" i="1"/>
  <c r="M354" i="1"/>
  <c r="M1048" i="1"/>
  <c r="M355" i="1"/>
  <c r="M356" i="1"/>
  <c r="M1049" i="1"/>
  <c r="M1962" i="1"/>
  <c r="M1963" i="1"/>
  <c r="M357" i="1"/>
  <c r="M358" i="1"/>
  <c r="M1964" i="1"/>
  <c r="M1965" i="1"/>
  <c r="M1966" i="1"/>
  <c r="M1967" i="1"/>
  <c r="M1968" i="1"/>
  <c r="M1050" i="1"/>
  <c r="M1051" i="1"/>
  <c r="M1052" i="1"/>
  <c r="M1053" i="1"/>
  <c r="M1969" i="1"/>
  <c r="M1970" i="1"/>
  <c r="M1054" i="1"/>
  <c r="M359" i="1"/>
  <c r="M360" i="1"/>
  <c r="M1971" i="1"/>
  <c r="M1055" i="1"/>
  <c r="M1972" i="1"/>
  <c r="M1056" i="1"/>
  <c r="M1057" i="1"/>
  <c r="M361" i="1"/>
  <c r="M1058" i="1"/>
  <c r="M362" i="1"/>
  <c r="M1059" i="1"/>
  <c r="M1973" i="1"/>
  <c r="M1974" i="1"/>
  <c r="M1975" i="1"/>
  <c r="M1976" i="1"/>
  <c r="M363" i="1"/>
  <c r="M364" i="1"/>
  <c r="M365" i="1"/>
  <c r="M366" i="1"/>
  <c r="M1977" i="1"/>
  <c r="M1978" i="1"/>
  <c r="M367" i="1"/>
  <c r="M368" i="1"/>
  <c r="M1979" i="1"/>
  <c r="M1980" i="1"/>
  <c r="M369" i="1"/>
  <c r="M370" i="1"/>
  <c r="M79" i="1"/>
  <c r="M80" i="1"/>
  <c r="M1060" i="1"/>
  <c r="M1061" i="1"/>
  <c r="M1062" i="1"/>
  <c r="M1063" i="1"/>
  <c r="M81" i="1"/>
  <c r="M82" i="1"/>
  <c r="M1064" i="1"/>
  <c r="M1065" i="1"/>
  <c r="M83" i="1"/>
  <c r="M84" i="1"/>
  <c r="M1066" i="1"/>
  <c r="M1067" i="1"/>
  <c r="M1068" i="1"/>
  <c r="M85" i="1"/>
  <c r="M1069" i="1"/>
  <c r="M1070" i="1"/>
  <c r="M1071" i="1"/>
  <c r="M86" i="1"/>
  <c r="M1072" i="1"/>
  <c r="M1073" i="1"/>
  <c r="M1074" i="1"/>
  <c r="M1075" i="1"/>
  <c r="M1076" i="1"/>
  <c r="M1077" i="1"/>
  <c r="M87" i="1"/>
  <c r="M1078" i="1"/>
  <c r="M1079" i="1"/>
  <c r="M88" i="1"/>
  <c r="M89" i="1"/>
  <c r="M1080" i="1"/>
  <c r="M1081" i="1"/>
  <c r="M90" i="1"/>
  <c r="M1082" i="1"/>
  <c r="M1083" i="1"/>
  <c r="M1084" i="1"/>
  <c r="M91" i="1"/>
  <c r="M1085" i="1"/>
  <c r="M92" i="1"/>
  <c r="M1086" i="1"/>
  <c r="M1087" i="1"/>
  <c r="M93" i="1"/>
  <c r="M1088" i="1"/>
  <c r="M1089" i="1"/>
  <c r="M1090" i="1"/>
  <c r="M1091" i="1"/>
  <c r="M94" i="1"/>
  <c r="M1092" i="1"/>
  <c r="M1093" i="1"/>
  <c r="M95" i="1"/>
  <c r="M1094" i="1"/>
  <c r="M96" i="1"/>
  <c r="M1095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399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2120" i="1"/>
  <c r="M2121" i="1"/>
  <c r="M1192" i="1"/>
  <c r="M2122" i="1"/>
  <c r="M2123" i="1"/>
  <c r="M2124" i="1"/>
  <c r="M2125" i="1"/>
  <c r="M1193" i="1"/>
  <c r="M2126" i="1"/>
  <c r="M2127" i="1"/>
  <c r="M2128" i="1"/>
  <c r="M2129" i="1"/>
  <c r="M2130" i="1"/>
  <c r="M2131" i="1"/>
  <c r="M2132" i="1"/>
  <c r="M2133" i="1"/>
  <c r="M2134" i="1"/>
  <c r="M2135" i="1"/>
  <c r="M2136" i="1"/>
  <c r="M1194" i="1"/>
  <c r="M1195" i="1"/>
  <c r="M2137" i="1"/>
  <c r="M2138" i="1"/>
  <c r="M2139" i="1"/>
  <c r="M2140" i="1"/>
  <c r="M2141" i="1"/>
  <c r="M2142" i="1"/>
  <c r="M1196" i="1"/>
  <c r="M1197" i="1"/>
  <c r="M2143" i="1"/>
  <c r="M2144" i="1"/>
  <c r="M2145" i="1"/>
  <c r="M2146" i="1"/>
  <c r="M2147" i="1"/>
  <c r="M2148" i="1"/>
  <c r="M2149" i="1"/>
  <c r="M2150" i="1"/>
  <c r="M1198" i="1"/>
  <c r="M2151" i="1"/>
  <c r="M1199" i="1"/>
  <c r="M400" i="1"/>
  <c r="M1200" i="1"/>
  <c r="M1201" i="1"/>
  <c r="M1202" i="1"/>
  <c r="M1203" i="1"/>
  <c r="M1204" i="1"/>
  <c r="M1205" i="1"/>
  <c r="M50" i="1"/>
  <c r="M51" i="1"/>
  <c r="M52" i="1"/>
  <c r="M1206" i="1"/>
  <c r="M1207" i="1"/>
  <c r="M53" i="1"/>
  <c r="M54" i="1"/>
  <c r="M1208" i="1"/>
  <c r="M1209" i="1"/>
  <c r="M55" i="1"/>
  <c r="M56" i="1"/>
  <c r="M57" i="1"/>
  <c r="M58" i="1"/>
  <c r="M1210" i="1"/>
  <c r="M1211" i="1"/>
  <c r="M59" i="1"/>
  <c r="M60" i="1"/>
  <c r="M61" i="1"/>
  <c r="M62" i="1"/>
  <c r="M1795" i="1"/>
  <c r="M63" i="1"/>
  <c r="M64" i="1"/>
  <c r="M65" i="1"/>
  <c r="M1796" i="1"/>
  <c r="M1212" i="1"/>
  <c r="M1213" i="1"/>
  <c r="M1214" i="1"/>
  <c r="M1215" i="1"/>
  <c r="M66" i="1"/>
  <c r="M67" i="1"/>
  <c r="M68" i="1"/>
  <c r="M69" i="1"/>
  <c r="M1216" i="1"/>
  <c r="M1217" i="1"/>
  <c r="M70" i="1"/>
  <c r="M71" i="1"/>
  <c r="M1797" i="1"/>
  <c r="M72" i="1"/>
  <c r="M1798" i="1"/>
  <c r="M73" i="1"/>
  <c r="M1799" i="1"/>
  <c r="M74" i="1"/>
  <c r="M1800" i="1"/>
  <c r="M75" i="1"/>
  <c r="M1801" i="1"/>
  <c r="M76" i="1"/>
  <c r="M1802" i="1"/>
  <c r="M1803" i="1"/>
  <c r="M1218" i="1"/>
  <c r="M77" i="1"/>
  <c r="M1219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435" i="1"/>
  <c r="M1436" i="1"/>
  <c r="M1822" i="1"/>
  <c r="M1823" i="1"/>
  <c r="M1437" i="1"/>
  <c r="M1915" i="1"/>
  <c r="M1438" i="1"/>
  <c r="M1916" i="1"/>
  <c r="M1917" i="1"/>
  <c r="M1439" i="1"/>
  <c r="M1918" i="1"/>
  <c r="M1440" i="1"/>
  <c r="M1441" i="1"/>
  <c r="M1442" i="1"/>
  <c r="M1919" i="1"/>
  <c r="M1920" i="1"/>
  <c r="M1921" i="1"/>
  <c r="M1443" i="1"/>
  <c r="M1922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1596" i="1"/>
  <c r="M1597" i="1"/>
  <c r="M1598" i="1"/>
  <c r="M418" i="1"/>
  <c r="M419" i="1"/>
  <c r="M420" i="1"/>
  <c r="M421" i="1"/>
  <c r="M1599" i="1"/>
  <c r="M422" i="1"/>
  <c r="M1600" i="1"/>
  <c r="M1601" i="1"/>
  <c r="M423" i="1"/>
  <c r="M424" i="1"/>
  <c r="M425" i="1"/>
  <c r="M1602" i="1"/>
  <c r="M426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824" i="1"/>
  <c r="M1096" i="1"/>
  <c r="M1097" i="1"/>
  <c r="M1825" i="1"/>
  <c r="M1098" i="1"/>
  <c r="M1826" i="1"/>
  <c r="M1827" i="1"/>
  <c r="M1099" i="1"/>
  <c r="M1828" i="1"/>
  <c r="M1829" i="1"/>
  <c r="M1100" i="1"/>
  <c r="M1830" i="1"/>
  <c r="M1101" i="1"/>
  <c r="M1831" i="1"/>
  <c r="M1102" i="1"/>
  <c r="M1103" i="1"/>
  <c r="M1832" i="1"/>
  <c r="M1833" i="1"/>
  <c r="M1834" i="1"/>
  <c r="M1835" i="1"/>
  <c r="M1104" i="1"/>
  <c r="M1105" i="1"/>
  <c r="M1836" i="1"/>
  <c r="M1837" i="1"/>
  <c r="M1106" i="1"/>
  <c r="M1107" i="1"/>
  <c r="M1838" i="1"/>
  <c r="M1839" i="1"/>
  <c r="M1840" i="1"/>
  <c r="M1108" i="1"/>
  <c r="M1109" i="1"/>
  <c r="M1841" i="1"/>
  <c r="M1842" i="1"/>
  <c r="M1110" i="1"/>
  <c r="M1843" i="1"/>
  <c r="M1111" i="1"/>
  <c r="M1844" i="1"/>
  <c r="M1112" i="1"/>
  <c r="M1845" i="1"/>
  <c r="M1113" i="1"/>
  <c r="M1846" i="1"/>
  <c r="M1847" i="1"/>
  <c r="M1114" i="1"/>
  <c r="M1115" i="1"/>
  <c r="M1848" i="1"/>
  <c r="M1849" i="1"/>
  <c r="M1116" i="1"/>
  <c r="M1117" i="1"/>
  <c r="M1850" i="1"/>
  <c r="M1851" i="1"/>
  <c r="M1118" i="1"/>
  <c r="M1119" i="1"/>
  <c r="M1852" i="1"/>
  <c r="M1120" i="1"/>
  <c r="M1853" i="1"/>
  <c r="M1121" i="1"/>
  <c r="M1854" i="1"/>
  <c r="M1855" i="1"/>
  <c r="M1122" i="1"/>
  <c r="M1123" i="1"/>
  <c r="M1856" i="1"/>
  <c r="M1857" i="1"/>
  <c r="M1124" i="1"/>
  <c r="M1125" i="1"/>
  <c r="M1858" i="1"/>
  <c r="M1126" i="1"/>
  <c r="M1127" i="1"/>
  <c r="M1859" i="1"/>
  <c r="M1860" i="1"/>
  <c r="M1861" i="1"/>
  <c r="M1128" i="1"/>
  <c r="M1129" i="1"/>
  <c r="M1862" i="1"/>
  <c r="M1863" i="1"/>
  <c r="M1130" i="1"/>
  <c r="M1131" i="1"/>
  <c r="M1864" i="1"/>
  <c r="M1865" i="1"/>
  <c r="M1866" i="1"/>
  <c r="M1132" i="1"/>
  <c r="M1133" i="1"/>
  <c r="M1867" i="1"/>
  <c r="M1134" i="1"/>
  <c r="M1135" i="1"/>
  <c r="M1868" i="1"/>
  <c r="M1869" i="1"/>
  <c r="M1870" i="1"/>
  <c r="M1871" i="1"/>
  <c r="AA2" i="1" l="1"/>
  <c r="T3" i="1" l="1"/>
  <c r="U3" i="1"/>
  <c r="U4" i="1" s="1"/>
  <c r="U5" i="1" s="1"/>
  <c r="U6" i="1" s="1"/>
  <c r="U7" i="1" s="1"/>
  <c r="V3" i="1" l="1"/>
  <c r="AA3" i="1" s="1"/>
  <c r="T4" i="1"/>
  <c r="V4" i="1" s="1"/>
  <c r="AA4" i="1" s="1"/>
  <c r="R3" i="1"/>
  <c r="R4" i="1" s="1"/>
  <c r="R5" i="1" s="1"/>
  <c r="R6" i="1" s="1"/>
  <c r="R7" i="1" s="1"/>
  <c r="T5" i="1" l="1"/>
  <c r="V5" i="1" s="1"/>
  <c r="AA5" i="1" s="1"/>
  <c r="T6" i="1"/>
  <c r="V6" i="1" l="1"/>
  <c r="AA6" i="1" s="1"/>
  <c r="T7" i="1"/>
  <c r="V7" i="1" s="1"/>
  <c r="AA7" i="1" s="1"/>
</calcChain>
</file>

<file path=xl/sharedStrings.xml><?xml version="1.0" encoding="utf-8"?>
<sst xmlns="http://schemas.openxmlformats.org/spreadsheetml/2006/main" count="24824" uniqueCount="4450">
  <si>
    <t>19005366</t>
  </si>
  <si>
    <t>2026-08-13 16:48:22</t>
  </si>
  <si>
    <t>19016703</t>
  </si>
  <si>
    <t>2026-08-14 10:18:01</t>
  </si>
  <si>
    <t>2026-08-13 21:54:42</t>
  </si>
  <si>
    <t>2026-08-10 14:05:14</t>
  </si>
  <si>
    <t>2026-08-14 14:19:30</t>
  </si>
  <si>
    <t>19009558</t>
  </si>
  <si>
    <t>2026-08-12 18:41:54</t>
  </si>
  <si>
    <t>2026-08-10 14:00:22</t>
  </si>
  <si>
    <t>2026-08-10 08:19:24</t>
  </si>
  <si>
    <t>19020310</t>
  </si>
  <si>
    <t>19007453</t>
  </si>
  <si>
    <t>2026-08-10 20:37:17</t>
  </si>
  <si>
    <t>2026-08-11 04:12:08</t>
  </si>
  <si>
    <t>2026-08-10 15:39:59</t>
  </si>
  <si>
    <t>2026-08-10 16:35:57</t>
  </si>
  <si>
    <t>19000452</t>
  </si>
  <si>
    <t>19004870</t>
  </si>
  <si>
    <t>19008295</t>
  </si>
  <si>
    <t>2026-08-10 17:26:16</t>
  </si>
  <si>
    <t>19015381</t>
  </si>
  <si>
    <t>2026-08-12 08:42:54</t>
  </si>
  <si>
    <t>2026-08-10 20:21:20</t>
  </si>
  <si>
    <t>2026-08-15 21:08:08</t>
  </si>
  <si>
    <t>2026-08-13 23:34:32</t>
  </si>
  <si>
    <t>2026-08-14 14:15:14</t>
  </si>
  <si>
    <t>19008213</t>
  </si>
  <si>
    <t>2026-08-15 21:19:01</t>
  </si>
  <si>
    <t>2026-08-10 06:24:39</t>
  </si>
  <si>
    <t>2026-08-10 16:22:02</t>
  </si>
  <si>
    <t>19023679</t>
  </si>
  <si>
    <t>19000194</t>
  </si>
  <si>
    <t>2026-08-10 09:33:41</t>
  </si>
  <si>
    <t>2026-08-10 06:11:35</t>
  </si>
  <si>
    <t>19019350</t>
  </si>
  <si>
    <t>2026-08-13 20:29:10</t>
  </si>
  <si>
    <t>2026-08-10 09:02:16</t>
  </si>
  <si>
    <t>2026-08-10 06:45:01</t>
  </si>
  <si>
    <t>2026-08-13 23:37:28</t>
  </si>
  <si>
    <t>2026-08-10 09:14:56</t>
  </si>
  <si>
    <t>2026-08-10 06:26:51</t>
  </si>
  <si>
    <t>20271208000000</t>
  </si>
  <si>
    <t>19024614</t>
  </si>
  <si>
    <t>19020685</t>
  </si>
  <si>
    <t>19002855</t>
  </si>
  <si>
    <t>19003560</t>
  </si>
  <si>
    <t>19010476</t>
  </si>
  <si>
    <t>2026-08-15 16:20:44</t>
  </si>
  <si>
    <t>2026-08-12 15:33:56</t>
  </si>
  <si>
    <t>19021042</t>
  </si>
  <si>
    <t>19021577</t>
  </si>
  <si>
    <t>19010926</t>
  </si>
  <si>
    <t>2026-08-10 13:42:56</t>
  </si>
  <si>
    <t>2026-08-14 16:16:25</t>
  </si>
  <si>
    <t>19005047</t>
  </si>
  <si>
    <t>2026-08-14 10:51:48</t>
  </si>
  <si>
    <t>19006859</t>
  </si>
  <si>
    <t>2026-08-12 09:09:05</t>
  </si>
  <si>
    <t>2026-08-12 18:23:53</t>
  </si>
  <si>
    <t>19005760</t>
  </si>
  <si>
    <t>19002959</t>
  </si>
  <si>
    <t>19003910</t>
  </si>
  <si>
    <t>2026-08-10 16:33:45</t>
  </si>
  <si>
    <t>2026-08-10 06:14:33</t>
  </si>
  <si>
    <t>19006844</t>
  </si>
  <si>
    <t>2026-08-12 00:42:55</t>
  </si>
  <si>
    <t>2026-08-14 16:42:18</t>
  </si>
  <si>
    <t>19005664</t>
  </si>
  <si>
    <t>2026-08-10 14:09:10</t>
  </si>
  <si>
    <t>19003429</t>
  </si>
  <si>
    <t>19018476</t>
  </si>
  <si>
    <t>2026-08-15 16:50:41</t>
  </si>
  <si>
    <t>2026-08-10 15:55:32</t>
  </si>
  <si>
    <t>2026-08-10 17:32:38</t>
  </si>
  <si>
    <t>2026-08-12 09:50:38</t>
  </si>
  <si>
    <t>19009934</t>
  </si>
  <si>
    <t>19000371</t>
  </si>
  <si>
    <t>2026-08-10 09:10:02</t>
  </si>
  <si>
    <t>2026-08-14 08:31:27</t>
  </si>
  <si>
    <t>2026-08-13 21:44:38</t>
  </si>
  <si>
    <t>2026-08-10 18:14:06</t>
  </si>
  <si>
    <t>2026-08-10 11:18:34</t>
  </si>
  <si>
    <t>2026-08-12 15:56:32</t>
  </si>
  <si>
    <t>2026-08-14 14:11:18</t>
  </si>
  <si>
    <t>2026-08-14 14:03:09</t>
  </si>
  <si>
    <t>19010208</t>
  </si>
  <si>
    <t>2026-08-15 16:25:32</t>
  </si>
  <si>
    <t>2026-08-14 08:32:37</t>
  </si>
  <si>
    <t>19006235</t>
  </si>
  <si>
    <t>2026-08-12 18:37:59</t>
  </si>
  <si>
    <t>19001912</t>
  </si>
  <si>
    <t>19006707</t>
  </si>
  <si>
    <t>2026-08-10 16:55:06</t>
  </si>
  <si>
    <t>19002103</t>
  </si>
  <si>
    <t>19013847</t>
  </si>
  <si>
    <t>2026-08-12 07:52:34</t>
  </si>
  <si>
    <t>19007369</t>
  </si>
  <si>
    <t>19023723</t>
  </si>
  <si>
    <t>19010791</t>
  </si>
  <si>
    <t>2026-08-13 16:53:09</t>
  </si>
  <si>
    <t>19011527</t>
  </si>
  <si>
    <t>19002961</t>
  </si>
  <si>
    <t>19011160</t>
  </si>
  <si>
    <t>19014034</t>
  </si>
  <si>
    <t>19017203</t>
  </si>
  <si>
    <t>19004887</t>
  </si>
  <si>
    <t>2026-08-10 17:25:08</t>
  </si>
  <si>
    <t>19010135</t>
  </si>
  <si>
    <t>19013044</t>
  </si>
  <si>
    <t>19003841</t>
  </si>
  <si>
    <t>19020118</t>
  </si>
  <si>
    <t>20270126000000</t>
  </si>
  <si>
    <t>2026-08-14 14:09:36</t>
  </si>
  <si>
    <t>2026-08-14 16:31:04</t>
  </si>
  <si>
    <t>19019698</t>
  </si>
  <si>
    <t>2026-08-10 10:47:43</t>
  </si>
  <si>
    <t>19005253</t>
  </si>
  <si>
    <t>19015750</t>
  </si>
  <si>
    <t>19015764</t>
  </si>
  <si>
    <t>19010875</t>
  </si>
  <si>
    <t>19019105</t>
  </si>
  <si>
    <t>19008278</t>
  </si>
  <si>
    <t>2026-08-14 14:08:05</t>
  </si>
  <si>
    <t>19015473</t>
  </si>
  <si>
    <t>19001227</t>
  </si>
  <si>
    <t>2026-08-10 23:31:23</t>
  </si>
  <si>
    <t>19023624</t>
  </si>
  <si>
    <t>19012871</t>
  </si>
  <si>
    <t>2026-08-11 23:43:56</t>
  </si>
  <si>
    <t>2026-08-12 00:59:11</t>
  </si>
  <si>
    <t>19017125</t>
  </si>
  <si>
    <t>2026-08-14 13:51:30</t>
  </si>
  <si>
    <t>19010510</t>
  </si>
  <si>
    <t>2026-08-10 10:25:41</t>
  </si>
  <si>
    <t>19011716</t>
  </si>
  <si>
    <t>2026-08-10 10:46:08</t>
  </si>
  <si>
    <t>19003818</t>
  </si>
  <si>
    <t>2026-08-12 08:33:19</t>
  </si>
  <si>
    <t>19011017</t>
  </si>
  <si>
    <t>19012424</t>
  </si>
  <si>
    <t>2026-08-10 15:53:15</t>
  </si>
  <si>
    <t>2026-08-12 00:48:35</t>
  </si>
  <si>
    <t>2026-08-10 13:34:39</t>
  </si>
  <si>
    <t>19015704</t>
  </si>
  <si>
    <t>2026-08-10 07:22:43</t>
  </si>
  <si>
    <t>2026-08-11 00:25:06</t>
  </si>
  <si>
    <t>2026-08-15 16:40:40</t>
  </si>
  <si>
    <t>19005061</t>
  </si>
  <si>
    <t>2026-08-14 14:00:06</t>
  </si>
  <si>
    <t>19021125</t>
  </si>
  <si>
    <t>19024995</t>
  </si>
  <si>
    <t>19009836</t>
  </si>
  <si>
    <t>19005857</t>
  </si>
  <si>
    <t>19009613</t>
  </si>
  <si>
    <t>19013223</t>
  </si>
  <si>
    <t>1015</t>
  </si>
  <si>
    <t>19023435</t>
  </si>
  <si>
    <t>19001106</t>
  </si>
  <si>
    <t>19002238</t>
  </si>
  <si>
    <t>2026-08-10 08:27:26</t>
  </si>
  <si>
    <t>19029041</t>
  </si>
  <si>
    <t>19002621</t>
  </si>
  <si>
    <t>2026-08-14 15:27:06</t>
  </si>
  <si>
    <t>19002317</t>
  </si>
  <si>
    <t>2026-08-10 07:13:52</t>
  </si>
  <si>
    <t>2026-08-14 16:41:17</t>
  </si>
  <si>
    <t>2026-08-14 14:15:04</t>
  </si>
  <si>
    <t>19003172</t>
  </si>
  <si>
    <t>2026-08-14 07:51:18</t>
  </si>
  <si>
    <t>19010182</t>
  </si>
  <si>
    <t>2026-08-13 23:14:38</t>
  </si>
  <si>
    <t>2026-08-10 10:34:43</t>
  </si>
  <si>
    <t>2026-08-12 18:26:12</t>
  </si>
  <si>
    <t>2026-08-10 15:43:14</t>
  </si>
  <si>
    <t>2026-08-12 09:19:35</t>
  </si>
  <si>
    <t>19022287</t>
  </si>
  <si>
    <t>2026-08-10 06:08:39</t>
  </si>
  <si>
    <t>19003578</t>
  </si>
  <si>
    <t>19022475</t>
  </si>
  <si>
    <t>19029256</t>
  </si>
  <si>
    <t>2026-08-14 10:33:05</t>
  </si>
  <si>
    <t>2026-08-12 00:38:55</t>
  </si>
  <si>
    <t>2026-08-14 13:53:56</t>
  </si>
  <si>
    <t>19018566</t>
  </si>
  <si>
    <t>19010418</t>
  </si>
  <si>
    <t>2026-08-12 09:07:23</t>
  </si>
  <si>
    <t>2026-08-13 23:10:07</t>
  </si>
  <si>
    <t>19022185</t>
  </si>
  <si>
    <t>20271223000000</t>
  </si>
  <si>
    <t>2026-08-10 23:52:00</t>
  </si>
  <si>
    <t>2026-08-12 00:58:13</t>
  </si>
  <si>
    <t>2026-08-15 16:25:03</t>
  </si>
  <si>
    <t>2026-08-10 18:05:45</t>
  </si>
  <si>
    <t>2026-08-10 06:10:13</t>
  </si>
  <si>
    <t>19008868</t>
  </si>
  <si>
    <t>2026-08-14 13:49:46</t>
  </si>
  <si>
    <t>19005368</t>
  </si>
  <si>
    <t>2026-08-10 10:41:48</t>
  </si>
  <si>
    <t>19012398</t>
  </si>
  <si>
    <t>2026-08-14 16:17:45</t>
  </si>
  <si>
    <t>19015834</t>
  </si>
  <si>
    <t>19000310</t>
  </si>
  <si>
    <t>2026-08-12 06:52:31</t>
  </si>
  <si>
    <t>19010671</t>
  </si>
  <si>
    <t>19003436</t>
  </si>
  <si>
    <t>19002433</t>
  </si>
  <si>
    <t>2026-08-12 13:45:37</t>
  </si>
  <si>
    <t>2026-08-11 22:43:24</t>
  </si>
  <si>
    <t>2026-08-12 06:46:54</t>
  </si>
  <si>
    <t>19001120</t>
  </si>
  <si>
    <t>2026-08-10 08:29:42</t>
  </si>
  <si>
    <t>19001431</t>
  </si>
  <si>
    <t>2026-08-10 11:21:39</t>
  </si>
  <si>
    <t>2026-08-14 10:53:59</t>
  </si>
  <si>
    <t>19003994</t>
  </si>
  <si>
    <t>2026-08-12 13:35:24</t>
  </si>
  <si>
    <t>2026-08-13 23:38:13</t>
  </si>
  <si>
    <t>19005117</t>
  </si>
  <si>
    <t>2026-08-12 08:57:11</t>
  </si>
  <si>
    <t>19007621</t>
  </si>
  <si>
    <t>19011173</t>
  </si>
  <si>
    <t>19005104</t>
  </si>
  <si>
    <t>2026-08-12 08:29:09</t>
  </si>
  <si>
    <t>19017475</t>
  </si>
  <si>
    <t>2026-08-12 00:38:01</t>
  </si>
  <si>
    <t>2026-08-10 15:43:08</t>
  </si>
  <si>
    <t>2026-08-10 09:50:29</t>
  </si>
  <si>
    <t>19007340</t>
  </si>
  <si>
    <t>19012775</t>
  </si>
  <si>
    <t>2026-08-14 07:46:07</t>
  </si>
  <si>
    <t>19011265</t>
  </si>
  <si>
    <t>2026-08-14 14:19:25</t>
  </si>
  <si>
    <t>19006297</t>
  </si>
  <si>
    <t>2026-08-10 16:44:31</t>
  </si>
  <si>
    <t>2026-08-14 08:39:02</t>
  </si>
  <si>
    <t>2026-08-12 07:17:16</t>
  </si>
  <si>
    <t>2026-08-10 09:53:38</t>
  </si>
  <si>
    <t>2026-08-12 06:39:18</t>
  </si>
  <si>
    <t>19026419</t>
  </si>
  <si>
    <t>19008018</t>
  </si>
  <si>
    <t>2026-08-10 14:02:30</t>
  </si>
  <si>
    <t>19015538</t>
  </si>
  <si>
    <t>2026-08-10 11:26:00</t>
  </si>
  <si>
    <t>19000058</t>
  </si>
  <si>
    <t>19007670</t>
  </si>
  <si>
    <t>2026-08-14 10:31:26</t>
  </si>
  <si>
    <t>19017618</t>
  </si>
  <si>
    <t>19020980</t>
  </si>
  <si>
    <t>19000588</t>
  </si>
  <si>
    <t>2026-08-11 00:32:24</t>
  </si>
  <si>
    <t>2026-08-12 08:52:51</t>
  </si>
  <si>
    <t>2026-08-10 13:20:03</t>
  </si>
  <si>
    <t>19006032</t>
  </si>
  <si>
    <t>2026-08-10 15:29:39</t>
  </si>
  <si>
    <t>2026-08-10 20:42:06</t>
  </si>
  <si>
    <t>19020445</t>
  </si>
  <si>
    <t>19003499</t>
  </si>
  <si>
    <t>2026-08-13 16:48:20</t>
  </si>
  <si>
    <t>2026-08-10 21:04:36</t>
  </si>
  <si>
    <t>2026-08-10 06:10:18</t>
  </si>
  <si>
    <t>19013422</t>
  </si>
  <si>
    <t>2026-08-15 16:30:26</t>
  </si>
  <si>
    <t>2026-08-10 15:24:38</t>
  </si>
  <si>
    <t>19011332</t>
  </si>
  <si>
    <t>19026979</t>
  </si>
  <si>
    <t>19001066</t>
  </si>
  <si>
    <t>19009488</t>
  </si>
  <si>
    <t>19017445</t>
  </si>
  <si>
    <t>2026-08-14 09:53:58</t>
  </si>
  <si>
    <t>2026-08-14 13:55:36</t>
  </si>
  <si>
    <t>19001435</t>
  </si>
  <si>
    <t>19016628</t>
  </si>
  <si>
    <t>2026-08-13 21:54:46</t>
  </si>
  <si>
    <t>오리온)더자일리톨용기껌</t>
  </si>
  <si>
    <t>19008368</t>
  </si>
  <si>
    <t>19022697</t>
  </si>
  <si>
    <t>2026-08-11 00:47:02</t>
  </si>
  <si>
    <t>19000397</t>
  </si>
  <si>
    <t>19008153</t>
  </si>
  <si>
    <t>2026-08-14 14:03:03</t>
  </si>
  <si>
    <t>2026-08-11 22:58:50</t>
  </si>
  <si>
    <t>2026-08-10 23:34:56</t>
  </si>
  <si>
    <t>2026-08-12 06:44:19</t>
  </si>
  <si>
    <t>19000317</t>
  </si>
  <si>
    <t>2026-08-12 15:16:14</t>
  </si>
  <si>
    <t>19005448</t>
  </si>
  <si>
    <t>2026-08-12 06:59:58</t>
  </si>
  <si>
    <t>2026-08-11 21:47:45</t>
  </si>
  <si>
    <t>19009464</t>
  </si>
  <si>
    <t>2026-08-12 07:14:24</t>
  </si>
  <si>
    <t>2026-08-10 09:49:28</t>
  </si>
  <si>
    <t>동원)양반참기름김</t>
  </si>
  <si>
    <t>19002066</t>
  </si>
  <si>
    <t>2026-08-10 09:33:17</t>
  </si>
  <si>
    <t>2026-08-14 15:37:39</t>
  </si>
  <si>
    <t>19010733</t>
  </si>
  <si>
    <t>19017028</t>
  </si>
  <si>
    <t>19005204</t>
  </si>
  <si>
    <t>19025219</t>
  </si>
  <si>
    <t>19000956</t>
  </si>
  <si>
    <t>20270722150000</t>
  </si>
  <si>
    <t>2026-08-10 16:50:04</t>
  </si>
  <si>
    <t>19019877</t>
  </si>
  <si>
    <t>2026-08-10 15:44:30</t>
  </si>
  <si>
    <t>19014277</t>
  </si>
  <si>
    <t>2026-08-12 10:24:11</t>
  </si>
  <si>
    <t>19012196</t>
  </si>
  <si>
    <t>2026-08-14 11:08:47</t>
  </si>
  <si>
    <t>19016064</t>
  </si>
  <si>
    <t>19007539</t>
  </si>
  <si>
    <t>2026-08-14 07:12:14</t>
  </si>
  <si>
    <t>2026-08-15 20:59:52</t>
  </si>
  <si>
    <t>2026-08-10 17:25:57</t>
  </si>
  <si>
    <t>19017115</t>
  </si>
  <si>
    <t>19015209</t>
  </si>
  <si>
    <t>19009568</t>
  </si>
  <si>
    <t>2026-08-10 06:48:37</t>
  </si>
  <si>
    <t>2026-08-10 06:09:26</t>
  </si>
  <si>
    <t>19009326</t>
  </si>
  <si>
    <t>2026-08-10 06:12:55</t>
  </si>
  <si>
    <t>19004836</t>
  </si>
  <si>
    <t>2026-08-12 09:00:32</t>
  </si>
  <si>
    <t>2026-08-10 15:56:30</t>
  </si>
  <si>
    <t>19001515</t>
  </si>
  <si>
    <t>2026-08-13 23:40:26</t>
  </si>
  <si>
    <t>19013149</t>
  </si>
  <si>
    <t>2026-08-14 14:20:20</t>
  </si>
  <si>
    <t>19030218</t>
  </si>
  <si>
    <t>19003873</t>
  </si>
  <si>
    <t>19019223</t>
  </si>
  <si>
    <t>19008165</t>
  </si>
  <si>
    <t>19000206</t>
  </si>
  <si>
    <t>19003576</t>
  </si>
  <si>
    <t>19002004</t>
  </si>
  <si>
    <t>2026-08-13 16:46:47</t>
  </si>
  <si>
    <t>19005949</t>
  </si>
  <si>
    <t>2026-08-12 15:25:27</t>
  </si>
  <si>
    <t>1011</t>
  </si>
  <si>
    <t>2026-08-13 23:27:47</t>
  </si>
  <si>
    <t>2026-08-12 14:47:26</t>
  </si>
  <si>
    <t>2026-08-14 13:52:46</t>
  </si>
  <si>
    <t>2026-08-10 20:58:43</t>
  </si>
  <si>
    <t>19003019</t>
  </si>
  <si>
    <t>19007063</t>
  </si>
  <si>
    <t>19022549</t>
  </si>
  <si>
    <t>2026-08-15 21:05:52</t>
  </si>
  <si>
    <t>2026-08-10 20:39:14</t>
  </si>
  <si>
    <t>19013746</t>
  </si>
  <si>
    <t>20270130150000</t>
  </si>
  <si>
    <t>2026-08-12 08:29:04</t>
  </si>
  <si>
    <t>19016946</t>
  </si>
  <si>
    <t>2026-08-10 08:59:19</t>
  </si>
  <si>
    <t>2026-08-14 18:14:14</t>
  </si>
  <si>
    <t>2026-08-12 00:36:13</t>
  </si>
  <si>
    <t>19019378</t>
  </si>
  <si>
    <t>19000857</t>
  </si>
  <si>
    <t>2026-08-10 16:43:11</t>
  </si>
  <si>
    <t>19022875</t>
  </si>
  <si>
    <t>19015462</t>
  </si>
  <si>
    <t>2026-08-15 16:30:19</t>
  </si>
  <si>
    <t>2026-08-10 13:45:44</t>
  </si>
  <si>
    <t>19026316</t>
  </si>
  <si>
    <t>2026-08-14 09:55:05</t>
  </si>
  <si>
    <t>20280501000000</t>
  </si>
  <si>
    <t>19001213</t>
  </si>
  <si>
    <t>2026-08-10 21:04:15</t>
  </si>
  <si>
    <t>19004751</t>
  </si>
  <si>
    <t>19003123</t>
  </si>
  <si>
    <t>19025174</t>
  </si>
  <si>
    <t>2026-08-12 15:41:43</t>
  </si>
  <si>
    <t>19018761</t>
  </si>
  <si>
    <t>19000604</t>
  </si>
  <si>
    <t>2026-08-12 10:22:02</t>
  </si>
  <si>
    <t>2026-08-10 09:50:33</t>
  </si>
  <si>
    <t>2026-08-13 20:27:22</t>
  </si>
  <si>
    <t>2026-08-12 18:40:05</t>
  </si>
  <si>
    <t>19013157</t>
  </si>
  <si>
    <t>2026-08-13 16:53:55</t>
  </si>
  <si>
    <t>2026-08-12 13:18:58</t>
  </si>
  <si>
    <t>2026-08-10 06:58:02</t>
  </si>
  <si>
    <t>19001053</t>
  </si>
  <si>
    <t>19003531</t>
  </si>
  <si>
    <t>2026-08-10 10:22:12</t>
  </si>
  <si>
    <t>19014031</t>
  </si>
  <si>
    <t>19013703</t>
  </si>
  <si>
    <t>2026-08-14 14:11:23</t>
  </si>
  <si>
    <t>19011748</t>
  </si>
  <si>
    <t>2026-08-10 13:45:12</t>
  </si>
  <si>
    <t>2026-08-10 07:30:57</t>
  </si>
  <si>
    <t>2026-08-14 11:10:26</t>
  </si>
  <si>
    <t>2026-08-14 13:55:20</t>
  </si>
  <si>
    <t>2026-08-12 13:40:07</t>
  </si>
  <si>
    <t>19003663</t>
  </si>
  <si>
    <t>19017373</t>
  </si>
  <si>
    <t>19005795</t>
  </si>
  <si>
    <t>19015820</t>
  </si>
  <si>
    <t>19028444</t>
  </si>
  <si>
    <t>2026-08-15 22:21:44</t>
  </si>
  <si>
    <t>19009172</t>
  </si>
  <si>
    <t>19007874</t>
  </si>
  <si>
    <t>19012696</t>
  </si>
  <si>
    <t>19001450</t>
  </si>
  <si>
    <t>19028770</t>
  </si>
  <si>
    <t>19004088</t>
  </si>
  <si>
    <t>19006354</t>
  </si>
  <si>
    <t>2026-08-10 20:32:24</t>
  </si>
  <si>
    <t>19008891</t>
  </si>
  <si>
    <t>2026-08-10 15:33:21</t>
  </si>
  <si>
    <t>19004617</t>
  </si>
  <si>
    <t>19026253</t>
  </si>
  <si>
    <t>19001163</t>
  </si>
  <si>
    <t>19014102</t>
  </si>
  <si>
    <t>2026-08-10 20:58:46</t>
  </si>
  <si>
    <t>2026-08-12 13:42:42</t>
  </si>
  <si>
    <t>19012869</t>
  </si>
  <si>
    <t>2026-08-10 09:56:44</t>
  </si>
  <si>
    <t>19005034</t>
  </si>
  <si>
    <t>2026-08-12 08:35:38</t>
  </si>
  <si>
    <t>19004296</t>
  </si>
  <si>
    <t>19011414</t>
  </si>
  <si>
    <t>2026-08-12 09:00:26</t>
  </si>
  <si>
    <t>19024415</t>
  </si>
  <si>
    <t>19002825</t>
  </si>
  <si>
    <t>19002174</t>
  </si>
  <si>
    <t>2026-08-12 18:31:55</t>
  </si>
  <si>
    <t>19006703</t>
  </si>
  <si>
    <t>2026-08-12 09:43:31</t>
  </si>
  <si>
    <t>19001911</t>
  </si>
  <si>
    <t>2026-08-10 20:57:27</t>
  </si>
  <si>
    <t>19017323</t>
  </si>
  <si>
    <t>2026-08-14 09:55:08</t>
  </si>
  <si>
    <t>2026-08-14 10:30:24</t>
  </si>
  <si>
    <t>2026-08-14 10:46:47</t>
  </si>
  <si>
    <t>2026-08-10 17:42:36</t>
  </si>
  <si>
    <t>20271228000000</t>
  </si>
  <si>
    <t>19010879</t>
  </si>
  <si>
    <t>19006561</t>
  </si>
  <si>
    <t>19004817</t>
  </si>
  <si>
    <t>19013154</t>
  </si>
  <si>
    <t>19005137</t>
  </si>
  <si>
    <t>2026-08-10 15:36:05</t>
  </si>
  <si>
    <t>2026-08-10 16:50:11</t>
  </si>
  <si>
    <t>2026-08-13 23:27:52</t>
  </si>
  <si>
    <t>19002591</t>
  </si>
  <si>
    <t>19009324</t>
  </si>
  <si>
    <t>19001549</t>
  </si>
  <si>
    <t>19006647</t>
  </si>
  <si>
    <t>19009898</t>
  </si>
  <si>
    <t>2026-08-13 16:45:08</t>
  </si>
  <si>
    <t>19017652</t>
  </si>
  <si>
    <t>2026-08-12 15:29:03</t>
  </si>
  <si>
    <t>19002517</t>
  </si>
  <si>
    <t>2026-08-12 13:56:45</t>
  </si>
  <si>
    <t>2026-08-13 21:47:29</t>
  </si>
  <si>
    <t>19002873</t>
  </si>
  <si>
    <t>2026-08-10 13:32:42</t>
  </si>
  <si>
    <t>19007931</t>
  </si>
  <si>
    <t>2026-08-14 13:39:04</t>
  </si>
  <si>
    <t>19025708</t>
  </si>
  <si>
    <t>19020523</t>
  </si>
  <si>
    <t>2026-08-12 09:13:29</t>
  </si>
  <si>
    <t>19000116</t>
  </si>
  <si>
    <t>2026-08-10 07:32:52</t>
  </si>
  <si>
    <t>19001631</t>
  </si>
  <si>
    <t>19027090</t>
  </si>
  <si>
    <t>2026-08-10 20:38:52</t>
  </si>
  <si>
    <t>2026-08-10 06:19:00</t>
  </si>
  <si>
    <t>19002431</t>
  </si>
  <si>
    <t>2026-08-14 13:48:48</t>
  </si>
  <si>
    <t>2026-08-10 09:38:06</t>
  </si>
  <si>
    <t>19009908</t>
  </si>
  <si>
    <t>2026-08-13 20:32:58</t>
  </si>
  <si>
    <t>2026-08-14 15:29:48</t>
  </si>
  <si>
    <t>19004068</t>
  </si>
  <si>
    <t>2026-08-14 11:15:55</t>
  </si>
  <si>
    <t>19011754</t>
  </si>
  <si>
    <t>2026-08-11 21:36:12</t>
  </si>
  <si>
    <t>19006479</t>
  </si>
  <si>
    <t>2026-08-13 16:35:48</t>
  </si>
  <si>
    <t>2026-08-14 10:58:48</t>
  </si>
  <si>
    <t>2026-08-12 07:22:47</t>
  </si>
  <si>
    <t>19007701</t>
  </si>
  <si>
    <t>2026-08-12 13:58:06</t>
  </si>
  <si>
    <t>19003051</t>
  </si>
  <si>
    <t>19006530</t>
  </si>
  <si>
    <t>19025616</t>
  </si>
  <si>
    <t>19020244</t>
  </si>
  <si>
    <t>19030276</t>
  </si>
  <si>
    <t>19025479</t>
  </si>
  <si>
    <t>19014822</t>
  </si>
  <si>
    <t>19018907</t>
  </si>
  <si>
    <t>19008879</t>
  </si>
  <si>
    <t>20270914150000</t>
  </si>
  <si>
    <t>2026-08-13 16:29:34</t>
  </si>
  <si>
    <t>2026-08-12 08:49:15</t>
  </si>
  <si>
    <t>정화)맥반석왕오징어구이</t>
  </si>
  <si>
    <t>19001063</t>
  </si>
  <si>
    <t>19017163</t>
  </si>
  <si>
    <t>19017416</t>
  </si>
  <si>
    <t>2026-08-10 15:48:10</t>
  </si>
  <si>
    <t>19011601</t>
  </si>
  <si>
    <t>2026-08-11 23:23:17</t>
  </si>
  <si>
    <t>19006086</t>
  </si>
  <si>
    <t>2026-08-14 14:40:45</t>
  </si>
  <si>
    <t>19018728</t>
  </si>
  <si>
    <t>19009300</t>
  </si>
  <si>
    <t>2026-08-14 14:12:26</t>
  </si>
  <si>
    <t>19010150</t>
  </si>
  <si>
    <t>19010227</t>
  </si>
  <si>
    <t>19014480</t>
  </si>
  <si>
    <t>2026-08-10 13:28:46</t>
  </si>
  <si>
    <t>8801047222118</t>
  </si>
  <si>
    <t>2026-08-10 13:54:23</t>
  </si>
  <si>
    <t>19001589</t>
  </si>
  <si>
    <t>19000736</t>
  </si>
  <si>
    <t>2026-08-15 16:28:52</t>
  </si>
  <si>
    <t>2026-08-12 08:45:05</t>
  </si>
  <si>
    <t>2026-08-10 10:16:20</t>
  </si>
  <si>
    <t>2026-08-10 09:10:07</t>
  </si>
  <si>
    <t>19011848</t>
  </si>
  <si>
    <t>2026-08-14 06:49:21</t>
  </si>
  <si>
    <t>19020895</t>
  </si>
  <si>
    <t>19021211</t>
  </si>
  <si>
    <t>19005987</t>
  </si>
  <si>
    <t>19007556</t>
  </si>
  <si>
    <t>19022812</t>
  </si>
  <si>
    <t>19006611</t>
  </si>
  <si>
    <t>2026-08-10 17:29:21</t>
  </si>
  <si>
    <t>2026-08-10 07:13:27</t>
  </si>
  <si>
    <t>2026-08-10 20:57:34</t>
  </si>
  <si>
    <t>2026-08-10 20:57:30</t>
  </si>
  <si>
    <t>19023657</t>
  </si>
  <si>
    <t>2026-08-13 23:31:40</t>
  </si>
  <si>
    <t>19009767</t>
  </si>
  <si>
    <t>19009572</t>
  </si>
  <si>
    <t>2026-08-13 22:19:00</t>
  </si>
  <si>
    <t>19023350</t>
  </si>
  <si>
    <t>19019831</t>
  </si>
  <si>
    <t>2026-08-13 23:35:45</t>
  </si>
  <si>
    <t>19013867</t>
  </si>
  <si>
    <t>2026-08-10 13:29:44</t>
  </si>
  <si>
    <t>19000844</t>
  </si>
  <si>
    <t>2026-08-15 16:01:05</t>
  </si>
  <si>
    <t>2026-08-12 09:07:26</t>
  </si>
  <si>
    <t>2026-08-13 21:23:36</t>
  </si>
  <si>
    <t>2026-08-12 07:12:31</t>
  </si>
  <si>
    <t>2026-08-12 16:05:20</t>
  </si>
  <si>
    <t>19001872</t>
  </si>
  <si>
    <t>2026-08-10 20:42:11</t>
  </si>
  <si>
    <t>19023272</t>
  </si>
  <si>
    <t>2026-08-10 06:19:09</t>
  </si>
  <si>
    <t>2026-08-14 10:20:22</t>
  </si>
  <si>
    <t>19001473</t>
  </si>
  <si>
    <t>2026-08-13 23:17:32</t>
  </si>
  <si>
    <t>19004270</t>
  </si>
  <si>
    <t>19007891</t>
  </si>
  <si>
    <t>19000065</t>
  </si>
  <si>
    <t>2026-08-13 16:43:25</t>
  </si>
  <si>
    <t>19006728</t>
  </si>
  <si>
    <t>2026-08-10 17:22:30</t>
  </si>
  <si>
    <t>2026-08-10 07:20:34</t>
  </si>
  <si>
    <t>19010410</t>
  </si>
  <si>
    <t>2026-08-10 13:54:17</t>
  </si>
  <si>
    <t>2026-08-10 20:53:34</t>
  </si>
  <si>
    <t>19002817</t>
  </si>
  <si>
    <t>2026-08-13 16:43:07</t>
  </si>
  <si>
    <t>2026-08-11 21:50:34</t>
  </si>
  <si>
    <t>2026-08-10 20:43:59</t>
  </si>
  <si>
    <t>19010040</t>
  </si>
  <si>
    <t>19009634</t>
  </si>
  <si>
    <t>19020948</t>
  </si>
  <si>
    <t>2026-08-10 15:41:37</t>
  </si>
  <si>
    <t>2026-08-13 16:35:54</t>
  </si>
  <si>
    <t>2026-08-14 18:20:52</t>
  </si>
  <si>
    <t>19013635</t>
  </si>
  <si>
    <t>2026-08-13 23:40:21</t>
  </si>
  <si>
    <t>2026-08-13 23:33:20</t>
  </si>
  <si>
    <t>19013192</t>
  </si>
  <si>
    <t>19016895</t>
  </si>
  <si>
    <t>19007359</t>
  </si>
  <si>
    <t>2026-08-10 20:56:29</t>
  </si>
  <si>
    <t>19002988</t>
  </si>
  <si>
    <t>2026-08-14 07:03:12</t>
  </si>
  <si>
    <t>19014957</t>
  </si>
  <si>
    <t>2026-08-11 22:58:53</t>
  </si>
  <si>
    <t>2026-08-13 23:31:37</t>
  </si>
  <si>
    <t>2026-08-13 23:30:27</t>
  </si>
  <si>
    <t>2026-08-10 10:50:20</t>
  </si>
  <si>
    <t>19013092</t>
  </si>
  <si>
    <t>2026-08-12 09:15:27</t>
  </si>
  <si>
    <t>2026-08-15 16:52:02</t>
  </si>
  <si>
    <t>2026-08-13 23:27:49</t>
  </si>
  <si>
    <t>2026-08-10 15:48:05</t>
  </si>
  <si>
    <t>2026-08-14 14:02:54</t>
  </si>
  <si>
    <t>2026-08-10 16:52:20</t>
  </si>
  <si>
    <t>2026-08-12 08:59:15</t>
  </si>
  <si>
    <t>19027362</t>
  </si>
  <si>
    <t>2026-08-12 15:50:17</t>
  </si>
  <si>
    <t>19011227</t>
  </si>
  <si>
    <t>2026-08-12 06:50:03</t>
  </si>
  <si>
    <t>2026-08-11 22:43:10</t>
  </si>
  <si>
    <t>2026-08-10 13:12:23</t>
  </si>
  <si>
    <t>19001315</t>
  </si>
  <si>
    <t>2026-08-10 09:12:49</t>
  </si>
  <si>
    <t>19011959</t>
  </si>
  <si>
    <t>2026-08-10 06:24:43</t>
  </si>
  <si>
    <t>2026-08-10 10:46:34</t>
  </si>
  <si>
    <t>2026-08-14 09:14:25</t>
  </si>
  <si>
    <t>19016498</t>
  </si>
  <si>
    <t>2026-08-14 09:51:59</t>
  </si>
  <si>
    <t>2026-08-14 15:25:15</t>
  </si>
  <si>
    <t>2026-08-12 18:38:10</t>
  </si>
  <si>
    <t>19021124</t>
  </si>
  <si>
    <t>19025731</t>
  </si>
  <si>
    <t>19010413</t>
  </si>
  <si>
    <t>19006790</t>
  </si>
  <si>
    <t>19011717</t>
  </si>
  <si>
    <t>2026-08-10 20:32:43</t>
  </si>
  <si>
    <t>2026-08-10 06:06:03</t>
  </si>
  <si>
    <t>2026-08-12 15:33:42</t>
  </si>
  <si>
    <t>2026-08-12 18:36:16</t>
  </si>
  <si>
    <t>19019878</t>
  </si>
  <si>
    <t>2026-08-12 07:45:14</t>
  </si>
  <si>
    <t>19006430</t>
  </si>
  <si>
    <t>19003682</t>
  </si>
  <si>
    <t>2026-08-10 16:46:05</t>
  </si>
  <si>
    <t>19021983</t>
  </si>
  <si>
    <t>19013394</t>
  </si>
  <si>
    <t>2026-08-10 20:49:33</t>
  </si>
  <si>
    <t>19013960</t>
  </si>
  <si>
    <t>19006465</t>
  </si>
  <si>
    <t>2026-08-14 16:15:09</t>
  </si>
  <si>
    <t>2026-08-12 13:41:32</t>
  </si>
  <si>
    <t>2026-08-11 00:42:18</t>
  </si>
  <si>
    <t>19002419</t>
  </si>
  <si>
    <t>2026-08-14 14:12:32</t>
  </si>
  <si>
    <t>2026-08-14 15:28:19</t>
  </si>
  <si>
    <t>19023750</t>
  </si>
  <si>
    <t>19018065</t>
  </si>
  <si>
    <t>2026-08-13 21:43:17</t>
  </si>
  <si>
    <t>2026-08-10 16:55:17</t>
  </si>
  <si>
    <t>2026-08-10 15:21:59</t>
  </si>
  <si>
    <t>19019959</t>
  </si>
  <si>
    <t>2026-08-13 17:32:33</t>
  </si>
  <si>
    <t>19008626</t>
  </si>
  <si>
    <t>19008930</t>
  </si>
  <si>
    <t>2026-08-13 17:20:25</t>
  </si>
  <si>
    <t>2026-08-10 06:16:13</t>
  </si>
  <si>
    <t>19007646</t>
  </si>
  <si>
    <t>2026-08-14 10:56:15</t>
  </si>
  <si>
    <t>19000228</t>
  </si>
  <si>
    <t>19005326</t>
  </si>
  <si>
    <t>2026-08-14 07:03:03</t>
  </si>
  <si>
    <t>2026-08-10 08:33:02</t>
  </si>
  <si>
    <t>2026-08-12 13:51:28</t>
  </si>
  <si>
    <t>2026-08-14 15:29:52</t>
  </si>
  <si>
    <t>2026-08-14 15:37:41</t>
  </si>
  <si>
    <t>19011287</t>
  </si>
  <si>
    <t>8413178407267</t>
  </si>
  <si>
    <t>19025042</t>
  </si>
  <si>
    <t>2026-08-14 10:24:53</t>
  </si>
  <si>
    <t>19017239</t>
  </si>
  <si>
    <t>19003320</t>
  </si>
  <si>
    <t>19017660</t>
  </si>
  <si>
    <t>2026-08-10 16:31:29</t>
  </si>
  <si>
    <t>2026-08-12 18:48:13</t>
  </si>
  <si>
    <t>19016080</t>
  </si>
  <si>
    <t>19000086</t>
  </si>
  <si>
    <t>2026-08-14 16:22:00</t>
  </si>
  <si>
    <t>19012683</t>
  </si>
  <si>
    <t>2026-08-10 11:17:16</t>
  </si>
  <si>
    <t>2026-08-10 07:55:29</t>
  </si>
  <si>
    <t>2026-08-14 18:28:42</t>
  </si>
  <si>
    <t>2026-08-14 10:23:09</t>
  </si>
  <si>
    <t>2026-08-15 20:13:10</t>
  </si>
  <si>
    <t>2026-08-10 16:25:44</t>
  </si>
  <si>
    <t>2026-08-10 09:47:35</t>
  </si>
  <si>
    <t>2026-08-10 15:34:19</t>
  </si>
  <si>
    <t>2026-08-12 09:04:22</t>
  </si>
  <si>
    <t>19008542</t>
  </si>
  <si>
    <t>2026-08-12 15:39:15</t>
  </si>
  <si>
    <t>2026-08-10 17:30:16</t>
  </si>
  <si>
    <t>2026-08-10 16:49:58</t>
  </si>
  <si>
    <t>19007520</t>
  </si>
  <si>
    <t>19001484</t>
  </si>
  <si>
    <t>2026-08-10 09:46:30</t>
  </si>
  <si>
    <t>2026-08-10 08:49:52</t>
  </si>
  <si>
    <t>20271227150000</t>
  </si>
  <si>
    <t>19026000</t>
  </si>
  <si>
    <t>농심)츄파춥스사워바이츠</t>
  </si>
  <si>
    <t>2026-08-10 15:37:01</t>
  </si>
  <si>
    <t>19001697</t>
  </si>
  <si>
    <t>20270723000000</t>
  </si>
  <si>
    <t>2026-08-12 13:28:48</t>
  </si>
  <si>
    <t>디캔팅</t>
  </si>
  <si>
    <t>19008793</t>
  </si>
  <si>
    <t>19017039</t>
  </si>
  <si>
    <t>2026-08-12 08:49:19</t>
  </si>
  <si>
    <t>2026-08-10 06:28:42</t>
  </si>
  <si>
    <t>19020650</t>
  </si>
  <si>
    <t>2026-08-10 09:20:47</t>
  </si>
  <si>
    <t>19003421</t>
  </si>
  <si>
    <t>19013464</t>
  </si>
  <si>
    <t>19004675</t>
  </si>
  <si>
    <t>19008578</t>
  </si>
  <si>
    <t>2026-08-14 10:20:25</t>
  </si>
  <si>
    <t>19015738</t>
  </si>
  <si>
    <t>19023532</t>
  </si>
  <si>
    <t>19003380</t>
  </si>
  <si>
    <t>2026-08-14 14:24:22</t>
  </si>
  <si>
    <t>19019829</t>
  </si>
  <si>
    <t>2026-08-14 16:40:14</t>
  </si>
  <si>
    <t>19015332</t>
  </si>
  <si>
    <t>19024632</t>
  </si>
  <si>
    <t>2026-08-10 17:58:20</t>
  </si>
  <si>
    <t>2026-08-12 16:05:59</t>
  </si>
  <si>
    <t>2026-08-12 16:20:01</t>
  </si>
  <si>
    <t>19012714</t>
  </si>
  <si>
    <t>2026-08-12 08:27:07</t>
  </si>
  <si>
    <t>19016550</t>
  </si>
  <si>
    <t>2026-08-14 15:37:27</t>
  </si>
  <si>
    <t>19002713</t>
  </si>
  <si>
    <t>19012430</t>
  </si>
  <si>
    <t>2026-08-14 14:16:54</t>
  </si>
  <si>
    <t>2026-08-10 14:02:10</t>
  </si>
  <si>
    <t>19001208</t>
  </si>
  <si>
    <t>19009927</t>
  </si>
  <si>
    <t>19022219</t>
  </si>
  <si>
    <t>2026-08-14 14:23:18</t>
  </si>
  <si>
    <t>2026-08-15 22:19:46</t>
  </si>
  <si>
    <t>2026-08-14 09:51:57</t>
  </si>
  <si>
    <t>2026-08-10 09:54:55</t>
  </si>
  <si>
    <t>19013204</t>
  </si>
  <si>
    <t>19015059</t>
  </si>
  <si>
    <t>8806011435679</t>
  </si>
  <si>
    <t>19024441</t>
  </si>
  <si>
    <t>2026-08-10 16:50:17</t>
  </si>
  <si>
    <t>2026-08-13 17:29:32</t>
  </si>
  <si>
    <t>2026-08-10 07:28:53</t>
  </si>
  <si>
    <t>2026-08-14 16:37:07</t>
  </si>
  <si>
    <t>19019049</t>
  </si>
  <si>
    <t>2026-08-14 09:19:21</t>
  </si>
  <si>
    <t>2026-08-14 06:57:34</t>
  </si>
  <si>
    <t>19015261</t>
  </si>
  <si>
    <t>2026-08-12 07:07:59</t>
  </si>
  <si>
    <t>19019283</t>
  </si>
  <si>
    <t>2026-08-12 08:40:55</t>
  </si>
  <si>
    <t>2026-08-11 21:44:18</t>
  </si>
  <si>
    <t>2026-08-12 06:53:40</t>
  </si>
  <si>
    <t>19000961</t>
  </si>
  <si>
    <t>2026-08-13 17:34:09</t>
  </si>
  <si>
    <t>2026-08-10 11:16:02</t>
  </si>
  <si>
    <t>19022904</t>
  </si>
  <si>
    <t>19001079</t>
  </si>
  <si>
    <t>2026-08-10 17:45:25</t>
  </si>
  <si>
    <t>19002102</t>
  </si>
  <si>
    <t>2026-08-10 20:43:50</t>
  </si>
  <si>
    <t>19014152</t>
  </si>
  <si>
    <t>19006974</t>
  </si>
  <si>
    <t>2026-08-10 09:18:00</t>
  </si>
  <si>
    <t>19019903</t>
  </si>
  <si>
    <t>19019836</t>
  </si>
  <si>
    <t>2026-08-13 23:26:38</t>
  </si>
  <si>
    <t>2026-08-10 16:35:53</t>
  </si>
  <si>
    <t>19010904</t>
  </si>
  <si>
    <t>2026-08-14 18:16:06</t>
  </si>
  <si>
    <t>2026-08-10 18:15:13</t>
  </si>
  <si>
    <t>19029853</t>
  </si>
  <si>
    <t>19006767</t>
  </si>
  <si>
    <t>19001103</t>
  </si>
  <si>
    <t>2026-08-15 20:14:18</t>
  </si>
  <si>
    <t>2026-08-12 08:47:01</t>
  </si>
  <si>
    <t>2026-08-10 20:56:28</t>
  </si>
  <si>
    <t>19003984</t>
  </si>
  <si>
    <t>2026-08-14 09:23:51</t>
  </si>
  <si>
    <t>2026-08-12 09:02:02</t>
  </si>
  <si>
    <t>2026-08-15 20:16:00</t>
  </si>
  <si>
    <t>19006208</t>
  </si>
  <si>
    <t>2026-08-12 07:12:02</t>
  </si>
  <si>
    <t>2026-08-15 16:54:39</t>
  </si>
  <si>
    <t>2026-08-11 00:39:46</t>
  </si>
  <si>
    <t>19003185</t>
  </si>
  <si>
    <t>2026-08-12 16:03:04</t>
  </si>
  <si>
    <t>19004337</t>
  </si>
  <si>
    <t>2026-08-12 14:46:04</t>
  </si>
  <si>
    <t>19022980</t>
  </si>
  <si>
    <t>2026-08-12 15:25:29</t>
  </si>
  <si>
    <t>19018693</t>
  </si>
  <si>
    <t>2026-08-13 16:27:53</t>
  </si>
  <si>
    <t>19006733</t>
  </si>
  <si>
    <t>19006189</t>
  </si>
  <si>
    <t>19010310</t>
  </si>
  <si>
    <t>19013436</t>
  </si>
  <si>
    <t>2026-08-10 21:08:42</t>
  </si>
  <si>
    <t>19018706</t>
  </si>
  <si>
    <t>19005367</t>
  </si>
  <si>
    <t>19006622</t>
  </si>
  <si>
    <t>2026-08-12 00:43:54</t>
  </si>
  <si>
    <t>2026-08-12 06:58:59</t>
  </si>
  <si>
    <t>2026-08-12 15:34:33</t>
  </si>
  <si>
    <t>2026-08-12 09:09:14</t>
  </si>
  <si>
    <t>19026668</t>
  </si>
  <si>
    <t>2026-08-14 14:11:16</t>
  </si>
  <si>
    <t>2026-08-10 06:30:13</t>
  </si>
  <si>
    <t>2026-08-13 16:52:01</t>
  </si>
  <si>
    <t>2026-08-13 16:39:07</t>
  </si>
  <si>
    <t>2026-08-14 16:36:04</t>
  </si>
  <si>
    <t>19021669</t>
  </si>
  <si>
    <t>19010618</t>
  </si>
  <si>
    <t>2026-08-14 14:16:14</t>
  </si>
  <si>
    <t>2026-08-12 13:42:50</t>
  </si>
  <si>
    <t>2026-08-10 09:27:20</t>
  </si>
  <si>
    <t>19004906</t>
  </si>
  <si>
    <t>2026-08-14 09:09:47</t>
  </si>
  <si>
    <t>2026-08-14 09:49:55</t>
  </si>
  <si>
    <t>19018910</t>
  </si>
  <si>
    <t>19004344</t>
  </si>
  <si>
    <t>2026-08-13 23:35:52</t>
  </si>
  <si>
    <t>19024136</t>
  </si>
  <si>
    <t>2026-08-12 13:48:16</t>
  </si>
  <si>
    <t>20270721000000</t>
  </si>
  <si>
    <t>19017393</t>
  </si>
  <si>
    <t>2026-08-14 16:24:46</t>
  </si>
  <si>
    <t>19006679</t>
  </si>
  <si>
    <t>2026-08-12 01:00:36</t>
  </si>
  <si>
    <t>19004842</t>
  </si>
  <si>
    <t>19002424</t>
  </si>
  <si>
    <t>19017841</t>
  </si>
  <si>
    <t>19003687</t>
  </si>
  <si>
    <t>2026-08-12 13:35:51</t>
  </si>
  <si>
    <t>2026-08-15 20:12:37</t>
  </si>
  <si>
    <t>2026-08-13 23:33:13</t>
  </si>
  <si>
    <t>19007017</t>
  </si>
  <si>
    <t>19011101</t>
  </si>
  <si>
    <t>2026-08-11 23:19:55</t>
  </si>
  <si>
    <t>19019744</t>
  </si>
  <si>
    <t>2026-08-12 15:41:37</t>
  </si>
  <si>
    <t>2026-08-12 18:41:50</t>
  </si>
  <si>
    <t>2026-08-10 06:04:41</t>
  </si>
  <si>
    <t>19002203</t>
  </si>
  <si>
    <t>19014184</t>
  </si>
  <si>
    <t>2026-08-14 13:57:28</t>
  </si>
  <si>
    <t>2026-08-12 07:52:31</t>
  </si>
  <si>
    <t>1001</t>
  </si>
  <si>
    <t>2026-08-10 08:43:48</t>
  </si>
  <si>
    <t>19001130</t>
  </si>
  <si>
    <t>2026-08-11 00:39:48</t>
  </si>
  <si>
    <t>19005365</t>
  </si>
  <si>
    <t>19015857</t>
  </si>
  <si>
    <t>1008</t>
  </si>
  <si>
    <t>2026-08-12 18:28:27</t>
  </si>
  <si>
    <t>2026-08-12 07:06:07</t>
  </si>
  <si>
    <t>2026-08-12 13:20:50</t>
  </si>
  <si>
    <t>2026-08-10 14:04:51</t>
  </si>
  <si>
    <t>2026-08-14 11:05:17</t>
  </si>
  <si>
    <t>2026-08-14 06:45:05</t>
  </si>
  <si>
    <t>19008645</t>
  </si>
  <si>
    <t>19001608</t>
  </si>
  <si>
    <t>19022175</t>
  </si>
  <si>
    <t>2026-08-14 15:38:37</t>
  </si>
  <si>
    <t>2026-08-11 23:41:54</t>
  </si>
  <si>
    <t>19004939</t>
  </si>
  <si>
    <t>19001519</t>
  </si>
  <si>
    <t>19013883</t>
  </si>
  <si>
    <t>2026-08-10 15:39:55</t>
  </si>
  <si>
    <t>2026-08-10 18:07:19</t>
  </si>
  <si>
    <t>2026-08-15 16:16:39</t>
  </si>
  <si>
    <t>19012252</t>
  </si>
  <si>
    <t>19006081</t>
  </si>
  <si>
    <t>19002422</t>
  </si>
  <si>
    <t>19019864</t>
  </si>
  <si>
    <t>2026-08-15 16:02:28</t>
  </si>
  <si>
    <t>19024853</t>
  </si>
  <si>
    <t>2026-08-14 13:59:29</t>
  </si>
  <si>
    <t>2026-08-10 11:32:18</t>
  </si>
  <si>
    <t>2026-08-13 23:16:05</t>
  </si>
  <si>
    <t>2026-08-13 16:41:51</t>
  </si>
  <si>
    <t>19010988</t>
  </si>
  <si>
    <t>19005920</t>
  </si>
  <si>
    <t>2026-08-10 20:45:58</t>
  </si>
  <si>
    <t>2026-08-14 14:36:52</t>
  </si>
  <si>
    <t>19015449</t>
  </si>
  <si>
    <t>19004552</t>
  </si>
  <si>
    <t>2026-08-14 06:59:50</t>
  </si>
  <si>
    <t>19012127</t>
  </si>
  <si>
    <t>2026-08-15 22:26:07</t>
  </si>
  <si>
    <t>19024272</t>
  </si>
  <si>
    <t>2026-08-14 09:42:46</t>
  </si>
  <si>
    <t>2026-08-12 08:35:27</t>
  </si>
  <si>
    <t>2026-08-10 13:35:32</t>
  </si>
  <si>
    <t>2026-08-13 16:51:39</t>
  </si>
  <si>
    <t>19014728</t>
  </si>
  <si>
    <t>2026-08-14 14:11:20</t>
  </si>
  <si>
    <t>19019685</t>
  </si>
  <si>
    <t>19005324</t>
  </si>
  <si>
    <t>19001659</t>
  </si>
  <si>
    <t>19023792</t>
  </si>
  <si>
    <t>2026-08-12 13:28:27</t>
  </si>
  <si>
    <t>2026-08-10 10:33:34</t>
  </si>
  <si>
    <t>19025857</t>
  </si>
  <si>
    <t>19021677</t>
  </si>
  <si>
    <t>20270930000000</t>
  </si>
  <si>
    <t>2026-08-12 07:43:13</t>
  </si>
  <si>
    <t>19008622</t>
  </si>
  <si>
    <t>19001072</t>
  </si>
  <si>
    <t>19007353</t>
  </si>
  <si>
    <t>2026-08-12 18:32:00</t>
  </si>
  <si>
    <t>19007247</t>
  </si>
  <si>
    <t>2026-08-14 12:39:10</t>
  </si>
  <si>
    <t>19016683</t>
  </si>
  <si>
    <t>19014702</t>
  </si>
  <si>
    <t>19010067</t>
  </si>
  <si>
    <t>2026-08-11 21:49:03</t>
  </si>
  <si>
    <t>19021664</t>
  </si>
  <si>
    <t>19023255</t>
  </si>
  <si>
    <t>19002601</t>
  </si>
  <si>
    <t>19001945</t>
  </si>
  <si>
    <t>19009471</t>
  </si>
  <si>
    <t>2026-08-10 13:44:28</t>
  </si>
  <si>
    <t>19016576</t>
  </si>
  <si>
    <t>2026-08-10 20:56:30</t>
  </si>
  <si>
    <t>19016784</t>
  </si>
  <si>
    <t>2026-08-12 07:47:19</t>
  </si>
  <si>
    <t>19012177</t>
  </si>
  <si>
    <t>19005488</t>
  </si>
  <si>
    <t>19005226</t>
  </si>
  <si>
    <t>19002611</t>
  </si>
  <si>
    <t>19000508</t>
  </si>
  <si>
    <t>19008328</t>
  </si>
  <si>
    <t>19001012</t>
  </si>
  <si>
    <t>19015703</t>
  </si>
  <si>
    <t>19002975</t>
  </si>
  <si>
    <t>2026-08-14 15:02:24</t>
  </si>
  <si>
    <t>19002303</t>
  </si>
  <si>
    <t>20270519150000</t>
  </si>
  <si>
    <t>19007456</t>
  </si>
  <si>
    <t>19001633</t>
  </si>
  <si>
    <t>19015035</t>
  </si>
  <si>
    <t>2026-08-10 20:49:26</t>
  </si>
  <si>
    <t>19006831</t>
  </si>
  <si>
    <t>2026-08-12 07:09:44</t>
  </si>
  <si>
    <t>19009920</t>
  </si>
  <si>
    <t>19010116</t>
  </si>
  <si>
    <t>19005482</t>
  </si>
  <si>
    <t>19007536</t>
  </si>
  <si>
    <t>19027085</t>
  </si>
  <si>
    <t>2026-08-10 13:22:48</t>
  </si>
  <si>
    <t>19024368</t>
  </si>
  <si>
    <t>19004488</t>
  </si>
  <si>
    <t>2026-08-10 13:51:14</t>
  </si>
  <si>
    <t>2026-08-10 20:21:30</t>
  </si>
  <si>
    <t>2026-08-10 10:35:05</t>
  </si>
  <si>
    <t>2026-08-10 06:07:34</t>
  </si>
  <si>
    <t>19011303</t>
  </si>
  <si>
    <t>2026-08-12 09:48:23</t>
  </si>
  <si>
    <t>2026-08-13 23:39:59</t>
  </si>
  <si>
    <t>2026-08-10 07:09:16</t>
  </si>
  <si>
    <t>20270604150000</t>
  </si>
  <si>
    <t>19002641</t>
  </si>
  <si>
    <t>2026-08-10 13:44:19</t>
  </si>
  <si>
    <t>2026-08-13 23:10:10</t>
  </si>
  <si>
    <t>2026-08-11 21:44:15</t>
  </si>
  <si>
    <t>2026-08-10 10:16:28</t>
  </si>
  <si>
    <t>19002047</t>
  </si>
  <si>
    <t>19017336</t>
  </si>
  <si>
    <t>19001065</t>
  </si>
  <si>
    <t>2026-08-14 11:14:02</t>
  </si>
  <si>
    <t>2026-08-15 16:25:10</t>
  </si>
  <si>
    <t>2026-08-12 08:59:46</t>
  </si>
  <si>
    <t>2026-08-10 10:40:56</t>
  </si>
  <si>
    <t>19002915</t>
  </si>
  <si>
    <t>2026-08-14 16:36:11</t>
  </si>
  <si>
    <t>19008086</t>
  </si>
  <si>
    <t>2026-08-14 09:52:42</t>
  </si>
  <si>
    <t>19023492</t>
  </si>
  <si>
    <t>19001655</t>
  </si>
  <si>
    <t>19014201</t>
  </si>
  <si>
    <t>19009930</t>
  </si>
  <si>
    <t>2026-08-12 09:03:55</t>
  </si>
  <si>
    <t>19006583</t>
  </si>
  <si>
    <t>2026-08-10 09:37:57</t>
  </si>
  <si>
    <t>19017959</t>
  </si>
  <si>
    <t>2026-08-10 21:03:25</t>
  </si>
  <si>
    <t>19027393</t>
  </si>
  <si>
    <t>19025053</t>
  </si>
  <si>
    <t>20270125150000</t>
  </si>
  <si>
    <t>19013030</t>
  </si>
  <si>
    <t>19019891</t>
  </si>
  <si>
    <t>19010764</t>
  </si>
  <si>
    <t>19014866</t>
  </si>
  <si>
    <t>19016502</t>
  </si>
  <si>
    <t>19027358</t>
  </si>
  <si>
    <t>19001073</t>
  </si>
  <si>
    <t>19018841</t>
  </si>
  <si>
    <t>2026-08-14 16:38:22</t>
  </si>
  <si>
    <t>19013337</t>
  </si>
  <si>
    <t>2026-08-12 08:40:52</t>
  </si>
  <si>
    <t>19025583</t>
  </si>
  <si>
    <t>19015749</t>
  </si>
  <si>
    <t>2026-08-10 06:55:58</t>
  </si>
  <si>
    <t>2026-08-14 13:40:48</t>
  </si>
  <si>
    <t>2026-08-10 20:54:56</t>
  </si>
  <si>
    <t>2026-08-15 20:09:49</t>
  </si>
  <si>
    <t>2026-08-14 09:48:08</t>
  </si>
  <si>
    <t>2026-08-14 14:27:38</t>
  </si>
  <si>
    <t>2026-08-12 09:08:19</t>
  </si>
  <si>
    <t>19007644</t>
  </si>
  <si>
    <t>19001960</t>
  </si>
  <si>
    <t>19005102</t>
  </si>
  <si>
    <t>19002804</t>
  </si>
  <si>
    <t>2026-08-14 08:35:51</t>
  </si>
  <si>
    <t>19019308</t>
  </si>
  <si>
    <t>19007336</t>
  </si>
  <si>
    <t>19013473</t>
  </si>
  <si>
    <t>2026-08-10 16:21:55</t>
  </si>
  <si>
    <t>19019646</t>
  </si>
  <si>
    <t>2026-08-10 06:12:14</t>
  </si>
  <si>
    <t>2026-08-12 13:28:56</t>
  </si>
  <si>
    <t>2026-08-10 15:43:13</t>
  </si>
  <si>
    <t>2026-08-12 06:59:06</t>
  </si>
  <si>
    <t>19009728</t>
  </si>
  <si>
    <t>19013261</t>
  </si>
  <si>
    <t>2026-08-10 23:53:52</t>
  </si>
  <si>
    <t>19014015</t>
  </si>
  <si>
    <t>19007183</t>
  </si>
  <si>
    <t>19000090</t>
  </si>
  <si>
    <t>2026-08-10 08:31:15</t>
  </si>
  <si>
    <t>19006916</t>
  </si>
  <si>
    <t>19001366</t>
  </si>
  <si>
    <t>2026-08-14 08:26:23</t>
  </si>
  <si>
    <t>19027156</t>
  </si>
  <si>
    <t>19009311</t>
  </si>
  <si>
    <t>19007056</t>
  </si>
  <si>
    <t>19005184</t>
  </si>
  <si>
    <t>19014951</t>
  </si>
  <si>
    <t>19004889</t>
  </si>
  <si>
    <t>2026-08-14 07:07:55</t>
  </si>
  <si>
    <t>19003745</t>
  </si>
  <si>
    <t>2026-08-10 21:05:38</t>
  </si>
  <si>
    <t>2026-08-14 14:00:03</t>
  </si>
  <si>
    <t>2026-08-12 15:34:30</t>
  </si>
  <si>
    <t>2026-08-13 20:23:25</t>
  </si>
  <si>
    <t>19000023</t>
  </si>
  <si>
    <t>19028342</t>
  </si>
  <si>
    <t>2026-08-12 09:17:54</t>
  </si>
  <si>
    <t>19001011</t>
  </si>
  <si>
    <t>2026-08-10 17:33:21</t>
  </si>
  <si>
    <t>2026-08-14 13:48:44</t>
  </si>
  <si>
    <t>2026-08-12 08:20:02</t>
  </si>
  <si>
    <t>2026-08-10 06:17:51</t>
  </si>
  <si>
    <t>2026-08-10 10:18:19</t>
  </si>
  <si>
    <t>2026-08-12 06:54:31</t>
  </si>
  <si>
    <t>2026-08-10 06:03:41</t>
  </si>
  <si>
    <t>19021456</t>
  </si>
  <si>
    <t>2026-08-12 09:49:31</t>
  </si>
  <si>
    <t>2026-08-13 16:46:48</t>
  </si>
  <si>
    <t>2026-08-10 20:53:31</t>
  </si>
  <si>
    <t>2026-08-11 22:58:48</t>
  </si>
  <si>
    <t>2026-08-12 01:00:40</t>
  </si>
  <si>
    <t>19019127</t>
  </si>
  <si>
    <t>20270720150000</t>
  </si>
  <si>
    <t>19021912</t>
  </si>
  <si>
    <t>2026-08-12 00:57:07</t>
  </si>
  <si>
    <t>19023668</t>
  </si>
  <si>
    <t>19001825</t>
  </si>
  <si>
    <t>19025756</t>
  </si>
  <si>
    <t>2026-08-12 15:23:14</t>
  </si>
  <si>
    <t>2026-08-10 06:16:50</t>
  </si>
  <si>
    <t>19002397</t>
  </si>
  <si>
    <t>2026-08-14 14:16:57</t>
  </si>
  <si>
    <t>2026-08-10 18:05:58</t>
  </si>
  <si>
    <t>19030245</t>
  </si>
  <si>
    <t>19025896</t>
  </si>
  <si>
    <t>2026-08-12 06:52:37</t>
  </si>
  <si>
    <t>2026-08-10 20:46:01</t>
  </si>
  <si>
    <t>19009443</t>
  </si>
  <si>
    <t>19023534</t>
  </si>
  <si>
    <t>2026-08-12 09:08:14</t>
  </si>
  <si>
    <t>19014499</t>
  </si>
  <si>
    <t>2026-08-12 13:36:07</t>
  </si>
  <si>
    <t>2026-08-15 16:12:39</t>
  </si>
  <si>
    <t>19005371</t>
  </si>
  <si>
    <t>19014000</t>
  </si>
  <si>
    <t>19011073</t>
  </si>
  <si>
    <t>2026-08-13 23:28:37</t>
  </si>
  <si>
    <t>2026-08-14 11:07:39</t>
  </si>
  <si>
    <t>19009929</t>
  </si>
  <si>
    <t>2026-08-10 16:38:49</t>
  </si>
  <si>
    <t>2026-08-14 16:16:17</t>
  </si>
  <si>
    <t>2026-08-12 09:15:34</t>
  </si>
  <si>
    <t>2026-08-10 16:53:59</t>
  </si>
  <si>
    <t>2026-08-10 15:30:57</t>
  </si>
  <si>
    <t>19014839</t>
  </si>
  <si>
    <t>19008927</t>
  </si>
  <si>
    <t>19006091</t>
  </si>
  <si>
    <t>19017293</t>
  </si>
  <si>
    <t>19010732</t>
  </si>
  <si>
    <t>2026-08-10 17:22:17</t>
  </si>
  <si>
    <t>19015639</t>
  </si>
  <si>
    <t>2026-08-12 07:03:48</t>
  </si>
  <si>
    <t>2026-08-13 16:51:44</t>
  </si>
  <si>
    <t>19005709</t>
  </si>
  <si>
    <t>19028366</t>
  </si>
  <si>
    <t>2026-08-10 20:30:17</t>
  </si>
  <si>
    <t>19014080</t>
  </si>
  <si>
    <t>2026-08-10 07:35:57</t>
  </si>
  <si>
    <t>19003881</t>
  </si>
  <si>
    <t>2026-08-10 20:37:26</t>
  </si>
  <si>
    <t>19003992</t>
  </si>
  <si>
    <t>2026-08-10 18:01:37</t>
  </si>
  <si>
    <t>2026-08-14 15:38:42</t>
  </si>
  <si>
    <t>19016859</t>
  </si>
  <si>
    <t>2026-08-12 13:25:34</t>
  </si>
  <si>
    <t>1002</t>
  </si>
  <si>
    <t>2026-08-12 08:42:49</t>
  </si>
  <si>
    <t>2026-08-12 07:02:58</t>
  </si>
  <si>
    <t>19014606</t>
  </si>
  <si>
    <t>19006117</t>
  </si>
  <si>
    <t>2026-08-10 15:45:33</t>
  </si>
  <si>
    <t>2026-08-10 09:50:58</t>
  </si>
  <si>
    <t>2026-08-14 10:19:05</t>
  </si>
  <si>
    <t>2026-08-10 10:17:18</t>
  </si>
  <si>
    <t>19003330</t>
  </si>
  <si>
    <t>19009507</t>
  </si>
  <si>
    <t>2026-08-14 18:39:20</t>
  </si>
  <si>
    <t>일신)캇예스베러버니사워</t>
  </si>
  <si>
    <t>19015098</t>
  </si>
  <si>
    <t>19014350</t>
  </si>
  <si>
    <t>2026-08-10 21:08:39</t>
  </si>
  <si>
    <t>19001801</t>
  </si>
  <si>
    <t>2026-08-14 08:45:57</t>
  </si>
  <si>
    <t>19000316</t>
  </si>
  <si>
    <t>19014253</t>
  </si>
  <si>
    <t>19008585</t>
  </si>
  <si>
    <t>8801308450342</t>
  </si>
  <si>
    <t>2026-08-12 13:34:27</t>
  </si>
  <si>
    <t>2026-08-10 09:21:58</t>
  </si>
  <si>
    <t>2026-08-12 09:03:41</t>
  </si>
  <si>
    <t>19022262</t>
  </si>
  <si>
    <t>19003971</t>
  </si>
  <si>
    <t>19010986</t>
  </si>
  <si>
    <t>19021276</t>
  </si>
  <si>
    <t>19012243</t>
  </si>
  <si>
    <t>19003403</t>
  </si>
  <si>
    <t>19018842</t>
  </si>
  <si>
    <t>19001643</t>
  </si>
  <si>
    <t>2026-08-15 21:08:15</t>
  </si>
  <si>
    <t>19001517</t>
  </si>
  <si>
    <t>19017116</t>
  </si>
  <si>
    <t>19003283</t>
  </si>
  <si>
    <t>입력자</t>
  </si>
  <si>
    <t>19003296</t>
  </si>
  <si>
    <t>19019839</t>
  </si>
  <si>
    <t>19023673</t>
  </si>
  <si>
    <t>19011202</t>
  </si>
  <si>
    <t>2026-08-10 17:27:47</t>
  </si>
  <si>
    <t>2026-08-10 16:31:34</t>
  </si>
  <si>
    <t>2026-08-14 11:07:34</t>
  </si>
  <si>
    <t>2026-08-10 18:05:52</t>
  </si>
  <si>
    <t>2026-08-14 18:28:45</t>
  </si>
  <si>
    <t>19008042</t>
  </si>
  <si>
    <t>2026-08-10 08:19:17</t>
  </si>
  <si>
    <t>19011558</t>
  </si>
  <si>
    <t>2026-08-10 09:31:44</t>
  </si>
  <si>
    <t>2026-08-10 10:22:20</t>
  </si>
  <si>
    <t>2026-08-14 09:40:23</t>
  </si>
  <si>
    <t>19012432</t>
  </si>
  <si>
    <t>2026-08-12 09:03:46</t>
  </si>
  <si>
    <t>2026-08-14 13:46:54</t>
  </si>
  <si>
    <t>2026-08-13 16:37:23</t>
  </si>
  <si>
    <t>19012268</t>
  </si>
  <si>
    <t>2026-08-10 17:30:19</t>
  </si>
  <si>
    <t>19011580</t>
  </si>
  <si>
    <t>19025256</t>
  </si>
  <si>
    <t>19000471</t>
  </si>
  <si>
    <t>2026-08-10 13:48:13</t>
  </si>
  <si>
    <t>2026-08-14 14:17:29</t>
  </si>
  <si>
    <t>2026-08-10 13:14:03</t>
  </si>
  <si>
    <t>2026-08-12 13:52:39</t>
  </si>
  <si>
    <t>2026-08-14 08:43:49</t>
  </si>
  <si>
    <t>19000479</t>
  </si>
  <si>
    <t>2026-08-12 07:17:11</t>
  </si>
  <si>
    <t>19004586</t>
  </si>
  <si>
    <t>2026-08-10 15:24:24</t>
  </si>
  <si>
    <t>2026-08-10 16:25:38</t>
  </si>
  <si>
    <t>19002827</t>
  </si>
  <si>
    <t>2026-08-14 14:24:20</t>
  </si>
  <si>
    <t>1010</t>
  </si>
  <si>
    <t>19023128</t>
  </si>
  <si>
    <t>19010056</t>
  </si>
  <si>
    <t>2026-08-12 07:06:47</t>
  </si>
  <si>
    <t>2026-08-10 20:35:02</t>
  </si>
  <si>
    <t>2026-08-12 07:06:12</t>
  </si>
  <si>
    <t>19014514</t>
  </si>
  <si>
    <t>19027215</t>
  </si>
  <si>
    <t>2026-08-12 08:45:02</t>
  </si>
  <si>
    <t>19011055</t>
  </si>
  <si>
    <t>19006729</t>
  </si>
  <si>
    <t>2026-08-12 18:49:22</t>
  </si>
  <si>
    <t>2026-08-12 07:14:29</t>
  </si>
  <si>
    <t>19015491</t>
  </si>
  <si>
    <t>2026-08-12 16:18:03</t>
  </si>
  <si>
    <t>19018853</t>
  </si>
  <si>
    <t>19017824</t>
  </si>
  <si>
    <t>2026-08-15 21:15:45</t>
  </si>
  <si>
    <t>2026-08-14 07:12:01</t>
  </si>
  <si>
    <t>19003921</t>
  </si>
  <si>
    <t>19020190</t>
  </si>
  <si>
    <t>19002609</t>
  </si>
  <si>
    <t>19002838</t>
  </si>
  <si>
    <t>2026-08-10 06:45:07</t>
  </si>
  <si>
    <t>2026-08-15 16:28:55</t>
  </si>
  <si>
    <t>2026-08-10 20:42:01</t>
  </si>
  <si>
    <t>2026-08-10 16:49:41</t>
  </si>
  <si>
    <t>19000069</t>
  </si>
  <si>
    <t>2026-08-13 20:17:43</t>
  </si>
  <si>
    <t>19026617</t>
  </si>
  <si>
    <t>19000434</t>
  </si>
  <si>
    <t>2026-08-14 10:27:32</t>
  </si>
  <si>
    <t>19017094</t>
  </si>
  <si>
    <t>19024152</t>
  </si>
  <si>
    <t>2026-08-14 06:57:27</t>
  </si>
  <si>
    <t>2026-08-10 10:34:22</t>
  </si>
  <si>
    <t>19020756</t>
  </si>
  <si>
    <t>2026-08-12 13:20:56</t>
  </si>
  <si>
    <t>19007099</t>
  </si>
  <si>
    <t>2026-08-12 09:40:56</t>
  </si>
  <si>
    <t>19018640</t>
  </si>
  <si>
    <t>19014104</t>
  </si>
  <si>
    <t>2026-08-10 23:31:26</t>
  </si>
  <si>
    <t>19016265</t>
  </si>
  <si>
    <t>19025604</t>
  </si>
  <si>
    <t>2026-08-14 10:39:53</t>
  </si>
  <si>
    <t>19012007</t>
  </si>
  <si>
    <t>2026-08-12 09:42:13</t>
  </si>
  <si>
    <t>2026-08-14 14:11:22</t>
  </si>
  <si>
    <t>2026-08-13 17:36:04</t>
  </si>
  <si>
    <t>2026-08-10 06:41:09</t>
  </si>
  <si>
    <t>19019411</t>
  </si>
  <si>
    <t>19016524</t>
  </si>
  <si>
    <t>19001709</t>
  </si>
  <si>
    <t>19003124</t>
  </si>
  <si>
    <t>2026-08-10 09:28:51</t>
  </si>
  <si>
    <t>19006249</t>
  </si>
  <si>
    <t>2026-08-15 16:19:44</t>
  </si>
  <si>
    <t>19009286</t>
  </si>
  <si>
    <t>19001593</t>
  </si>
  <si>
    <t>2026-08-10 20:39:00</t>
  </si>
  <si>
    <t>19022210</t>
  </si>
  <si>
    <t>19023257</t>
  </si>
  <si>
    <t>19010445</t>
  </si>
  <si>
    <t>19013513</t>
  </si>
  <si>
    <t>2026-08-14 06:47:00</t>
  </si>
  <si>
    <t>2026-08-10 15:20:57</t>
  </si>
  <si>
    <t>19002401</t>
  </si>
  <si>
    <t>19005770</t>
  </si>
  <si>
    <t>19002577</t>
  </si>
  <si>
    <t>19021120</t>
  </si>
  <si>
    <t>2026-08-13 16:50:08</t>
  </si>
  <si>
    <t>19019718</t>
  </si>
  <si>
    <t>2026-08-10 20:30:14</t>
  </si>
  <si>
    <t>2026-08-14 06:46:56</t>
  </si>
  <si>
    <t>2026-08-10 13:48:18</t>
  </si>
  <si>
    <t>2026-08-12 07:01:49</t>
  </si>
  <si>
    <t>19019351</t>
  </si>
  <si>
    <t>19002879</t>
  </si>
  <si>
    <t>19008788</t>
  </si>
  <si>
    <t>2026-08-10 06:29:02</t>
  </si>
  <si>
    <t>19001923</t>
  </si>
  <si>
    <t>19010871</t>
  </si>
  <si>
    <t>2026-08-11 21:44:21</t>
  </si>
  <si>
    <t>6917878047201</t>
  </si>
  <si>
    <t>19000201</t>
  </si>
  <si>
    <t>2026-08-13 17:22:50</t>
  </si>
  <si>
    <t>2026-08-15 20:10:37</t>
  </si>
  <si>
    <t>2026-08-12 13:45:33</t>
  </si>
  <si>
    <t>2026-08-13 20:27:13</t>
  </si>
  <si>
    <t>19015562</t>
  </si>
  <si>
    <t>2026-08-14 07:05:16</t>
  </si>
  <si>
    <t>2026-08-12 13:17:15</t>
  </si>
  <si>
    <t>19003442</t>
  </si>
  <si>
    <t>유통기한</t>
  </si>
  <si>
    <t>2026-08-15 16:06:28</t>
  </si>
  <si>
    <t>19003957</t>
  </si>
  <si>
    <t>19017146</t>
  </si>
  <si>
    <t>2026-08-14 06:54:47</t>
  </si>
  <si>
    <t>2026-08-10 15:35:18</t>
  </si>
  <si>
    <t>2026-08-12 07:03:01</t>
  </si>
  <si>
    <t>2026-08-12 13:32:43</t>
  </si>
  <si>
    <t>2026-08-14 18:25:36</t>
  </si>
  <si>
    <t>19013577</t>
  </si>
  <si>
    <t>19014778</t>
  </si>
  <si>
    <t>19005345</t>
  </si>
  <si>
    <t>19009482</t>
  </si>
  <si>
    <t>19014070</t>
  </si>
  <si>
    <t>19015714</t>
  </si>
  <si>
    <t>2026-08-14 10:35:02</t>
  </si>
  <si>
    <t>2026-08-12 08:54:07</t>
  </si>
  <si>
    <t>2026-08-12 08:37:30</t>
  </si>
  <si>
    <t>2026-08-14 09:50:17</t>
  </si>
  <si>
    <t>19011909</t>
  </si>
  <si>
    <t>2026-08-10 14:07:49</t>
  </si>
  <si>
    <t>19005287</t>
  </si>
  <si>
    <t>네슬레)프루팁스젤리70g</t>
  </si>
  <si>
    <t>CJ)맛밤36g</t>
  </si>
  <si>
    <t>19004989</t>
  </si>
  <si>
    <t>19004382</t>
  </si>
  <si>
    <t>2026-08-15 16:15:22</t>
  </si>
  <si>
    <t>19016824</t>
  </si>
  <si>
    <t>19010213</t>
  </si>
  <si>
    <t>2026-08-10 09:33:15</t>
  </si>
  <si>
    <t>19005385</t>
  </si>
  <si>
    <t>19010295</t>
  </si>
  <si>
    <t>19015614</t>
  </si>
  <si>
    <t>19002562</t>
  </si>
  <si>
    <t>2026-08-14 09:49:59</t>
  </si>
  <si>
    <t>19010312</t>
  </si>
  <si>
    <t>19013292</t>
  </si>
  <si>
    <t>2026-08-12 15:28:59</t>
  </si>
  <si>
    <t>19017508</t>
  </si>
  <si>
    <t>8801392136160</t>
  </si>
  <si>
    <t>19022603</t>
  </si>
  <si>
    <t>2026-08-10 11:10:34</t>
  </si>
  <si>
    <t>2026-08-12 15:18:08</t>
  </si>
  <si>
    <t>2026-08-12 13:55:13</t>
  </si>
  <si>
    <t>2026-08-12 13:13:53</t>
  </si>
  <si>
    <t>19000762</t>
  </si>
  <si>
    <t>2026-08-10 18:10:55</t>
  </si>
  <si>
    <t>19017693</t>
  </si>
  <si>
    <t>2026-08-11 00:22:19</t>
  </si>
  <si>
    <t>2026-08-10 20:56:33</t>
  </si>
  <si>
    <t>19011010</t>
  </si>
  <si>
    <t>2026-08-10 06:27:18</t>
  </si>
  <si>
    <t>2026-08-11 21:51:28</t>
  </si>
  <si>
    <t>19013901</t>
  </si>
  <si>
    <t>2026-08-10 06:15:42</t>
  </si>
  <si>
    <t>2026-08-14 08:32:41</t>
  </si>
  <si>
    <t>2026-08-13 23:17:35</t>
  </si>
  <si>
    <t>2026-08-14 16:29:52</t>
  </si>
  <si>
    <t>2026-08-12 08:27:13</t>
  </si>
  <si>
    <t>19018471</t>
  </si>
  <si>
    <t>19026217</t>
  </si>
  <si>
    <t>2026-08-10 13:15:48</t>
  </si>
  <si>
    <t>2026-08-12 09:40:11</t>
  </si>
  <si>
    <t>2026-08-14 09:50:05</t>
  </si>
  <si>
    <t>2026-08-11 22:55:35</t>
  </si>
  <si>
    <t>19007993</t>
  </si>
  <si>
    <t>2026-08-15 16:27:00</t>
  </si>
  <si>
    <t>19000567</t>
  </si>
  <si>
    <t>8801117344108</t>
  </si>
  <si>
    <t>2026-08-14 13:41:34</t>
  </si>
  <si>
    <t>2026-08-10 15:36:26</t>
  </si>
  <si>
    <t>2026-08-11 00:44:26</t>
  </si>
  <si>
    <t>19001436</t>
  </si>
  <si>
    <t>19016414</t>
  </si>
  <si>
    <t>2026-08-10 06:31:59</t>
  </si>
  <si>
    <t>2026-08-12 18:46:09</t>
  </si>
  <si>
    <t>2026-08-14 11:10:30</t>
  </si>
  <si>
    <t>19002223</t>
  </si>
  <si>
    <t>19013027</t>
  </si>
  <si>
    <t>2026-08-15 16:16:47</t>
  </si>
  <si>
    <t>2026-08-12 06:42:56</t>
  </si>
  <si>
    <t>19023544</t>
  </si>
  <si>
    <t>2026-08-10 07:09:43</t>
  </si>
  <si>
    <t>2026-08-10 09:38:28</t>
  </si>
  <si>
    <t>19012851</t>
  </si>
  <si>
    <t>2026-08-12 15:32:50</t>
  </si>
  <si>
    <t>2026-08-10 13:48:04</t>
  </si>
  <si>
    <t>2026-08-10 06:12:10</t>
  </si>
  <si>
    <t>2026-08-11 23:27:41</t>
  </si>
  <si>
    <t>19008875</t>
  </si>
  <si>
    <t>2026-08-10 07:14:20</t>
  </si>
  <si>
    <t>19000983</t>
  </si>
  <si>
    <t>19020313</t>
  </si>
  <si>
    <t>19002057</t>
  </si>
  <si>
    <t>2026-08-12 13:37:12</t>
  </si>
  <si>
    <t>2026-08-10 09:30:01</t>
  </si>
  <si>
    <t>2026-08-15 21:10:34</t>
  </si>
  <si>
    <t>2026-08-10 06:27:59</t>
  </si>
  <si>
    <t>19013921</t>
  </si>
  <si>
    <t>19008540</t>
  </si>
  <si>
    <t>19014887</t>
  </si>
  <si>
    <t>2026-08-10 20:40:30</t>
  </si>
  <si>
    <t>19013035</t>
  </si>
  <si>
    <t>2026-08-14 15:41:04</t>
  </si>
  <si>
    <t>2026-08-10 08:48:52</t>
  </si>
  <si>
    <t>19012409</t>
  </si>
  <si>
    <t>19022489</t>
  </si>
  <si>
    <t>19001317</t>
  </si>
  <si>
    <t>2026-08-12 06:50:34</t>
  </si>
  <si>
    <t>2026-08-10 06:33:42</t>
  </si>
  <si>
    <t>19019272</t>
  </si>
  <si>
    <t>2026-08-14 07:51:24</t>
  </si>
  <si>
    <t>19012102</t>
  </si>
  <si>
    <t>19011760</t>
  </si>
  <si>
    <t>2026-08-10 21:04:12</t>
  </si>
  <si>
    <t>19009719</t>
  </si>
  <si>
    <t>19001057</t>
  </si>
  <si>
    <t>2026-08-14 07:10:09</t>
  </si>
  <si>
    <t>19005612</t>
  </si>
  <si>
    <t>2026-08-10 10:44:23</t>
  </si>
  <si>
    <t>19003081</t>
  </si>
  <si>
    <t>19007573</t>
  </si>
  <si>
    <t>19005125</t>
  </si>
  <si>
    <t>19008735</t>
  </si>
  <si>
    <t>2026-08-10 20:56:24</t>
  </si>
  <si>
    <t>2026-08-13 20:25:19</t>
  </si>
  <si>
    <t>19003803</t>
  </si>
  <si>
    <t>2026-08-13 21:32:56</t>
  </si>
  <si>
    <t>2026-08-12 07:16:01</t>
  </si>
  <si>
    <t>19018735</t>
  </si>
  <si>
    <t>19019912</t>
  </si>
  <si>
    <t>19014910</t>
  </si>
  <si>
    <t>2026-08-11 22:50:27</t>
  </si>
  <si>
    <t>19003484</t>
  </si>
  <si>
    <t>2026-08-10 07:52:27</t>
  </si>
  <si>
    <t>19004598</t>
  </si>
  <si>
    <t>19016480</t>
  </si>
  <si>
    <t>2026-08-10 08:47:40</t>
  </si>
  <si>
    <t>19004908</t>
  </si>
  <si>
    <t>2026-08-14 11:10:28</t>
  </si>
  <si>
    <t>19027700</t>
  </si>
  <si>
    <t>19006466</t>
  </si>
  <si>
    <t>19022584</t>
  </si>
  <si>
    <t>19010562</t>
  </si>
  <si>
    <t>19021840</t>
  </si>
  <si>
    <t>2026-08-14 14:34:01</t>
  </si>
  <si>
    <t>2026-08-14 15:42:40</t>
  </si>
  <si>
    <t>2026-08-14 15:01:55</t>
  </si>
  <si>
    <t>19000766</t>
  </si>
  <si>
    <t>2026-08-12 08:58:36</t>
  </si>
  <si>
    <t>19001107</t>
  </si>
  <si>
    <t>19007294</t>
  </si>
  <si>
    <t>2026-08-10 07:17:09</t>
  </si>
  <si>
    <t>19016595</t>
  </si>
  <si>
    <t>2026-08-12 08:29:07</t>
  </si>
  <si>
    <t>2026-08-10 11:28:38</t>
  </si>
  <si>
    <t>2026-08-10 10:39:26</t>
  </si>
  <si>
    <t>2026-08-10 20:49:28</t>
  </si>
  <si>
    <t>2026-08-14 07:55:35</t>
  </si>
  <si>
    <t>2026-08-14 14:00:01</t>
  </si>
  <si>
    <t>2026-08-14 14:11:57</t>
  </si>
  <si>
    <t>2026-08-10 10:40:42</t>
  </si>
  <si>
    <t>2026-08-13 20:25:22</t>
  </si>
  <si>
    <t>2026-08-14 08:30:58</t>
  </si>
  <si>
    <t>2026-08-10 06:13:49</t>
  </si>
  <si>
    <t>2026-08-15 20:22:47</t>
  </si>
  <si>
    <t>19000577</t>
  </si>
  <si>
    <t>19017067</t>
  </si>
  <si>
    <t>2026-08-10 09:47:49</t>
  </si>
  <si>
    <t>2026-08-12 06:50:42</t>
  </si>
  <si>
    <t>2026-08-11 21:47:47</t>
  </si>
  <si>
    <t>19012597</t>
  </si>
  <si>
    <t>2026-08-13 23:26:45</t>
  </si>
  <si>
    <t>19009224</t>
  </si>
  <si>
    <t>2026-08-11 04:12:28</t>
  </si>
  <si>
    <t>2026-08-10 16:23:47</t>
  </si>
  <si>
    <t>19020880</t>
  </si>
  <si>
    <t>2026-08-13 21:51:26</t>
  </si>
  <si>
    <t>2026-08-12 16:00:45</t>
  </si>
  <si>
    <t>2026-08-10 09:27:15</t>
  </si>
  <si>
    <t>19015093</t>
  </si>
  <si>
    <t>19009775</t>
  </si>
  <si>
    <t>2026-08-10 17:35:51</t>
  </si>
  <si>
    <t>2026-08-12 15:19:57</t>
  </si>
  <si>
    <t>2026-08-10 15:22:05</t>
  </si>
  <si>
    <t>2026-08-12 15:37:32</t>
  </si>
  <si>
    <t>2026-08-15 20:59:46</t>
  </si>
  <si>
    <t>19002848</t>
  </si>
  <si>
    <t>2026-08-14 14:22:13</t>
  </si>
  <si>
    <t>2026-08-13 16:45:02</t>
  </si>
  <si>
    <t>2026-08-14 10:20:27</t>
  </si>
  <si>
    <t>19010434</t>
  </si>
  <si>
    <t>19004936</t>
  </si>
  <si>
    <t>19017377</t>
  </si>
  <si>
    <t>2026-08-10 15:36:54</t>
  </si>
  <si>
    <t>2026-08-10 09:05:49</t>
  </si>
  <si>
    <t>2026-08-14 18:25:38</t>
  </si>
  <si>
    <t>19003760</t>
  </si>
  <si>
    <t>2026-08-10 17:38:57</t>
  </si>
  <si>
    <t>19000767</t>
  </si>
  <si>
    <t>19001664</t>
  </si>
  <si>
    <t>19000048</t>
  </si>
  <si>
    <t>2026-08-12 13:46:27</t>
  </si>
  <si>
    <t>2026-08-12 09:03:08</t>
  </si>
  <si>
    <t>2026-08-10 15:29:15</t>
  </si>
  <si>
    <t>19000765</t>
  </si>
  <si>
    <t>19021791</t>
  </si>
  <si>
    <t>19020374</t>
  </si>
  <si>
    <t>19004733</t>
  </si>
  <si>
    <t>2026-08-12 09:09:10</t>
  </si>
  <si>
    <t>19021363</t>
  </si>
  <si>
    <t>2026-08-14 14:40:39</t>
  </si>
  <si>
    <t>19008797</t>
  </si>
  <si>
    <t>19022683</t>
  </si>
  <si>
    <t>2026-08-12 13:41:44</t>
  </si>
  <si>
    <t>19019660</t>
  </si>
  <si>
    <t>2026-08-12 13:22:56</t>
  </si>
  <si>
    <t>19003091</t>
  </si>
  <si>
    <t>2026-08-12 06:54:36</t>
  </si>
  <si>
    <t>2026-08-10 10:39:56</t>
  </si>
  <si>
    <t>2026-08-10 10:38:26</t>
  </si>
  <si>
    <t>2026-08-13 16:41:10</t>
  </si>
  <si>
    <t>2026-08-14 09:44:48</t>
  </si>
  <si>
    <t>2026-08-12 13:44:01</t>
  </si>
  <si>
    <t>2026-08-12 00:44:44</t>
  </si>
  <si>
    <t>19002328</t>
  </si>
  <si>
    <t>19009105</t>
  </si>
  <si>
    <t>19004369</t>
  </si>
  <si>
    <t>2026-08-13 16:31:06</t>
  </si>
  <si>
    <t>19015068</t>
  </si>
  <si>
    <t>2026-08-10 06:23:36</t>
  </si>
  <si>
    <t>19018056</t>
  </si>
  <si>
    <t>19014381</t>
  </si>
  <si>
    <t>19001813</t>
  </si>
  <si>
    <t>19009887</t>
  </si>
  <si>
    <t>19008308</t>
  </si>
  <si>
    <t>19004805</t>
  </si>
  <si>
    <t>2026-08-13 23:32:58</t>
  </si>
  <si>
    <t>2026-08-12 10:20:49</t>
  </si>
  <si>
    <t>2026-08-10 18:04:06</t>
  </si>
  <si>
    <t>2026-08-15 21:17:27</t>
  </si>
  <si>
    <t>19006947</t>
  </si>
  <si>
    <t>2026-08-14 07:49:25</t>
  </si>
  <si>
    <t>2026-08-12 09:44:53</t>
  </si>
  <si>
    <t>2026-08-10 08:22:53</t>
  </si>
  <si>
    <t>19021440</t>
  </si>
  <si>
    <t>19006669</t>
  </si>
  <si>
    <t>2026-08-12 00:35:21</t>
  </si>
  <si>
    <t>2026-08-14 15:02:06</t>
  </si>
  <si>
    <t>20270721150000</t>
  </si>
  <si>
    <t>19005230</t>
  </si>
  <si>
    <t>2026-08-12 00:40:37</t>
  </si>
  <si>
    <t>2026-08-13 23:22:23</t>
  </si>
  <si>
    <t>19009811</t>
  </si>
  <si>
    <t>2026-08-12 13:44:07</t>
  </si>
  <si>
    <t>2026-08-10 13:41:03</t>
  </si>
  <si>
    <t>19006628</t>
  </si>
  <si>
    <t>20270205150000</t>
  </si>
  <si>
    <t>19010242</t>
  </si>
  <si>
    <t>19023423</t>
  </si>
  <si>
    <t>19000347</t>
  </si>
  <si>
    <t>2026-08-10 07:30:50</t>
  </si>
  <si>
    <t>19020773</t>
  </si>
  <si>
    <t>19005303</t>
  </si>
  <si>
    <t>2026-08-15 21:12:13</t>
  </si>
  <si>
    <t>2026-08-10 08:38:11</t>
  </si>
  <si>
    <t>19012876</t>
  </si>
  <si>
    <t>19021402</t>
  </si>
  <si>
    <t>19022065</t>
  </si>
  <si>
    <t>2026-08-10 07:55:23</t>
  </si>
  <si>
    <t>2026-08-12 15:58:48</t>
  </si>
  <si>
    <t>2026-08-12 13:41:29</t>
  </si>
  <si>
    <t>19010749</t>
  </si>
  <si>
    <t>19018611</t>
  </si>
  <si>
    <t>19005173</t>
  </si>
  <si>
    <t>2026-08-12 00:37:57</t>
  </si>
  <si>
    <t>2026-08-10 15:18:55</t>
  </si>
  <si>
    <t>19005260</t>
  </si>
  <si>
    <t>2026-08-12 13:31:00</t>
  </si>
  <si>
    <t>2026-08-12 07:45:08</t>
  </si>
  <si>
    <t>19003066</t>
  </si>
  <si>
    <t>2026-08-14 11:03:20</t>
  </si>
  <si>
    <t>19003938</t>
  </si>
  <si>
    <t>19012577</t>
  </si>
  <si>
    <t>2026-08-10 11:29:47</t>
  </si>
  <si>
    <t>2026-08-15 16:11:23</t>
  </si>
  <si>
    <t>19000342</t>
  </si>
  <si>
    <t>2026-08-12 13:14:02</t>
  </si>
  <si>
    <t>상품코드</t>
  </si>
  <si>
    <t>19015431</t>
  </si>
  <si>
    <t>19006286</t>
  </si>
  <si>
    <t>19014876</t>
  </si>
  <si>
    <t>2026-08-11 21:36:06</t>
  </si>
  <si>
    <t>19004809</t>
  </si>
  <si>
    <t>2026-08-14 07:05:29</t>
  </si>
  <si>
    <t>19004543</t>
  </si>
  <si>
    <t>19002022</t>
  </si>
  <si>
    <t>19007941</t>
  </si>
  <si>
    <t>2026-08-10 08:52:20</t>
  </si>
  <si>
    <t>2026-08-14 14:53:58</t>
  </si>
  <si>
    <t>19010550</t>
  </si>
  <si>
    <t>2026-08-10 23:34:07</t>
  </si>
  <si>
    <t>19027584</t>
  </si>
  <si>
    <t>19003548</t>
  </si>
  <si>
    <t>2026-08-13 20:15:41</t>
  </si>
  <si>
    <t>19027424</t>
  </si>
  <si>
    <t>19001829</t>
  </si>
  <si>
    <t>19014149</t>
  </si>
  <si>
    <t>19013774</t>
  </si>
  <si>
    <t>2026-08-13 17:26:14</t>
  </si>
  <si>
    <t>2026-08-12 15:23:29</t>
  </si>
  <si>
    <t>19002514</t>
  </si>
  <si>
    <t>8801308449919</t>
  </si>
  <si>
    <t>19017979</t>
  </si>
  <si>
    <t>2026-08-14 08:28:51</t>
  </si>
  <si>
    <t>19023013</t>
  </si>
  <si>
    <t>19023056</t>
  </si>
  <si>
    <t>2026-08-11 00:29:57</t>
  </si>
  <si>
    <t>2026-08-12 13:23:00</t>
  </si>
  <si>
    <t>2026-08-10 07:33:06</t>
  </si>
  <si>
    <t>19016049</t>
  </si>
  <si>
    <t>19004093</t>
  </si>
  <si>
    <t>19004338</t>
  </si>
  <si>
    <t>19012033</t>
  </si>
  <si>
    <t>19007004</t>
  </si>
  <si>
    <t>작업상태</t>
  </si>
  <si>
    <t>19024125</t>
  </si>
  <si>
    <t>19000463</t>
  </si>
  <si>
    <t>2026-08-12 00:35:29</t>
  </si>
  <si>
    <t>2026-08-10 07:04:56</t>
  </si>
  <si>
    <t>19005003</t>
  </si>
  <si>
    <t>19001980</t>
  </si>
  <si>
    <t>2026-08-13 17:20:31</t>
  </si>
  <si>
    <t>2026-08-14 16:29:45</t>
  </si>
  <si>
    <t>2026-08-14 11:08:39</t>
  </si>
  <si>
    <t>19000677</t>
  </si>
  <si>
    <t>2026-08-14 14:14:39</t>
  </si>
  <si>
    <t>2026-08-12 07:28:05</t>
  </si>
  <si>
    <t>2026-08-13 21:41:51</t>
  </si>
  <si>
    <t>19014575</t>
  </si>
  <si>
    <t>2026-08-12 08:27:10</t>
  </si>
  <si>
    <t>19020554</t>
  </si>
  <si>
    <t>2026-08-12 15:58:44</t>
  </si>
  <si>
    <t>2026-08-12 13:32:51</t>
  </si>
  <si>
    <t>2026-08-13 23:31:35</t>
  </si>
  <si>
    <t>2026-08-12 13:55:09</t>
  </si>
  <si>
    <t>19001918</t>
  </si>
  <si>
    <t>2026-08-12 06:39:22</t>
  </si>
  <si>
    <t>2026-08-13 23:41:52</t>
  </si>
  <si>
    <t>19013007</t>
  </si>
  <si>
    <t>2026-08-14 15:34:16</t>
  </si>
  <si>
    <t>19010230</t>
  </si>
  <si>
    <t>19018946</t>
  </si>
  <si>
    <t>19008078</t>
  </si>
  <si>
    <t>19024472</t>
  </si>
  <si>
    <t>2026-08-11 00:44:29</t>
  </si>
  <si>
    <t>19018034</t>
  </si>
  <si>
    <t>19006846</t>
  </si>
  <si>
    <t>19004925</t>
  </si>
  <si>
    <t>19015326</t>
  </si>
  <si>
    <t>19017140</t>
  </si>
  <si>
    <t>2026-08-14 10:21:00</t>
  </si>
  <si>
    <t>2026-08-13 23:37:23</t>
  </si>
  <si>
    <t>2026-08-13 23:30:24</t>
  </si>
  <si>
    <t>19013919</t>
  </si>
  <si>
    <t>19002650</t>
  </si>
  <si>
    <t>2026-08-10 23:29:13</t>
  </si>
  <si>
    <t>2026-08-12 08:24:54</t>
  </si>
  <si>
    <t>2026-08-14 09:11:27</t>
  </si>
  <si>
    <t>19013127</t>
  </si>
  <si>
    <t>19003586</t>
  </si>
  <si>
    <t>19003416</t>
  </si>
  <si>
    <t>2026-08-14 14:31:11</t>
  </si>
  <si>
    <t>19018455</t>
  </si>
  <si>
    <t>19000132</t>
  </si>
  <si>
    <t>19001018</t>
  </si>
  <si>
    <t>19004913</t>
  </si>
  <si>
    <t>2026-08-13 23:35:18</t>
  </si>
  <si>
    <t>19027502</t>
  </si>
  <si>
    <t>2026-08-10 23:51:15</t>
  </si>
  <si>
    <t>2026-08-12 07:12:27</t>
  </si>
  <si>
    <t>2026-08-12 15:23:19</t>
  </si>
  <si>
    <t>2026-08-10 13:56:43</t>
  </si>
  <si>
    <t>19007470</t>
  </si>
  <si>
    <t>2026-08-10 09:54:53</t>
  </si>
  <si>
    <t>2026-08-12 10:23:58</t>
  </si>
  <si>
    <t>2026-08-13 16:45:18</t>
  </si>
  <si>
    <t>19028235</t>
  </si>
  <si>
    <t>2026-08-12 08:59:18</t>
  </si>
  <si>
    <t>19013411</t>
  </si>
  <si>
    <t>2026-08-15 20:15:53</t>
  </si>
  <si>
    <t>2026-08-13 23:13:19</t>
  </si>
  <si>
    <t>2026-08-14 14:47:08</t>
  </si>
  <si>
    <t>19003096</t>
  </si>
  <si>
    <t>19006398</t>
  </si>
  <si>
    <t>19011410</t>
  </si>
  <si>
    <t>19004711</t>
  </si>
  <si>
    <t>2026-08-15 21:05:57</t>
  </si>
  <si>
    <t>2026-08-13 16:38:13</t>
  </si>
  <si>
    <t>19016077</t>
  </si>
  <si>
    <t>2026-08-12 08:31:23</t>
  </si>
  <si>
    <t>19020306</t>
  </si>
  <si>
    <t>19000442</t>
  </si>
  <si>
    <t>2026-08-14 10:25:35</t>
  </si>
  <si>
    <t>19024795</t>
  </si>
  <si>
    <t>2026-08-10 11:10:27</t>
  </si>
  <si>
    <t>19000752</t>
  </si>
  <si>
    <t>19002242</t>
  </si>
  <si>
    <t>2026-08-13 21:29:23</t>
  </si>
  <si>
    <t>2026-08-14 14:47:18</t>
  </si>
  <si>
    <t>19017057</t>
  </si>
  <si>
    <t>19002228</t>
  </si>
  <si>
    <t>2026-08-10 10:33:26</t>
  </si>
  <si>
    <t>19012788</t>
  </si>
  <si>
    <t>2026-08-15 21:07:12</t>
  </si>
  <si>
    <t>2026-08-12 06:53:37</t>
  </si>
  <si>
    <t>2026-08-15 16:36:19</t>
  </si>
  <si>
    <t>19001423</t>
  </si>
  <si>
    <t>2026-08-10 15:27:12</t>
  </si>
  <si>
    <t>2026-08-12 09:50:42</t>
  </si>
  <si>
    <t>2026-08-14 15:32:56</t>
  </si>
  <si>
    <t>19016786</t>
  </si>
  <si>
    <t>2026-08-13 20:15:45</t>
  </si>
  <si>
    <t>2026-08-12 10:18:25</t>
  </si>
  <si>
    <t>2026-08-10 13:55:30</t>
  </si>
  <si>
    <t>19005811</t>
  </si>
  <si>
    <t>19006356</t>
  </si>
  <si>
    <t>19001481</t>
  </si>
  <si>
    <t>2026-08-10 09:40:13</t>
  </si>
  <si>
    <t>2026-08-14 10:31:24</t>
  </si>
  <si>
    <t>2026-08-10 13:18:12</t>
  </si>
  <si>
    <t>19018258</t>
  </si>
  <si>
    <t>19021268</t>
  </si>
  <si>
    <t>2026-08-10 15:43:17</t>
  </si>
  <si>
    <t>2026-08-10 08:25:35</t>
  </si>
  <si>
    <t>2026-08-14 14:13:30</t>
  </si>
  <si>
    <t>19005504</t>
  </si>
  <si>
    <t>2026-08-12 13:47:55</t>
  </si>
  <si>
    <t>19024191</t>
  </si>
  <si>
    <t>2026-08-10 16:51:43</t>
  </si>
  <si>
    <t>2026-08-10 08:52:25</t>
  </si>
  <si>
    <t>19018445</t>
  </si>
  <si>
    <t>19013889</t>
  </si>
  <si>
    <t>2026-08-12 18:32:07</t>
  </si>
  <si>
    <t>2026-08-13 23:34:28</t>
  </si>
  <si>
    <t>바프)와사비맛땅콩120g</t>
  </si>
  <si>
    <t>19007164</t>
  </si>
  <si>
    <t>대진)콜라향츄잉캔디13g</t>
  </si>
  <si>
    <t>19026209</t>
  </si>
  <si>
    <t>2026-08-10 15:49:39</t>
  </si>
  <si>
    <t>19005535</t>
  </si>
  <si>
    <t>19002364</t>
  </si>
  <si>
    <t>2026-08-14 14:24:36</t>
  </si>
  <si>
    <t>19000919</t>
  </si>
  <si>
    <t>19026143</t>
  </si>
  <si>
    <t>19001087</t>
  </si>
  <si>
    <t>19022156</t>
  </si>
  <si>
    <t>19019519</t>
  </si>
  <si>
    <t>19018696</t>
  </si>
  <si>
    <t>2026-08-12 15:48:17</t>
  </si>
  <si>
    <t>19021355</t>
  </si>
  <si>
    <t>19014283</t>
  </si>
  <si>
    <t>2026-08-14 10:20:29</t>
  </si>
  <si>
    <t>2026-08-13 17:24:27</t>
  </si>
  <si>
    <t>2026-08-12 06:44:43</t>
  </si>
  <si>
    <t>19005161</t>
  </si>
  <si>
    <t>2026-08-13 21:23:32</t>
  </si>
  <si>
    <t>19015943</t>
  </si>
  <si>
    <t>2026-08-14 16:34:19</t>
  </si>
  <si>
    <t>19007660</t>
  </si>
  <si>
    <t>19021999</t>
  </si>
  <si>
    <t>19015285</t>
  </si>
  <si>
    <t>2026-08-13 20:25:28</t>
  </si>
  <si>
    <t>2026-08-10 15:35:35</t>
  </si>
  <si>
    <t>2026-08-12 13:46:30</t>
  </si>
  <si>
    <t>19003231</t>
  </si>
  <si>
    <t>2026-08-10 15:49:33</t>
  </si>
  <si>
    <t>2026-08-10 11:20:01</t>
  </si>
  <si>
    <t>19007663</t>
  </si>
  <si>
    <t>19021511</t>
  </si>
  <si>
    <t>2026-08-12 13:48:14</t>
  </si>
  <si>
    <t>19005259</t>
  </si>
  <si>
    <t>19002679</t>
  </si>
  <si>
    <t>19004876</t>
  </si>
  <si>
    <t>2026-08-14 16:17:38</t>
  </si>
  <si>
    <t>2026-08-13 23:42:16</t>
  </si>
  <si>
    <t>19013558</t>
  </si>
  <si>
    <t>2026-08-10 17:33:27</t>
  </si>
  <si>
    <t>2026-08-10 13:50:05</t>
  </si>
  <si>
    <t>2026-08-14 10:39:48</t>
  </si>
  <si>
    <t>19015012</t>
  </si>
  <si>
    <t>2026-08-10 13:56:58</t>
  </si>
  <si>
    <t>2026-08-15 21:15:48</t>
  </si>
  <si>
    <t>19005948</t>
  </si>
  <si>
    <t>19000776</t>
  </si>
  <si>
    <t>19011129</t>
  </si>
  <si>
    <t>19011537</t>
  </si>
  <si>
    <t>19007973</t>
  </si>
  <si>
    <t>2026-08-10 06:24:44</t>
  </si>
  <si>
    <t>2026-08-10 13:53:04</t>
  </si>
  <si>
    <t>19005179</t>
  </si>
  <si>
    <t>2026-08-10 09:16:44</t>
  </si>
  <si>
    <t>19019111</t>
  </si>
  <si>
    <t>2026-08-14 10:29:25</t>
  </si>
  <si>
    <t>2026-08-12 09:12:33</t>
  </si>
  <si>
    <t>19010640</t>
  </si>
  <si>
    <t>2026-08-14 13:46:12</t>
  </si>
  <si>
    <t>2026-08-13 23:37:35</t>
  </si>
  <si>
    <t>19027328</t>
  </si>
  <si>
    <t>2026-08-10 10:47:23</t>
  </si>
  <si>
    <t>2026-08-10 11:22:59</t>
  </si>
  <si>
    <t>19001265</t>
  </si>
  <si>
    <t>2026-08-12 09:44:50</t>
  </si>
  <si>
    <t>19012358</t>
  </si>
  <si>
    <t>20270206000000</t>
  </si>
  <si>
    <t>2026-08-12 08:47:04</t>
  </si>
  <si>
    <t>19024485</t>
  </si>
  <si>
    <t>2026-08-13 23:19:51</t>
  </si>
  <si>
    <t>19014817</t>
  </si>
  <si>
    <t>19003876</t>
  </si>
  <si>
    <t>2026-08-12 07:50:02</t>
  </si>
  <si>
    <t>19001699</t>
  </si>
  <si>
    <t>20271124000000</t>
  </si>
  <si>
    <t>2026-08-10 10:46:53</t>
  </si>
  <si>
    <t>19023262</t>
  </si>
  <si>
    <t>2026-08-12 09:40:07</t>
  </si>
  <si>
    <t>2026-08-10 21:08:47</t>
  </si>
  <si>
    <t>19017673</t>
  </si>
  <si>
    <t>2026-08-11 23:41:56</t>
  </si>
  <si>
    <t>19002587</t>
  </si>
  <si>
    <t>2026-08-10 20:55:00</t>
  </si>
  <si>
    <t>19017324</t>
  </si>
  <si>
    <t>2026-08-10 06:26:47</t>
  </si>
  <si>
    <t>19020302</t>
  </si>
  <si>
    <t>19004588</t>
  </si>
  <si>
    <t>19002658</t>
  </si>
  <si>
    <t>19011317</t>
  </si>
  <si>
    <t>19011192</t>
  </si>
  <si>
    <t>19005192</t>
  </si>
  <si>
    <t>2026-08-10 13:55:02</t>
  </si>
  <si>
    <t>19011808</t>
  </si>
  <si>
    <t>2026-08-11 22:50:24</t>
  </si>
  <si>
    <t>2026-08-10 11:15:54</t>
  </si>
  <si>
    <t>2026-08-10 20:46:47</t>
  </si>
  <si>
    <t>2026-08-12 13:25:39</t>
  </si>
  <si>
    <t>19012821</t>
  </si>
  <si>
    <t>19024171</t>
  </si>
  <si>
    <t>2026-08-10 16:38:40</t>
  </si>
  <si>
    <t>2026-08-12 06:48:44</t>
  </si>
  <si>
    <t>19011595</t>
  </si>
  <si>
    <t>2026-08-10 06:41:13</t>
  </si>
  <si>
    <t>2026-08-14 14:43:54</t>
  </si>
  <si>
    <t>2026-08-10 09:54:50</t>
  </si>
  <si>
    <t>2026-08-10 13:17:04</t>
  </si>
  <si>
    <t>19001685</t>
  </si>
  <si>
    <t>2026-08-10 07:05:02</t>
  </si>
  <si>
    <t>19013487</t>
  </si>
  <si>
    <t>19002521</t>
  </si>
  <si>
    <t>19015532</t>
  </si>
  <si>
    <t>2026-08-10 15:54:25</t>
  </si>
  <si>
    <t>2026-08-13 21:17:34</t>
  </si>
  <si>
    <t>2026-08-10 18:07:15</t>
  </si>
  <si>
    <t>2026-08-10 09:49:32</t>
  </si>
  <si>
    <t>19005600</t>
  </si>
  <si>
    <t>2026-08-10 07:27:02</t>
  </si>
  <si>
    <t>1014</t>
  </si>
  <si>
    <t>2026-08-14 11:08:55</t>
  </si>
  <si>
    <t>2026-08-14 09:22:16</t>
  </si>
  <si>
    <t>19014411</t>
  </si>
  <si>
    <t>2026-08-10 09:36:07</t>
  </si>
  <si>
    <t>19010600</t>
  </si>
  <si>
    <t>19011719</t>
  </si>
  <si>
    <t>2026-08-12 13:17:20</t>
  </si>
  <si>
    <t>작업완료</t>
  </si>
  <si>
    <t>2026-08-12 06:48:35</t>
  </si>
  <si>
    <t>19009502</t>
  </si>
  <si>
    <t>19014340</t>
  </si>
  <si>
    <t>2026-08-10 20:40:40</t>
  </si>
  <si>
    <t>2026-08-12 18:43:55</t>
  </si>
  <si>
    <t>19019324</t>
  </si>
  <si>
    <t>2026-08-11 00:34:56</t>
  </si>
  <si>
    <t>19001936</t>
  </si>
  <si>
    <t>19026252</t>
  </si>
  <si>
    <t>19019563</t>
  </si>
  <si>
    <t>19003345</t>
  </si>
  <si>
    <t>19008575</t>
  </si>
  <si>
    <t>2026-08-14 11:08:30</t>
  </si>
  <si>
    <t>2026-08-12 13:38:13</t>
  </si>
  <si>
    <t>19008318</t>
  </si>
  <si>
    <t>19006461</t>
  </si>
  <si>
    <t>19004715</t>
  </si>
  <si>
    <t>2026-08-10 15:44:10</t>
  </si>
  <si>
    <t>19017484</t>
  </si>
  <si>
    <t>2026-08-14 09:24:02</t>
  </si>
  <si>
    <t>2026-08-13 23:29:57</t>
  </si>
  <si>
    <t>2026-08-10 07:14:05</t>
  </si>
  <si>
    <t>19005155</t>
  </si>
  <si>
    <t>19006564</t>
  </si>
  <si>
    <t>2026-08-14 14:07:56</t>
  </si>
  <si>
    <t>2026-08-10 09:31:58</t>
  </si>
  <si>
    <t>2026-08-10 23:25:33</t>
  </si>
  <si>
    <t>19016353</t>
  </si>
  <si>
    <t>19010469</t>
  </si>
  <si>
    <t>2026-08-12 00:39:44</t>
  </si>
  <si>
    <t>2026-08-10 06:30:19</t>
  </si>
  <si>
    <t>2026-08-13 16:39:12</t>
  </si>
  <si>
    <t>19021330</t>
  </si>
  <si>
    <t>2026-08-10 07:14:28</t>
  </si>
  <si>
    <t>19009651</t>
  </si>
  <si>
    <t>2026-08-14 14:14:01</t>
  </si>
  <si>
    <t>2026-08-13 17:27:52</t>
  </si>
  <si>
    <t>2026-08-10 06:20:10</t>
  </si>
  <si>
    <t>2026-08-14 14:13:49</t>
  </si>
  <si>
    <t>19009606</t>
  </si>
  <si>
    <t>2026-08-14 10:28:12</t>
  </si>
  <si>
    <t>19008026</t>
  </si>
  <si>
    <t>2026-08-12 06:52:40</t>
  </si>
  <si>
    <t>19007002</t>
  </si>
  <si>
    <t>2026-08-13 20:17:33</t>
  </si>
  <si>
    <t>2026-08-12 07:03:52</t>
  </si>
  <si>
    <t>19019452</t>
  </si>
  <si>
    <t>2026-08-11 22:55:37</t>
  </si>
  <si>
    <t>19008281</t>
  </si>
  <si>
    <t>2026-08-14 14:13:26</t>
  </si>
  <si>
    <t>2026-08-12 07:55:29</t>
  </si>
  <si>
    <t>19009784</t>
  </si>
  <si>
    <t>19014896</t>
  </si>
  <si>
    <t>2026-08-14 16:14:58</t>
  </si>
  <si>
    <t>19001554</t>
  </si>
  <si>
    <t>19001491</t>
  </si>
  <si>
    <t>2026-08-10 20:30:22</t>
  </si>
  <si>
    <t>2026-08-10 06:30:40</t>
  </si>
  <si>
    <t>19005615</t>
  </si>
  <si>
    <t>19000266</t>
  </si>
  <si>
    <t>19004179</t>
  </si>
  <si>
    <t>2026-08-12 18:38:05</t>
  </si>
  <si>
    <t>19012651</t>
  </si>
  <si>
    <t>19018394</t>
  </si>
  <si>
    <t>19006872</t>
  </si>
  <si>
    <t>19009288</t>
  </si>
  <si>
    <t>19019349</t>
  </si>
  <si>
    <t>2026-08-12 07:19:07</t>
  </si>
  <si>
    <t>2026-08-12 15:46:18</t>
  </si>
  <si>
    <t>2026-08-14 16:30:57</t>
  </si>
  <si>
    <t>2026-08-10 06:20:06</t>
  </si>
  <si>
    <t>2026-08-10 23:29:10</t>
  </si>
  <si>
    <t>2026-08-10 09:34:37</t>
  </si>
  <si>
    <t>2026-08-14 08:46:01</t>
  </si>
  <si>
    <t>2026-08-10 06:08:34</t>
  </si>
  <si>
    <t>19001276</t>
  </si>
  <si>
    <t>19005136</t>
  </si>
  <si>
    <t>19008512</t>
  </si>
  <si>
    <t>2026-08-10 08:31:20</t>
  </si>
  <si>
    <t>19020906</t>
  </si>
  <si>
    <t>2026-08-13 23:39:33</t>
  </si>
  <si>
    <t>2026-08-12 13:52:42</t>
  </si>
  <si>
    <t>19002376</t>
  </si>
  <si>
    <t>2026-08-14 10:37:02</t>
  </si>
  <si>
    <t>19021242</t>
  </si>
  <si>
    <t>2026-08-12 08:57:15</t>
  </si>
  <si>
    <t>2026-08-14 08:25:59</t>
  </si>
  <si>
    <t>2026-08-13 20:17:38</t>
  </si>
  <si>
    <t>2026-08-14 11:10:39</t>
  </si>
  <si>
    <t>2026-08-12 09:03:03</t>
  </si>
  <si>
    <t>19005842</t>
  </si>
  <si>
    <t>2026-08-10 06:34:01</t>
  </si>
  <si>
    <t>19020115</t>
  </si>
  <si>
    <t>2026-08-12 15:50:13</t>
  </si>
  <si>
    <t>2026-08-14 16:27:37</t>
  </si>
  <si>
    <t>19001986</t>
  </si>
  <si>
    <t>2026-08-10 09:29:55</t>
  </si>
  <si>
    <t>19010038</t>
  </si>
  <si>
    <t>19001298</t>
  </si>
  <si>
    <t>2026-08-10 11:20:08</t>
  </si>
  <si>
    <t>19005958</t>
  </si>
  <si>
    <t>2026-08-10 06:03:47</t>
  </si>
  <si>
    <t>19028072</t>
  </si>
  <si>
    <t>19002106</t>
  </si>
  <si>
    <t>2026-08-14 16:18:53</t>
  </si>
  <si>
    <t>2026-08-10 09:34:32</t>
  </si>
  <si>
    <t>19008404</t>
  </si>
  <si>
    <t>19007627</t>
  </si>
  <si>
    <t>2026-08-11 04:12:30</t>
  </si>
  <si>
    <t>19001987</t>
  </si>
  <si>
    <t>2026-08-12 10:21:58</t>
  </si>
  <si>
    <t>19020155</t>
  </si>
  <si>
    <t>19022539</t>
  </si>
  <si>
    <t>2026-08-14 18:34:48</t>
  </si>
  <si>
    <t>2026-08-13 17:20:21</t>
  </si>
  <si>
    <t>19007864</t>
  </si>
  <si>
    <t>2026-08-12 13:19:04</t>
  </si>
  <si>
    <t>19005050</t>
  </si>
  <si>
    <t>19005064</t>
  </si>
  <si>
    <t>19018621</t>
  </si>
  <si>
    <t>19023200</t>
  </si>
  <si>
    <t>2026-08-10 11:24:19</t>
  </si>
  <si>
    <t>19001286</t>
  </si>
  <si>
    <t>2026-08-10 23:26:23</t>
  </si>
  <si>
    <t>2026-08-10 21:03:13</t>
  </si>
  <si>
    <t>19004813</t>
  </si>
  <si>
    <t>19016333</t>
  </si>
  <si>
    <t>2026-08-12 13:12:20</t>
  </si>
  <si>
    <t>2026-08-12 13:11:07</t>
  </si>
  <si>
    <t>19007482</t>
  </si>
  <si>
    <t>19010221</t>
  </si>
  <si>
    <t>19007092</t>
  </si>
  <si>
    <t>19025915</t>
  </si>
  <si>
    <t>19025320</t>
  </si>
  <si>
    <t>19010496</t>
  </si>
  <si>
    <t>2026-08-15 16:36:22</t>
  </si>
  <si>
    <t>2026-08-10 15:35:52</t>
  </si>
  <si>
    <t>19005597</t>
  </si>
  <si>
    <t>19001248</t>
  </si>
  <si>
    <t>19006424</t>
  </si>
  <si>
    <t>2026-08-13 17:34:15</t>
  </si>
  <si>
    <t>20271110000000</t>
  </si>
  <si>
    <t>2026-08-15 21:10:40</t>
  </si>
  <si>
    <t>2026-08-10 23:28:11</t>
  </si>
  <si>
    <t>19003956</t>
  </si>
  <si>
    <t>2026-08-14 16:21:00</t>
  </si>
  <si>
    <t>19014075</t>
  </si>
  <si>
    <t>2026-08-10 16:45:58</t>
  </si>
  <si>
    <t>2026-08-12 08:49:23</t>
  </si>
  <si>
    <t>2026-08-10 15:52:06</t>
  </si>
  <si>
    <t>19024340</t>
  </si>
  <si>
    <t>2026-08-12 15:21:27</t>
  </si>
  <si>
    <t>2026-08-10 20:35:43</t>
  </si>
  <si>
    <t>2026-08-10 09:30:18</t>
  </si>
  <si>
    <t>19002129</t>
  </si>
  <si>
    <t>19009696</t>
  </si>
  <si>
    <t>19021777</t>
  </si>
  <si>
    <t>19012386</t>
  </si>
  <si>
    <t>2026-08-14 06:52:44</t>
  </si>
  <si>
    <t>19020664</t>
  </si>
  <si>
    <t>19001385</t>
  </si>
  <si>
    <t>19008741</t>
  </si>
  <si>
    <t>2026-08-14 14:17:32</t>
  </si>
  <si>
    <t>2026-08-12 18:34:11</t>
  </si>
  <si>
    <t>2026-08-12 13:47:47</t>
  </si>
  <si>
    <t>19021585</t>
  </si>
  <si>
    <t>19002704</t>
  </si>
  <si>
    <t>19018623</t>
  </si>
  <si>
    <t>2026-08-12 13:32:32</t>
  </si>
  <si>
    <t>19016516</t>
  </si>
  <si>
    <t>19001641</t>
  </si>
  <si>
    <t>19011962</t>
  </si>
  <si>
    <t>2026-08-12 00:57:04</t>
  </si>
  <si>
    <t>2026-08-12 13:44:04</t>
  </si>
  <si>
    <t>2026-08-10 15:29:29</t>
  </si>
  <si>
    <t>2026-08-14 10:27:00</t>
  </si>
  <si>
    <t>19005464</t>
  </si>
  <si>
    <t>19015421</t>
  </si>
  <si>
    <t>2026-08-12 09:47:17</t>
  </si>
  <si>
    <t>19021005</t>
  </si>
  <si>
    <t>2026-08-14 08:31:32</t>
  </si>
  <si>
    <t>19005143</t>
  </si>
  <si>
    <t>2026-08-13 23:39:53</t>
  </si>
  <si>
    <t>2026-08-10 20:38:55</t>
  </si>
  <si>
    <t>19003210</t>
  </si>
  <si>
    <t>2026-08-14 08:37:43</t>
  </si>
  <si>
    <t>2026-08-12 08:22:22</t>
  </si>
  <si>
    <t>2026-08-10 20:51:49</t>
  </si>
  <si>
    <t>2026-08-11 23:27:45</t>
  </si>
  <si>
    <t>19003776</t>
  </si>
  <si>
    <t>20270725150000</t>
  </si>
  <si>
    <t>19010190</t>
  </si>
  <si>
    <t>19004453</t>
  </si>
  <si>
    <t>2026-08-12 15:52:29</t>
  </si>
  <si>
    <t>19015056</t>
  </si>
  <si>
    <t>19016212</t>
  </si>
  <si>
    <t>19011082</t>
  </si>
  <si>
    <t>2026-08-15 16:08:24</t>
  </si>
  <si>
    <t>19008795</t>
  </si>
  <si>
    <t>2026-08-10 09:18:05</t>
  </si>
  <si>
    <t>2026-08-12 13:39:00</t>
  </si>
  <si>
    <t>19021870</t>
  </si>
  <si>
    <t>19026622</t>
  </si>
  <si>
    <t>2026-08-10 20:43:54</t>
  </si>
  <si>
    <t>20270601150000</t>
  </si>
  <si>
    <t>20270929150000</t>
  </si>
  <si>
    <t>2026-08-14 09:16:32</t>
  </si>
  <si>
    <t>19014603</t>
  </si>
  <si>
    <t>2026-08-10 15:31:52</t>
  </si>
  <si>
    <t>2026-08-10 11:28:31</t>
  </si>
  <si>
    <t>19014326</t>
  </si>
  <si>
    <t>19020656</t>
  </si>
  <si>
    <t>2026-08-10 23:32:15</t>
  </si>
  <si>
    <t>19022735</t>
  </si>
  <si>
    <t>2026-08-11 21:36:09</t>
  </si>
  <si>
    <t>2026-08-10 17:30:22</t>
  </si>
  <si>
    <t>8801117478100</t>
  </si>
  <si>
    <t>2026-08-15 16:26:25</t>
  </si>
  <si>
    <t>19012553</t>
  </si>
  <si>
    <t>19003493</t>
  </si>
  <si>
    <t>19004381</t>
  </si>
  <si>
    <t>2026-08-12 07:23:50</t>
  </si>
  <si>
    <t>19005939</t>
  </si>
  <si>
    <t>19007008</t>
  </si>
  <si>
    <t>2026-08-12 09:56:03</t>
  </si>
  <si>
    <t>2026-08-14 16:27:29</t>
  </si>
  <si>
    <t>19002739</t>
  </si>
  <si>
    <t>2026-08-10 07:09:10</t>
  </si>
  <si>
    <t>2026-08-14 10:20:16</t>
  </si>
  <si>
    <t>2026-08-10 15:36:00</t>
  </si>
  <si>
    <t>2026-08-11 00:37:26</t>
  </si>
  <si>
    <t>2026-08-10 06:14:38</t>
  </si>
  <si>
    <t>2026-08-13 20:12:17</t>
  </si>
  <si>
    <t>19010314</t>
  </si>
  <si>
    <t>2026-08-14 13:58:22</t>
  </si>
  <si>
    <t>19021513</t>
  </si>
  <si>
    <t>2026-08-13 23:29:03</t>
  </si>
  <si>
    <t>19006642</t>
  </si>
  <si>
    <t>19016881</t>
  </si>
  <si>
    <t>19005616</t>
  </si>
  <si>
    <t>19027369</t>
  </si>
  <si>
    <t>2026-08-12 13:12:29</t>
  </si>
  <si>
    <t>19013860</t>
  </si>
  <si>
    <t>19010617</t>
  </si>
  <si>
    <t>19005794</t>
  </si>
  <si>
    <t>19012055</t>
  </si>
  <si>
    <t>19010775</t>
  </si>
  <si>
    <t>2026-08-10 09:35:21</t>
  </si>
  <si>
    <t>2026-08-14 15:35:24</t>
  </si>
  <si>
    <t>19016439</t>
  </si>
  <si>
    <t>19001772</t>
  </si>
  <si>
    <t>19001925</t>
  </si>
  <si>
    <t>19012681</t>
  </si>
  <si>
    <t>19010304</t>
  </si>
  <si>
    <t>2026-08-12 15:19:59</t>
  </si>
  <si>
    <t>2026-08-12 07:49:56</t>
  </si>
  <si>
    <t>작업유형</t>
  </si>
  <si>
    <t>2026-08-13 21:51:30</t>
  </si>
  <si>
    <t>2026-08-10 21:02:03</t>
  </si>
  <si>
    <t>2026-08-13 20:33:02</t>
  </si>
  <si>
    <t>19006408</t>
  </si>
  <si>
    <t>2026-08-14 10:26:07</t>
  </si>
  <si>
    <t>19002583</t>
  </si>
  <si>
    <t>2026-08-14 14:15:17</t>
  </si>
  <si>
    <t>2026-08-13 17:26:10</t>
  </si>
  <si>
    <t>2026-08-10 20:21:24</t>
  </si>
  <si>
    <t>2026-08-10 15:29:37</t>
  </si>
  <si>
    <t>2026-08-10 21:03:20</t>
  </si>
  <si>
    <t>19008764</t>
  </si>
  <si>
    <t>2026-08-13 20:21:45</t>
  </si>
  <si>
    <t>19021222</t>
  </si>
  <si>
    <t>19024354</t>
  </si>
  <si>
    <t>2026-08-15 20:14:08</t>
  </si>
  <si>
    <t>2026-08-14 13:50:45</t>
  </si>
  <si>
    <t>19000353</t>
  </si>
  <si>
    <t>19008435</t>
  </si>
  <si>
    <t>19015802</t>
  </si>
  <si>
    <t>19014061</t>
  </si>
  <si>
    <t>2026-08-10 09:42:06</t>
  </si>
  <si>
    <t>2026-08-12 13:18:53</t>
  </si>
  <si>
    <t>2026-08-10 09:35:18</t>
  </si>
  <si>
    <t>19011035</t>
  </si>
  <si>
    <t>2026-08-10 09:40:10</t>
  </si>
  <si>
    <t>2026-08-10 09:31:50</t>
  </si>
  <si>
    <t>19005556</t>
  </si>
  <si>
    <t>2026-08-10 13:58:07</t>
  </si>
  <si>
    <t>19025428</t>
  </si>
  <si>
    <t>2026-08-13 20:27:17</t>
  </si>
  <si>
    <t>2026-08-15 16:04:47</t>
  </si>
  <si>
    <t>19000474</t>
  </si>
  <si>
    <t>2026-08-12 00:47:14</t>
  </si>
  <si>
    <t>19005495</t>
  </si>
  <si>
    <t>19013807</t>
  </si>
  <si>
    <t>2026-08-10 23:53:46</t>
  </si>
  <si>
    <t>2026-08-12 07:11:57</t>
  </si>
  <si>
    <t>2026-08-14 14:09:03</t>
  </si>
  <si>
    <t>2026-08-10 06:23:32</t>
  </si>
  <si>
    <t>2026-08-10 06:51:18</t>
  </si>
  <si>
    <t>19001377</t>
  </si>
  <si>
    <t>2026-08-13 21:20:35</t>
  </si>
  <si>
    <t>19016311</t>
  </si>
  <si>
    <t>19020639</t>
  </si>
  <si>
    <t>2026-08-14 13:51:36</t>
  </si>
  <si>
    <t>19000751</t>
  </si>
  <si>
    <t>2026-08-14 14:17:37</t>
  </si>
  <si>
    <t>19026534</t>
  </si>
  <si>
    <t>19018707</t>
  </si>
  <si>
    <t>19016526</t>
  </si>
  <si>
    <t>19018139</t>
  </si>
  <si>
    <t>19001294</t>
  </si>
  <si>
    <t>2026-08-15 20:12:29</t>
  </si>
  <si>
    <t>2026-08-11 04:11:03</t>
  </si>
  <si>
    <t>19001968</t>
  </si>
  <si>
    <t>2026-08-10 20:31:29</t>
  </si>
  <si>
    <t>2026-08-12 07:10:29</t>
  </si>
  <si>
    <t>19014163</t>
  </si>
  <si>
    <t>2026-08-12 09:12:38</t>
  </si>
  <si>
    <t>19013237</t>
  </si>
  <si>
    <t>19004446</t>
  </si>
  <si>
    <t>19028092</t>
  </si>
  <si>
    <t>2026-08-10 15:56:36</t>
  </si>
  <si>
    <t>19010222</t>
  </si>
  <si>
    <t>19006250</t>
  </si>
  <si>
    <t>2026-08-14 14:00:52</t>
  </si>
  <si>
    <t>2026-08-11 00:32:21</t>
  </si>
  <si>
    <t>19000584</t>
  </si>
  <si>
    <t>19024819</t>
  </si>
  <si>
    <t>19010740</t>
  </si>
  <si>
    <t>19017872</t>
  </si>
  <si>
    <t>2026-08-14 11:12:57</t>
  </si>
  <si>
    <t>19013404</t>
  </si>
  <si>
    <t>19019059</t>
  </si>
  <si>
    <t>2026-08-14 13:57:32</t>
  </si>
  <si>
    <t>2026-08-12 13:34:34</t>
  </si>
  <si>
    <t>2026-08-14 14:16:03</t>
  </si>
  <si>
    <t>2026-08-12 18:46:03</t>
  </si>
  <si>
    <t>2026-08-13 23:35:12</t>
  </si>
  <si>
    <t>19010478</t>
  </si>
  <si>
    <t>2026-08-14 14:14:58</t>
  </si>
  <si>
    <t>19001695</t>
  </si>
  <si>
    <t>2026-08-10 09:45:31</t>
  </si>
  <si>
    <t>19004103</t>
  </si>
  <si>
    <t>2026-08-10 06:11:40</t>
  </si>
  <si>
    <t>2026-08-10 07:29:01</t>
  </si>
  <si>
    <t>2026-08-10 09:27:26</t>
  </si>
  <si>
    <t>2026-08-13 21:48:52</t>
  </si>
  <si>
    <t>2026-08-10 14:02:46</t>
  </si>
  <si>
    <t>2026-08-15 16:40:37</t>
  </si>
  <si>
    <t>19029327</t>
  </si>
  <si>
    <t>19004825</t>
  </si>
  <si>
    <t>19003026</t>
  </si>
  <si>
    <t>2026-08-12 13:58:10</t>
  </si>
  <si>
    <t>19024144</t>
  </si>
  <si>
    <t>19017753</t>
  </si>
  <si>
    <t>19009754</t>
  </si>
  <si>
    <t>2026-08-12 15:37:26</t>
  </si>
  <si>
    <t>19014532</t>
  </si>
  <si>
    <t>19017347</t>
  </si>
  <si>
    <t>2026-08-14 18:31:27</t>
  </si>
  <si>
    <t>19004193</t>
  </si>
  <si>
    <t>19002094</t>
  </si>
  <si>
    <t>2026-08-10 06:15:47</t>
  </si>
  <si>
    <t>2026-08-12 00:49:56</t>
  </si>
  <si>
    <t>2026-08-10 20:35:35</t>
  </si>
  <si>
    <t>19004639</t>
  </si>
  <si>
    <t>2026-08-11 21:49:07</t>
  </si>
  <si>
    <t>2026-08-10 06:11:07</t>
  </si>
  <si>
    <t>2026-08-15 16:20:42</t>
  </si>
  <si>
    <t>19022117</t>
  </si>
  <si>
    <t>2026-08-10 15:51:03</t>
  </si>
  <si>
    <t>19000975</t>
  </si>
  <si>
    <t>19008208</t>
  </si>
  <si>
    <t>2026-08-15 16:32:13</t>
  </si>
  <si>
    <t>19005692</t>
  </si>
  <si>
    <t>2026-08-12 13:27:25</t>
  </si>
  <si>
    <t>19006880</t>
  </si>
  <si>
    <t>2026-08-10 07:16:58</t>
  </si>
  <si>
    <t>19025563</t>
  </si>
  <si>
    <t>19004932</t>
  </si>
  <si>
    <t>19029404</t>
  </si>
  <si>
    <t>2026-08-10 13:43:03</t>
  </si>
  <si>
    <t>2026-08-13 20:14:01</t>
  </si>
  <si>
    <t>19012556</t>
  </si>
  <si>
    <t>2026-08-15 16:39:41</t>
  </si>
  <si>
    <t>2026-08-14 15:25:11</t>
  </si>
  <si>
    <t>19000598</t>
  </si>
  <si>
    <t>2026-08-14 14:09:12</t>
  </si>
  <si>
    <t>2026-08-15 21:12:16</t>
  </si>
  <si>
    <t>2026-08-12 16:05:15</t>
  </si>
  <si>
    <t>2026-08-10 16:36:03</t>
  </si>
  <si>
    <t>2026-08-10 08:29:37</t>
  </si>
  <si>
    <t>19001532</t>
  </si>
  <si>
    <t>19001629</t>
  </si>
  <si>
    <t>2026-08-14 09:44:44</t>
  </si>
  <si>
    <t>2026-08-11 21:50:32</t>
  </si>
  <si>
    <t>19001393</t>
  </si>
  <si>
    <t>19002457</t>
  </si>
  <si>
    <t>19008436</t>
  </si>
  <si>
    <t>19008586</t>
  </si>
  <si>
    <t>19009263</t>
  </si>
  <si>
    <t>2026-08-10 06:07:30</t>
  </si>
  <si>
    <t>19013971</t>
  </si>
  <si>
    <t>2026-08-15 16:06:21</t>
  </si>
  <si>
    <t>2026-08-15 16:10:02</t>
  </si>
  <si>
    <t>2026-08-12 00:59:14</t>
  </si>
  <si>
    <t>19010761</t>
  </si>
  <si>
    <t>2026-08-14 09:48:18</t>
  </si>
  <si>
    <t>19022859</t>
  </si>
  <si>
    <t>19009096</t>
  </si>
  <si>
    <t>19013895</t>
  </si>
  <si>
    <t>19003926</t>
  </si>
  <si>
    <t>2026-08-12 13:49:40</t>
  </si>
  <si>
    <t>19020333</t>
  </si>
  <si>
    <t>2026-08-10 06:12:51</t>
  </si>
  <si>
    <t>2026-08-14 10:30:28</t>
  </si>
  <si>
    <t>19006958</t>
  </si>
  <si>
    <t>19011092</t>
  </si>
  <si>
    <t>2026-08-12 09:19:48</t>
  </si>
  <si>
    <t>19010527</t>
  </si>
  <si>
    <t>19005191</t>
  </si>
  <si>
    <t>2026-08-10 09:41:40</t>
  </si>
  <si>
    <t>2026-08-14 06:55:07</t>
  </si>
  <si>
    <t>19004929</t>
  </si>
  <si>
    <t>2026-08-14 07:08:00</t>
  </si>
  <si>
    <t>19008456</t>
  </si>
  <si>
    <t>2026-08-13 16:46:42</t>
  </si>
  <si>
    <t>2026-08-13 23:38:10</t>
  </si>
  <si>
    <t>19004379</t>
  </si>
  <si>
    <t>19018867</t>
  </si>
  <si>
    <t>19009293</t>
  </si>
  <si>
    <t>2026-08-12 09:11:08</t>
  </si>
  <si>
    <t>19020615</t>
  </si>
  <si>
    <t>2026-08-14 14:27:30</t>
  </si>
  <si>
    <t>2026-08-10 23:52:04</t>
  </si>
  <si>
    <t>19010435</t>
  </si>
  <si>
    <t>2026-08-10 23:28:14</t>
  </si>
  <si>
    <t>2026-08-14 14:17:41</t>
  </si>
  <si>
    <t>2026-08-10 09:38:22</t>
  </si>
  <si>
    <t>2026-08-10 14:01:16</t>
  </si>
  <si>
    <t>2026-08-12 00:39:47</t>
  </si>
  <si>
    <t>19007156</t>
  </si>
  <si>
    <t>2026-08-10 17:35:42</t>
  </si>
  <si>
    <t>19003246</t>
  </si>
  <si>
    <t>19026916</t>
  </si>
  <si>
    <t>2026-08-14 09:40:28</t>
  </si>
  <si>
    <t>2026-08-14 18:37:11</t>
  </si>
  <si>
    <t>19000192</t>
  </si>
  <si>
    <t>19006030</t>
  </si>
  <si>
    <t>2026-08-12 08:37:27</t>
  </si>
  <si>
    <t>2026-08-14 14:02:56</t>
  </si>
  <si>
    <t>19011283</t>
  </si>
  <si>
    <t>19010463</t>
  </si>
  <si>
    <t>2026-08-10 18:05:55</t>
  </si>
  <si>
    <t>2026-08-14 10:46:55</t>
  </si>
  <si>
    <t>2026-08-12 06:44:16</t>
  </si>
  <si>
    <t>19002759</t>
  </si>
  <si>
    <t>19004422</t>
  </si>
  <si>
    <t>19005757</t>
  </si>
  <si>
    <t>2026-08-12 06:48:40</t>
  </si>
  <si>
    <t>19011054</t>
  </si>
  <si>
    <t>2026-08-10 09:56:41</t>
  </si>
  <si>
    <t>19010557</t>
  </si>
  <si>
    <t>2026-08-10 23:26:26</t>
  </si>
  <si>
    <t>2026-08-10 14:05:10</t>
  </si>
  <si>
    <t>19008341</t>
  </si>
  <si>
    <t>19023666</t>
  </si>
  <si>
    <t>2026-08-15 16:23:51</t>
  </si>
  <si>
    <t>2026-08-13 23:21:30</t>
  </si>
  <si>
    <t>2026-08-12 13:34:25</t>
  </si>
  <si>
    <t>2026-08-12 13:38:07</t>
  </si>
  <si>
    <t>2026-08-14 13:37:07</t>
  </si>
  <si>
    <t>19008873</t>
  </si>
  <si>
    <t>19017041</t>
  </si>
  <si>
    <t>2026-08-12 09:00:57</t>
  </si>
  <si>
    <t>2026-08-12 08:54:03</t>
  </si>
  <si>
    <t>19019316</t>
  </si>
  <si>
    <t>2026-08-14 13:52:41</t>
  </si>
  <si>
    <t>2026-08-12 08:51:26</t>
  </si>
  <si>
    <t>2026-08-14 10:23:14</t>
  </si>
  <si>
    <t>19021313</t>
  </si>
  <si>
    <t>2026-08-14 13:58:17</t>
  </si>
  <si>
    <t>19015032</t>
  </si>
  <si>
    <t>19003504</t>
  </si>
  <si>
    <t>2026-08-15 16:42:03</t>
  </si>
  <si>
    <t>19011811</t>
  </si>
  <si>
    <t>2026-08-10 17:51:47</t>
  </si>
  <si>
    <t>19007624</t>
  </si>
  <si>
    <t>2026-08-12 09:02:08</t>
  </si>
  <si>
    <t>2026-08-10 15:27:10</t>
  </si>
  <si>
    <t>2026-08-14 09:50:11</t>
  </si>
  <si>
    <t>2026-08-10 09:00:56</t>
  </si>
  <si>
    <t>19026827</t>
  </si>
  <si>
    <t>2026-08-14 07:00:12</t>
  </si>
  <si>
    <t>2026-08-12 15:39:19</t>
  </si>
  <si>
    <t>19005753</t>
  </si>
  <si>
    <t>2026-08-13 23:21:08</t>
  </si>
  <si>
    <t>20009758</t>
  </si>
  <si>
    <t>2026-08-12 13:40:03</t>
  </si>
  <si>
    <t>2026-08-10 08:45:35</t>
  </si>
  <si>
    <t>2026-08-14 13:46:58</t>
  </si>
  <si>
    <t>2026-08-15 16:51:53</t>
  </si>
  <si>
    <t>19020740</t>
  </si>
  <si>
    <t>19014447</t>
  </si>
  <si>
    <t>19008182</t>
  </si>
  <si>
    <t>19002710</t>
  </si>
  <si>
    <t>2026-08-14 09:42:44</t>
  </si>
  <si>
    <t>19003202</t>
  </si>
  <si>
    <t>2026-08-10 16:49:35</t>
  </si>
  <si>
    <t>2026-08-10 13:53:12</t>
  </si>
  <si>
    <t>19029824</t>
  </si>
  <si>
    <t>2026-08-12 07:03:57</t>
  </si>
  <si>
    <t>2026-08-14 09:48:12</t>
  </si>
  <si>
    <t>2026-08-15 21:07:23</t>
  </si>
  <si>
    <t>2026-08-11 00:27:35</t>
  </si>
  <si>
    <t>2026-08-10 07:38:20</t>
  </si>
  <si>
    <t>19007403</t>
  </si>
  <si>
    <t>19007502</t>
  </si>
  <si>
    <t>19000889</t>
  </si>
  <si>
    <t>19029979</t>
  </si>
  <si>
    <t>상품명</t>
  </si>
  <si>
    <t>2026-08-12 06:54:25</t>
  </si>
  <si>
    <t>19004150</t>
  </si>
  <si>
    <t>19001701</t>
  </si>
  <si>
    <t>2026-08-12 13:21:33</t>
  </si>
  <si>
    <t>2026-08-12 00:35:15</t>
  </si>
  <si>
    <t>19004996</t>
  </si>
  <si>
    <t>19014282</t>
  </si>
  <si>
    <t>19001903</t>
  </si>
  <si>
    <t>2026-08-10 07:27:07</t>
  </si>
  <si>
    <t>19023160</t>
  </si>
  <si>
    <t>19003469</t>
  </si>
  <si>
    <t>19005181</t>
  </si>
  <si>
    <t>19008317</t>
  </si>
  <si>
    <t>19001026</t>
  </si>
  <si>
    <t>19015895</t>
  </si>
  <si>
    <t>19019791</t>
  </si>
  <si>
    <t>2026-08-13 21:29:28</t>
  </si>
  <si>
    <t>2026-08-14 13:47:50</t>
  </si>
  <si>
    <t>2026-08-12 09:09:00</t>
  </si>
  <si>
    <t>2026-08-12 13:37:17</t>
  </si>
  <si>
    <t>19005477</t>
  </si>
  <si>
    <t>19003074</t>
  </si>
  <si>
    <t>2026-08-14 15:34:21</t>
  </si>
  <si>
    <t>1005</t>
  </si>
  <si>
    <t>2026-08-14 09:19:14</t>
  </si>
  <si>
    <t>19015342</t>
  </si>
  <si>
    <t>2026-08-15 16:53:24</t>
  </si>
  <si>
    <t>19002461</t>
  </si>
  <si>
    <t>2026-08-12 15:21:33</t>
  </si>
  <si>
    <t>19007212</t>
  </si>
  <si>
    <t>2026-08-12 09:42:09</t>
  </si>
  <si>
    <t>2026-08-10 11:31:03</t>
  </si>
  <si>
    <t>2026-08-10 15:46:42</t>
  </si>
  <si>
    <t>19004078</t>
  </si>
  <si>
    <t>19000938</t>
  </si>
  <si>
    <t>19017568</t>
  </si>
  <si>
    <t>2026-08-12 15:33:45</t>
  </si>
  <si>
    <t>19026156</t>
  </si>
  <si>
    <t>19001971</t>
  </si>
  <si>
    <t>2026-08-10 21:03:22</t>
  </si>
  <si>
    <t>19010166</t>
  </si>
  <si>
    <t>19011398</t>
  </si>
  <si>
    <t>19007233</t>
  </si>
  <si>
    <t>2026-08-13 16:37:28</t>
  </si>
  <si>
    <t>19000478</t>
  </si>
  <si>
    <t>19014754</t>
  </si>
  <si>
    <t>2026-08-10 16:43:03</t>
  </si>
  <si>
    <t>19012468</t>
  </si>
  <si>
    <t>2026-08-14 14:14:02</t>
  </si>
  <si>
    <t>19004072</t>
  </si>
  <si>
    <t>19021927</t>
  </si>
  <si>
    <t>2026-08-12 15:48:12</t>
  </si>
  <si>
    <t>19028469</t>
  </si>
  <si>
    <t>2026-08-12 13:27:20</t>
  </si>
  <si>
    <t>2026-08-14 10:51:43</t>
  </si>
  <si>
    <t>19001541</t>
  </si>
  <si>
    <t>19022415</t>
  </si>
  <si>
    <t>2026-08-10 15:34:23</t>
  </si>
  <si>
    <t>19015147</t>
  </si>
  <si>
    <t>2026-08-10 20:50:36</t>
  </si>
  <si>
    <t>19002195</t>
  </si>
  <si>
    <t>19020003</t>
  </si>
  <si>
    <t>2026-08-10 09:13:00</t>
  </si>
  <si>
    <t>19010000</t>
  </si>
  <si>
    <t>19025252</t>
  </si>
  <si>
    <t>19014723</t>
  </si>
  <si>
    <t>2026-08-14 14:24:26</t>
  </si>
  <si>
    <t>2026-08-10 06:23:25</t>
  </si>
  <si>
    <t>2026-08-12 09:47:20</t>
  </si>
  <si>
    <t>2026-08-10 06:24:47</t>
  </si>
  <si>
    <t>19009674</t>
  </si>
  <si>
    <t>19012232</t>
  </si>
  <si>
    <t>19013645</t>
  </si>
  <si>
    <t>19012200</t>
  </si>
  <si>
    <t>19002903</t>
  </si>
  <si>
    <t>19001708</t>
  </si>
  <si>
    <t>19002973</t>
  </si>
  <si>
    <t>19007869</t>
  </si>
  <si>
    <t>19016779</t>
  </si>
  <si>
    <t>2026-08-10 10:44:44</t>
  </si>
  <si>
    <t>19018197</t>
  </si>
  <si>
    <t>2026-08-10 17:45:17</t>
  </si>
  <si>
    <t>2026-08-12 07:12:06</t>
  </si>
  <si>
    <t>2026-08-10 06:30:36</t>
  </si>
  <si>
    <t>2026-08-14 14:17:16</t>
  </si>
  <si>
    <t>2026-08-15 16:25:29</t>
  </si>
  <si>
    <t>19024647</t>
  </si>
  <si>
    <t>2026-08-12 08:51:22</t>
  </si>
  <si>
    <t>2026-08-10 17:58:11</t>
  </si>
  <si>
    <t>19017205</t>
  </si>
  <si>
    <t>2026-08-10 17:55:05</t>
  </si>
  <si>
    <t>19012066</t>
  </si>
  <si>
    <t>19022154</t>
  </si>
  <si>
    <t>19001777</t>
  </si>
  <si>
    <t>2026-08-14 13:44:22</t>
  </si>
  <si>
    <t>19019919</t>
  </si>
  <si>
    <t>19005354</t>
  </si>
  <si>
    <t>2026-08-11 23:37:59</t>
  </si>
  <si>
    <t>19003278</t>
  </si>
  <si>
    <t>19000374</t>
  </si>
  <si>
    <t>2026-08-12 08:35:29</t>
  </si>
  <si>
    <t>19004475</t>
  </si>
  <si>
    <t>19014284</t>
  </si>
  <si>
    <t>19021087</t>
  </si>
  <si>
    <t>19025236</t>
  </si>
  <si>
    <t>2026-08-15 16:37:47</t>
  </si>
  <si>
    <t>19000516</t>
  </si>
  <si>
    <t>19905181</t>
  </si>
  <si>
    <t>19002281</t>
  </si>
  <si>
    <t>19008476</t>
  </si>
  <si>
    <t>2026-08-13 20:23:29</t>
  </si>
  <si>
    <t>19010363</t>
  </si>
  <si>
    <t>19006435</t>
  </si>
  <si>
    <t>19006075</t>
  </si>
  <si>
    <t>19005986</t>
  </si>
  <si>
    <t>19000260</t>
  </si>
  <si>
    <t>2026-08-10 18:11:14</t>
  </si>
  <si>
    <t>19007725</t>
  </si>
  <si>
    <t>2026-08-10 17:24:59</t>
  </si>
  <si>
    <t>2026-08-13 23:19:53</t>
  </si>
  <si>
    <t>19008062</t>
  </si>
  <si>
    <t>2026-08-14 11:06:24</t>
  </si>
  <si>
    <t>19004694</t>
  </si>
  <si>
    <t>19008438</t>
  </si>
  <si>
    <t>19010284</t>
  </si>
  <si>
    <t>19012048</t>
  </si>
  <si>
    <t>2026-08-10 09:23:21</t>
  </si>
  <si>
    <t>19026981</t>
  </si>
  <si>
    <t>2026-08-12 15:23:34</t>
  </si>
  <si>
    <t>2026-08-14 13:56:49</t>
  </si>
  <si>
    <t>19012425</t>
  </si>
  <si>
    <t>19013374</t>
  </si>
  <si>
    <t>2026-08-13 21:26:28</t>
  </si>
  <si>
    <t>2026-08-14 09:52:54</t>
  </si>
  <si>
    <t>19006409</t>
  </si>
  <si>
    <t>19002389</t>
  </si>
  <si>
    <t>19004802</t>
  </si>
  <si>
    <t>19022088</t>
  </si>
  <si>
    <t>2026-08-14 10:49:11</t>
  </si>
  <si>
    <t>19022332</t>
  </si>
  <si>
    <t>2026-08-12 18:26:02</t>
  </si>
  <si>
    <t>19006876</t>
  </si>
  <si>
    <t>2026-08-13 20:19:32</t>
  </si>
  <si>
    <t>2026-08-13 23:12:26</t>
  </si>
  <si>
    <t>19007360</t>
  </si>
  <si>
    <t>19013570</t>
  </si>
  <si>
    <t>19001226</t>
  </si>
  <si>
    <t>2026-08-13 16:53:48</t>
  </si>
  <si>
    <t>2026-08-12 15:26:41</t>
  </si>
  <si>
    <t>2026-08-10 20:31:22</t>
  </si>
  <si>
    <t>2026-08-12 09:13:34</t>
  </si>
  <si>
    <t>2026-08-14 14:11:21</t>
  </si>
  <si>
    <t>19006382</t>
  </si>
  <si>
    <t>19015576</t>
  </si>
  <si>
    <t>2026-08-14 14:52:50</t>
  </si>
  <si>
    <t>2026-08-12 06:50:07</t>
  </si>
  <si>
    <t>19014903</t>
  </si>
  <si>
    <t>2026-08-14 07:02:57</t>
  </si>
  <si>
    <t>2026-08-10 18:01:27</t>
  </si>
  <si>
    <t>19007376</t>
  </si>
  <si>
    <t>2026-08-12 07:20:54</t>
  </si>
  <si>
    <t>입고</t>
  </si>
  <si>
    <t>2026-08-12 07:08:04</t>
  </si>
  <si>
    <t>2026-08-12 06:40:56</t>
  </si>
  <si>
    <t>19002798</t>
  </si>
  <si>
    <t>19002638</t>
  </si>
  <si>
    <t>2026-08-10 13:47:16</t>
  </si>
  <si>
    <t>2026-08-13 16:31:13</t>
  </si>
  <si>
    <t>2026-08-10 20:50:41</t>
  </si>
  <si>
    <t>2026-08-10 11:25:53</t>
  </si>
  <si>
    <t>2026-08-10 18:14:03</t>
  </si>
  <si>
    <t>19011093</t>
  </si>
  <si>
    <t>19014859</t>
  </si>
  <si>
    <t>2026-08-10 20:40:34</t>
  </si>
  <si>
    <t>2026-08-10 08:49:59</t>
  </si>
  <si>
    <t>2026-08-14 11:06:39</t>
  </si>
  <si>
    <t>19004120</t>
  </si>
  <si>
    <t>2026-08-13 20:11:38</t>
  </si>
  <si>
    <t>19023031</t>
  </si>
  <si>
    <t>19017935</t>
  </si>
  <si>
    <t>2026-08-10 20:52:33</t>
  </si>
  <si>
    <t>2026-08-10 20:39:17</t>
  </si>
  <si>
    <t>2026-08-14 14:08:58</t>
  </si>
  <si>
    <t>20270522150000</t>
  </si>
  <si>
    <t>19002491</t>
  </si>
  <si>
    <t>2026-08-12 09:56:00</t>
  </si>
  <si>
    <t>2026-08-10 17:51:57</t>
  </si>
  <si>
    <t>2026-08-12 10:24:06</t>
  </si>
  <si>
    <t>1007</t>
  </si>
  <si>
    <t>2026-08-13 21:48:31</t>
  </si>
  <si>
    <t>2026-08-10 09:41:49</t>
  </si>
  <si>
    <t>2026-08-10 08:55:20</t>
  </si>
  <si>
    <t>19005944</t>
  </si>
  <si>
    <t>19001755</t>
  </si>
  <si>
    <t>19009397</t>
  </si>
  <si>
    <t>19014046</t>
  </si>
  <si>
    <t>19012635</t>
  </si>
  <si>
    <t>19004815</t>
  </si>
  <si>
    <t>19025385</t>
  </si>
  <si>
    <t>2026-08-12 07:31:43</t>
  </si>
  <si>
    <t>2026-08-10 06:21:18</t>
  </si>
  <si>
    <t>19023833</t>
  </si>
  <si>
    <t>2026-08-12 08:45:09</t>
  </si>
  <si>
    <t>2026-08-10 11:23:06</t>
  </si>
  <si>
    <t>19005513</t>
  </si>
  <si>
    <t>2026-08-11 22:43:21</t>
  </si>
  <si>
    <t>19007693</t>
  </si>
  <si>
    <t>2026-08-12 18:36:11</t>
  </si>
  <si>
    <t>2026-08-15 21:02:06</t>
  </si>
  <si>
    <t>2026-08-14 08:21:24</t>
  </si>
  <si>
    <t>19005392</t>
  </si>
  <si>
    <t>2026-08-14 13:35:57</t>
  </si>
  <si>
    <t>2026-08-14 18:37:13</t>
  </si>
  <si>
    <t>2026-08-13 20:19:35</t>
  </si>
  <si>
    <t>2026-08-10 18:08:31</t>
  </si>
  <si>
    <t>2026-08-10 16:28:19</t>
  </si>
  <si>
    <t>2026-08-14 11:09:45</t>
  </si>
  <si>
    <t>2026-08-12 15:32:26</t>
  </si>
  <si>
    <t>2026-08-13 21:41:47</t>
  </si>
  <si>
    <t>19021181</t>
  </si>
  <si>
    <t>19000574</t>
  </si>
  <si>
    <t>2026-08-14 09:38:28</t>
  </si>
  <si>
    <t>19026955</t>
  </si>
  <si>
    <t>2026-08-12 15:32:45</t>
  </si>
  <si>
    <t>19016632</t>
  </si>
  <si>
    <t>2026-08-10 21:00:53</t>
  </si>
  <si>
    <t>2026-08-10 14:07:55</t>
  </si>
  <si>
    <t>2026-08-10 09:05:42</t>
  </si>
  <si>
    <t>2026-08-12 13:35:55</t>
  </si>
  <si>
    <t>19011886</t>
  </si>
  <si>
    <t>19013402</t>
  </si>
  <si>
    <t>2026-08-12 08:19:57</t>
  </si>
  <si>
    <t>19027254</t>
  </si>
  <si>
    <t>19001433</t>
  </si>
  <si>
    <t>2026-08-14 13:37:57</t>
  </si>
  <si>
    <t>2026-08-10 16:25:33</t>
  </si>
  <si>
    <t>19019138</t>
  </si>
  <si>
    <t>2026-08-10 10:35:47</t>
  </si>
  <si>
    <t>19029316</t>
  </si>
  <si>
    <t>2026-08-14 11:05:21</t>
  </si>
  <si>
    <t>19026286</t>
  </si>
  <si>
    <t>19006062</t>
  </si>
  <si>
    <t>19010003</t>
  </si>
  <si>
    <t>2026-08-14 08:41:21</t>
  </si>
  <si>
    <t>19003561</t>
  </si>
  <si>
    <t>2026-08-12 08:33:23</t>
  </si>
  <si>
    <t>19001443</t>
  </si>
  <si>
    <t>2026-08-12 18:28:23</t>
  </si>
  <si>
    <t>2026-08-10 15:27:21</t>
  </si>
  <si>
    <t>19001812</t>
  </si>
  <si>
    <t>19015107</t>
  </si>
  <si>
    <t>19001452</t>
  </si>
  <si>
    <t>2026-08-10 16:44:40</t>
  </si>
  <si>
    <t>2026-08-14 11:04:36</t>
  </si>
  <si>
    <t>2026-08-12 07:41:36</t>
  </si>
  <si>
    <t>2026-08-15 16:37:49</t>
  </si>
  <si>
    <t>19014908</t>
  </si>
  <si>
    <t>19012353</t>
  </si>
  <si>
    <t>19020936</t>
  </si>
  <si>
    <t>2026-08-12 09:08:21</t>
  </si>
  <si>
    <t>19005337</t>
  </si>
  <si>
    <t>19017947</t>
  </si>
  <si>
    <t>2026-08-14 14:09:57</t>
  </si>
  <si>
    <t>2026-08-15 16:39:34</t>
  </si>
  <si>
    <t>19018340</t>
  </si>
  <si>
    <t>19007766</t>
  </si>
  <si>
    <t>19002854</t>
  </si>
  <si>
    <t>19001732</t>
  </si>
  <si>
    <t>2026-08-10 06:04:47</t>
  </si>
  <si>
    <t>2026-08-15 16:34:41</t>
  </si>
  <si>
    <t>19025405</t>
  </si>
  <si>
    <t>19027896</t>
  </si>
  <si>
    <t>2026-08-10 06:31:55</t>
  </si>
  <si>
    <t>19018675</t>
  </si>
  <si>
    <t>2026-08-12 13:21:01</t>
  </si>
  <si>
    <t>19007784</t>
  </si>
  <si>
    <t>2026-08-14 14:21:02</t>
  </si>
  <si>
    <t>2026-08-10 06:22:24</t>
  </si>
  <si>
    <t>2026-08-14 13:53:51</t>
  </si>
  <si>
    <t>19014906</t>
  </si>
  <si>
    <t>20280517150000</t>
  </si>
  <si>
    <t>2026-08-14 08:26:28</t>
  </si>
  <si>
    <t>2026-08-15 21:14:06</t>
  </si>
  <si>
    <t>2026-08-14 16:30:02</t>
  </si>
  <si>
    <t>2026-08-14 08:22:50</t>
  </si>
  <si>
    <t>2026-08-13 23:37:02</t>
  </si>
  <si>
    <t>2026-08-12 07:28:18</t>
  </si>
  <si>
    <t>2026-08-10 15:38:49</t>
  </si>
  <si>
    <t>19006203</t>
  </si>
  <si>
    <t>19005841</t>
  </si>
  <si>
    <t>2026-08-14 14:20:24</t>
  </si>
  <si>
    <t>2026-08-10 08:43:43</t>
  </si>
  <si>
    <t>19004283</t>
  </si>
  <si>
    <t>19016159</t>
  </si>
  <si>
    <t>2026-08-10 13:27:11</t>
  </si>
  <si>
    <t>19007170</t>
  </si>
  <si>
    <t>19005001</t>
  </si>
  <si>
    <t>19011257</t>
  </si>
  <si>
    <t>19028579</t>
  </si>
  <si>
    <t>19004624</t>
  </si>
  <si>
    <t>2026-08-12 16:18:10</t>
  </si>
  <si>
    <t>2026-08-14 09:44:42</t>
  </si>
  <si>
    <t>19008271</t>
  </si>
  <si>
    <t>2026-08-13 16:50:13</t>
  </si>
  <si>
    <t>19029034</t>
  </si>
  <si>
    <t>2026-08-12 13:20:54</t>
  </si>
  <si>
    <t>19002030</t>
  </si>
  <si>
    <t>2026-08-14 13:37:53</t>
  </si>
  <si>
    <t>19011439</t>
  </si>
  <si>
    <t>19000630</t>
  </si>
  <si>
    <t>2026-08-14 10:18:06</t>
  </si>
  <si>
    <t>19011603</t>
  </si>
  <si>
    <t>2026-08-10 15:26:49</t>
  </si>
  <si>
    <t>2026-08-14 16:30:09</t>
  </si>
  <si>
    <t>2026-08-14 13:57:35</t>
  </si>
  <si>
    <t>2026-08-10 11:24:25</t>
  </si>
  <si>
    <t>2026-08-14 09:53:56</t>
  </si>
  <si>
    <t>19027519</t>
  </si>
  <si>
    <t>19004956</t>
  </si>
  <si>
    <t>19009841</t>
  </si>
  <si>
    <t>2026-08-10 13:44:15</t>
  </si>
  <si>
    <t>19003062</t>
  </si>
  <si>
    <t>2026-08-13 23:31:56</t>
  </si>
  <si>
    <t>1004</t>
  </si>
  <si>
    <t>19000925</t>
  </si>
  <si>
    <t>19025987</t>
  </si>
  <si>
    <t>2026-08-10 21:06:38</t>
  </si>
  <si>
    <t>19000557</t>
  </si>
  <si>
    <t>2026-08-10 21:13:15</t>
  </si>
  <si>
    <t>작업취소</t>
  </si>
  <si>
    <t>19015165</t>
  </si>
  <si>
    <t>19007273</t>
  </si>
  <si>
    <t>19021243</t>
  </si>
  <si>
    <t>2026-08-14 10:24:48</t>
  </si>
  <si>
    <t>재고수량</t>
  </si>
  <si>
    <t>2026-08-13 21:14:23</t>
  </si>
  <si>
    <t>19001738</t>
  </si>
  <si>
    <t>19019565</t>
  </si>
  <si>
    <t>19014530</t>
  </si>
  <si>
    <t>2026-08-10 23:35:00</t>
  </si>
  <si>
    <t>2026-08-11 00:21:39</t>
  </si>
  <si>
    <t>2026-08-13 16:32:48</t>
  </si>
  <si>
    <t>19019568</t>
  </si>
  <si>
    <t>19001288</t>
  </si>
  <si>
    <t>2026-08-13 20:29:18</t>
  </si>
  <si>
    <t>19000318</t>
  </si>
  <si>
    <t>19017628</t>
  </si>
  <si>
    <t>2026-08-15 21:17:32</t>
  </si>
  <si>
    <t>19022321</t>
  </si>
  <si>
    <t>19028966</t>
  </si>
  <si>
    <t>19004394</t>
  </si>
  <si>
    <t>19011162</t>
  </si>
  <si>
    <t>2026-08-14 16:26:29</t>
  </si>
  <si>
    <t>2026-08-12 13:42:26</t>
  </si>
  <si>
    <t>2026-08-14 10:34:38</t>
  </si>
  <si>
    <t>2026-08-13 23:40:49</t>
  </si>
  <si>
    <t>2026-08-10 06:06:29</t>
  </si>
  <si>
    <t>19004182</t>
  </si>
  <si>
    <t>2026-08-12 07:22:44</t>
  </si>
  <si>
    <t>2026-08-14 09:48:10</t>
  </si>
  <si>
    <t>2026-08-13 16:27:59</t>
  </si>
  <si>
    <t>2026-08-10 20:52:27</t>
  </si>
  <si>
    <t>19001888</t>
  </si>
  <si>
    <t>2026-08-13 23:11:57</t>
  </si>
  <si>
    <t>2026-08-14 15:28:14</t>
  </si>
  <si>
    <t>19016956</t>
  </si>
  <si>
    <t>2026-08-10 08:27:17</t>
  </si>
  <si>
    <t>2026-08-10 06:11:01</t>
  </si>
  <si>
    <t>2026-08-13 21:38:30</t>
  </si>
  <si>
    <t>19020273</t>
  </si>
  <si>
    <t>19003707</t>
  </si>
  <si>
    <t>19012304</t>
  </si>
  <si>
    <t>19009323</t>
  </si>
  <si>
    <t>19004697</t>
  </si>
  <si>
    <t>19009164</t>
  </si>
  <si>
    <t>2026-08-12 13:45:08</t>
  </si>
  <si>
    <t>2026-08-12 07:55:26</t>
  </si>
  <si>
    <t>2026-08-13 23:16:09</t>
  </si>
  <si>
    <t>19004256</t>
  </si>
  <si>
    <t>19000632</t>
  </si>
  <si>
    <t>2026-08-12 07:16:05</t>
  </si>
  <si>
    <t>2026-08-10 06:21:59</t>
  </si>
  <si>
    <t>2026-08-12 00:48:40</t>
  </si>
  <si>
    <t>19005828</t>
  </si>
  <si>
    <t>2026-08-14 13:39:00</t>
  </si>
  <si>
    <t>19026191</t>
  </si>
  <si>
    <t>19006092</t>
  </si>
  <si>
    <t>2026-08-10 09:02:21</t>
  </si>
  <si>
    <t>19018624</t>
  </si>
  <si>
    <t>2026-08-12 13:29:55</t>
  </si>
  <si>
    <t>19000986</t>
  </si>
  <si>
    <t>19010164</t>
  </si>
  <si>
    <t>2026-08-14 14:14:06</t>
  </si>
  <si>
    <t>19020873</t>
  </si>
  <si>
    <t>19001387</t>
  </si>
  <si>
    <t>19013526</t>
  </si>
  <si>
    <t>19013017</t>
  </si>
  <si>
    <t>2026-08-14 09:38:31</t>
  </si>
  <si>
    <t>19003085</t>
  </si>
  <si>
    <t>19016565</t>
  </si>
  <si>
    <t>2026-08-10 13:43:19</t>
  </si>
  <si>
    <t>19029984</t>
  </si>
  <si>
    <t>20270525150000</t>
  </si>
  <si>
    <t>2026-08-12 15:54:35</t>
  </si>
  <si>
    <t>19001713</t>
  </si>
  <si>
    <t>19024208</t>
  </si>
  <si>
    <t>2026-08-14 14:07:59</t>
  </si>
  <si>
    <t>2026-08-12 15:36:01</t>
  </si>
  <si>
    <t>농심)츄파춥스플러피판다</t>
  </si>
  <si>
    <t>2026-08-11 00:30:00</t>
  </si>
  <si>
    <t>2026-08-14 11:14:11</t>
  </si>
  <si>
    <t>2026-08-14 10:33:02</t>
  </si>
  <si>
    <t>2026-08-14 11:06:32</t>
  </si>
  <si>
    <t>2026-08-14 09:06:38</t>
  </si>
  <si>
    <t>19002747</t>
  </si>
  <si>
    <t>2026-08-14 08:27:16</t>
  </si>
  <si>
    <t>2026-08-10 06:07:37</t>
  </si>
  <si>
    <t>19003828</t>
  </si>
  <si>
    <t>19015899</t>
  </si>
  <si>
    <t>2026-08-15 16:54:46</t>
  </si>
  <si>
    <t>2026-08-14 13:53:06</t>
  </si>
  <si>
    <t>2026-08-10 16:47:32</t>
  </si>
  <si>
    <t>2026-08-13 23:17:07</t>
  </si>
  <si>
    <t>19003267</t>
  </si>
  <si>
    <t>2026-08-12 07:24:05</t>
  </si>
  <si>
    <t>19003093</t>
  </si>
  <si>
    <t>2026-08-10 21:00:50</t>
  </si>
  <si>
    <t>2026-08-10 13:56:50</t>
  </si>
  <si>
    <t>2026-08-11 00:34:59</t>
  </si>
  <si>
    <t>2026-08-15 16:19:41</t>
  </si>
  <si>
    <t>19009342</t>
  </si>
  <si>
    <t>19012878</t>
  </si>
  <si>
    <t>2026-08-15 21:18:52</t>
  </si>
  <si>
    <t>19001981</t>
  </si>
  <si>
    <t>19021241</t>
  </si>
  <si>
    <t>2026-08-12 08:22:26</t>
  </si>
  <si>
    <t>2026-08-10 09:26:08</t>
  </si>
  <si>
    <t>2026-08-14 14:21:25</t>
  </si>
  <si>
    <t>2026-08-12 09:10:27</t>
  </si>
  <si>
    <t>2026-08-14 15:37:23</t>
  </si>
  <si>
    <t>2026-08-10 14:06:34</t>
  </si>
  <si>
    <t>19005908</t>
  </si>
  <si>
    <t>2026-08-12 13:31:05</t>
  </si>
  <si>
    <t>19014868</t>
  </si>
  <si>
    <t>19014869</t>
  </si>
  <si>
    <t>19000635</t>
  </si>
  <si>
    <t>2026-08-10 17:48:49</t>
  </si>
  <si>
    <t>2026-08-12 07:21:06</t>
  </si>
  <si>
    <t>2026-08-10 10:44:03</t>
  </si>
  <si>
    <t>2026-08-10 10:45:07</t>
  </si>
  <si>
    <t>2026-08-14 11:14:04</t>
  </si>
  <si>
    <t>19020044</t>
  </si>
  <si>
    <t>19005228</t>
  </si>
  <si>
    <t>19006696</t>
  </si>
  <si>
    <t>19008454</t>
  </si>
  <si>
    <t>19011119</t>
  </si>
  <si>
    <t>2026-08-10 08:35:54</t>
  </si>
  <si>
    <t>2026-08-13 17:31:04</t>
  </si>
  <si>
    <t>19023881</t>
  </si>
  <si>
    <t>19007680</t>
  </si>
  <si>
    <t>19014853</t>
  </si>
  <si>
    <t>2026-08-14 08:31:02</t>
  </si>
  <si>
    <t>2026-08-12 15:46:14</t>
  </si>
  <si>
    <t>19000242</t>
  </si>
  <si>
    <t>19008659</t>
  </si>
  <si>
    <t>2026-08-10 07:40:32</t>
  </si>
  <si>
    <t>2026-08-11 23:23:25</t>
  </si>
  <si>
    <t>19022076</t>
  </si>
  <si>
    <t>19015619</t>
  </si>
  <si>
    <t>2026-08-10 09:46:22</t>
  </si>
  <si>
    <t>19000616</t>
  </si>
  <si>
    <t>2026-08-14 14:09:01</t>
  </si>
  <si>
    <t>2026-08-12 07:31:48</t>
  </si>
  <si>
    <t>19005747</t>
  </si>
  <si>
    <t>2026-08-14 10:42:56</t>
  </si>
  <si>
    <t>2026-08-10 10:40:21</t>
  </si>
  <si>
    <t>2026-08-12 09:03:49</t>
  </si>
  <si>
    <t>19023072</t>
  </si>
  <si>
    <t>19015372</t>
  </si>
  <si>
    <t>2026-08-10 07:38:15</t>
  </si>
  <si>
    <t>2026-08-14 13:43:33</t>
  </si>
  <si>
    <t>19013178</t>
  </si>
  <si>
    <t>19011341</t>
  </si>
  <si>
    <t>2026-08-12 08:58:33</t>
  </si>
  <si>
    <t>19000208</t>
  </si>
  <si>
    <t>2026-08-10 17:25:03</t>
  </si>
  <si>
    <t>19010675</t>
  </si>
  <si>
    <t>19023590</t>
  </si>
  <si>
    <t>2026-08-10 06:19:14</t>
  </si>
  <si>
    <t>2026-08-14 14:14:04</t>
  </si>
  <si>
    <t>19018899</t>
  </si>
  <si>
    <t>19014933</t>
  </si>
  <si>
    <t>2026-08-12 06:57:07</t>
  </si>
  <si>
    <t>2026-08-14 11:15:52</t>
  </si>
  <si>
    <t>19015790</t>
  </si>
  <si>
    <t>19002700</t>
  </si>
  <si>
    <t>19001202</t>
  </si>
  <si>
    <t>2026-08-10 06:57:57</t>
  </si>
  <si>
    <t>잔량</t>
  </si>
  <si>
    <t>2026-08-15 22:26:12</t>
  </si>
  <si>
    <t>19004894</t>
  </si>
  <si>
    <t>19013941</t>
  </si>
  <si>
    <t>2026-08-11 04:12:19</t>
  </si>
  <si>
    <t>2026-08-12 13:20:52</t>
  </si>
  <si>
    <t>2026-08-12 13:29:52</t>
  </si>
  <si>
    <t>19012171</t>
  </si>
  <si>
    <t>2026-08-10 11:18:26</t>
  </si>
  <si>
    <t>19014736</t>
  </si>
  <si>
    <t>2026-08-12 18:41:59</t>
  </si>
  <si>
    <t>19019555</t>
  </si>
  <si>
    <t>2026-08-12 07:31:39</t>
  </si>
  <si>
    <t>2026-08-12 09:19:40</t>
  </si>
  <si>
    <t>2026-08-10 18:04:10</t>
  </si>
  <si>
    <t>2026-08-15 16:37:53</t>
  </si>
  <si>
    <t>2026-08-15 21:02:10</t>
  </si>
  <si>
    <t>2026-08-14 09:40:25</t>
  </si>
  <si>
    <t>19004720</t>
  </si>
  <si>
    <t>2026-08-10 20:56:20</t>
  </si>
  <si>
    <t>19014066</t>
  </si>
  <si>
    <t>8801117377304</t>
  </si>
  <si>
    <t>2026-08-10 07:52:37</t>
  </si>
  <si>
    <t>2026-08-12 15:16:17</t>
  </si>
  <si>
    <t>2026-08-12 13:29:57</t>
  </si>
  <si>
    <t>2026-08-14 18:39:17</t>
  </si>
  <si>
    <t>2026-08-10 14:01:11</t>
  </si>
  <si>
    <t>19000866</t>
  </si>
  <si>
    <t>19020417</t>
  </si>
  <si>
    <t>2026-08-12 13:35:21</t>
  </si>
  <si>
    <t>19009964</t>
  </si>
  <si>
    <t>2026-08-10 06:09:20</t>
  </si>
  <si>
    <t>19025154</t>
  </si>
  <si>
    <t>19024060</t>
  </si>
  <si>
    <t>2026-08-15 20:09:54</t>
  </si>
  <si>
    <t>2026-08-11 00:25:03</t>
  </si>
  <si>
    <t>2026-08-12 08:51:29</t>
  </si>
  <si>
    <t>19012163</t>
  </si>
  <si>
    <t>2026-08-13 16:41:05</t>
  </si>
  <si>
    <t>19018330</t>
  </si>
  <si>
    <t>19002271</t>
  </si>
  <si>
    <t>2026-08-14 10:42:49</t>
  </si>
  <si>
    <t>19018951</t>
  </si>
  <si>
    <t>19006698</t>
  </si>
  <si>
    <t>2026-08-11 23:41:59</t>
  </si>
  <si>
    <t>19019438</t>
  </si>
  <si>
    <t>2026-08-12 07:28:10</t>
  </si>
  <si>
    <t>입력일</t>
  </si>
  <si>
    <t>19018491</t>
  </si>
  <si>
    <t>19002766</t>
  </si>
  <si>
    <t>19013423</t>
  </si>
  <si>
    <t>19023360</t>
  </si>
  <si>
    <t>2026-08-13 23:36:59</t>
  </si>
  <si>
    <t>2026-08-12 06:43:02</t>
  </si>
  <si>
    <t>19005940</t>
  </si>
  <si>
    <t>2026-08-10 09:18:18</t>
  </si>
  <si>
    <t>2026-08-14 13:45:09</t>
  </si>
  <si>
    <t>2026-08-10 09:16:38</t>
  </si>
  <si>
    <t>4037400346519</t>
  </si>
  <si>
    <t>19007980</t>
  </si>
  <si>
    <t>19001751</t>
  </si>
  <si>
    <t>19013061</t>
  </si>
  <si>
    <t>19007392</t>
  </si>
  <si>
    <t>2026-08-14 13:51:31</t>
  </si>
  <si>
    <t>19024717</t>
  </si>
  <si>
    <t>19004595</t>
  </si>
  <si>
    <t>2026-08-12 15:18:11</t>
  </si>
  <si>
    <t>19026649</t>
  </si>
  <si>
    <t>2026-08-12 08:37:33</t>
  </si>
  <si>
    <t>19010240</t>
  </si>
  <si>
    <t>19003834</t>
  </si>
  <si>
    <t>19009424</t>
  </si>
  <si>
    <t>2026-08-10 06:23:20</t>
  </si>
  <si>
    <t>2026-08-12 18:48:04</t>
  </si>
  <si>
    <t>2026-08-12 07:45:11</t>
  </si>
  <si>
    <t>19016322</t>
  </si>
  <si>
    <t>19003432</t>
  </si>
  <si>
    <t>2026-08-15 21:17:17</t>
  </si>
  <si>
    <t>2026-08-10 11:12:51</t>
  </si>
  <si>
    <t>2026-08-10 15:35:39</t>
  </si>
  <si>
    <t>2026-08-14 14:12:00</t>
  </si>
  <si>
    <t>2026-08-12 06:50:37</t>
  </si>
  <si>
    <t>2026-08-13 21:43:14</t>
  </si>
  <si>
    <t>19008393</t>
  </si>
  <si>
    <t>19004491</t>
  </si>
  <si>
    <t>2026-08-14 15:32:52</t>
  </si>
  <si>
    <t>19010572</t>
  </si>
  <si>
    <t>19000860</t>
  </si>
  <si>
    <t>19010008</t>
  </si>
  <si>
    <t>19027351</t>
  </si>
  <si>
    <t>19012795</t>
  </si>
  <si>
    <t>2026-08-13 21:48:34</t>
  </si>
  <si>
    <t>19001977</t>
  </si>
  <si>
    <t>19001324</t>
  </si>
  <si>
    <t>2026-08-15 16:02:31</t>
  </si>
  <si>
    <t>19025315</t>
  </si>
  <si>
    <t>2026-08-15 20:22:56</t>
  </si>
  <si>
    <t>2026-08-10 16:28:13</t>
  </si>
  <si>
    <t>2026-08-10 08:38:18</t>
  </si>
  <si>
    <t>19010695</t>
  </si>
  <si>
    <t>19007016</t>
  </si>
  <si>
    <t>19022870</t>
  </si>
  <si>
    <t>2026-08-12 07:06:03</t>
  </si>
  <si>
    <t>19002221</t>
  </si>
  <si>
    <t>19028535</t>
  </si>
  <si>
    <t>19000419</t>
  </si>
  <si>
    <t>19004587</t>
  </si>
  <si>
    <t>19002520</t>
  </si>
  <si>
    <t>19024535</t>
  </si>
  <si>
    <t>2026-08-14 11:15:58</t>
  </si>
  <si>
    <t>19028528</t>
  </si>
  <si>
    <t>2026-08-10 07:19:09</t>
  </si>
  <si>
    <t>2026-08-10 06:21:13</t>
  </si>
  <si>
    <t>2026-08-12 08:46:57</t>
  </si>
  <si>
    <t>2026-08-14 11:11:28</t>
  </si>
  <si>
    <t>19019464</t>
  </si>
  <si>
    <t>20270726150000</t>
  </si>
  <si>
    <t>19018590</t>
  </si>
  <si>
    <t>2026-08-12 13:28:30</t>
  </si>
  <si>
    <t>2026-08-10 08:34:59</t>
  </si>
  <si>
    <t>2026-08-13 23:21:13</t>
  </si>
  <si>
    <t>19016153</t>
  </si>
  <si>
    <t>2026-08-11 22:55:41</t>
  </si>
  <si>
    <t>2026-08-15 16:12:34</t>
  </si>
  <si>
    <t>2026-08-13 16:48:16</t>
  </si>
  <si>
    <t>2026-08-15 16:15:19</t>
  </si>
  <si>
    <t>2026-08-12 06:41:00</t>
  </si>
  <si>
    <t>2026-08-13 23:25:58</t>
  </si>
  <si>
    <t>19001055</t>
  </si>
  <si>
    <t>2026-08-12 09:49:28</t>
  </si>
  <si>
    <t>19029197</t>
  </si>
  <si>
    <t>19021896</t>
  </si>
  <si>
    <t>2026-08-10 06:14:58</t>
  </si>
  <si>
    <t>2026-08-14 14:08:39</t>
  </si>
  <si>
    <t>2026-08-14 06:49:35</t>
  </si>
  <si>
    <t>19002754</t>
  </si>
  <si>
    <t>2026-08-12 15:14:14</t>
  </si>
  <si>
    <t>19002505</t>
  </si>
  <si>
    <t>2026-08-13 23:25:26</t>
  </si>
  <si>
    <t>19009514</t>
  </si>
  <si>
    <t>2026-08-10 13:24:51</t>
  </si>
  <si>
    <t>19014294</t>
  </si>
  <si>
    <t>2026-08-12 15:54:40</t>
  </si>
  <si>
    <t>19007942</t>
  </si>
  <si>
    <t>19001763</t>
  </si>
  <si>
    <t>19004519</t>
  </si>
  <si>
    <t>19023867</t>
  </si>
  <si>
    <t>20270801150000</t>
  </si>
  <si>
    <t>2026-08-14 16:18:44</t>
  </si>
  <si>
    <t>2026-08-10 09:53:43</t>
  </si>
  <si>
    <t>2026-08-12 06:44:54</t>
  </si>
  <si>
    <t>2026-08-13 23:39:31</t>
  </si>
  <si>
    <t>2026-08-10 09:04:31</t>
  </si>
  <si>
    <t>2026-08-11 21:37:39</t>
  </si>
  <si>
    <t>19004891</t>
  </si>
  <si>
    <t>2026-08-14 14:21:21</t>
  </si>
  <si>
    <t>19028795</t>
  </si>
  <si>
    <t>19019321</t>
  </si>
  <si>
    <t>2026-08-10 10:38:13</t>
  </si>
  <si>
    <t>2026-08-10 11:32:11</t>
  </si>
  <si>
    <t>2026-08-10 17:29:10</t>
  </si>
  <si>
    <t>2026-08-12 06:46:51</t>
  </si>
  <si>
    <t>19013932</t>
  </si>
  <si>
    <t>19013994</t>
  </si>
  <si>
    <t>2026-08-10 15:35:24</t>
  </si>
  <si>
    <t>2026-08-10 11:30:56</t>
  </si>
  <si>
    <t>19023757</t>
  </si>
  <si>
    <t>2026-08-10 16:19:50</t>
  </si>
  <si>
    <t>2026-08-13 21:20:31</t>
  </si>
  <si>
    <t>2026-08-14 14:52:56</t>
  </si>
  <si>
    <t>19012118</t>
  </si>
  <si>
    <t>19001161</t>
  </si>
  <si>
    <t>19020429</t>
  </si>
  <si>
    <t>2026-08-10 16:19:45</t>
  </si>
  <si>
    <t>2026-08-10 13:49:12</t>
  </si>
  <si>
    <t>2026-08-14 09:36:28</t>
  </si>
  <si>
    <t>19002235</t>
  </si>
  <si>
    <t>19011072</t>
  </si>
  <si>
    <t>2026-08-12 18:47:59</t>
  </si>
  <si>
    <t>19001253</t>
  </si>
  <si>
    <t>2026-08-11 21:50:29</t>
  </si>
  <si>
    <t>19009623</t>
  </si>
  <si>
    <t>2026-08-12 07:49:59</t>
  </si>
  <si>
    <t>2026-08-14 06:59:41</t>
  </si>
  <si>
    <t>19007815</t>
  </si>
  <si>
    <t>2026-08-10 15:35:09</t>
  </si>
  <si>
    <t>19006292</t>
  </si>
  <si>
    <t>2026-08-14 10:25:39</t>
  </si>
  <si>
    <t>2026-08-14 14:33:56</t>
  </si>
  <si>
    <t>19024184</t>
  </si>
  <si>
    <t>19012872</t>
  </si>
  <si>
    <t>2026-08-15 16:23:28</t>
  </si>
  <si>
    <t>2026-08-11 23:38:03</t>
  </si>
  <si>
    <t>19018261</t>
  </si>
  <si>
    <t>2026-08-14 15:31:13</t>
  </si>
  <si>
    <t>19003362</t>
  </si>
  <si>
    <t>19002653</t>
  </si>
  <si>
    <t>2026-08-10 13:51:18</t>
  </si>
  <si>
    <t>2026-08-12 13:15:24</t>
  </si>
  <si>
    <t>19002012</t>
  </si>
  <si>
    <t>2026-08-10 08:36:05</t>
  </si>
  <si>
    <t>2026-08-10 13:21:42</t>
  </si>
  <si>
    <t>2026-08-14 09:09:42</t>
  </si>
  <si>
    <t>2026-08-15 16:28:51</t>
  </si>
  <si>
    <t>19015002</t>
  </si>
  <si>
    <t>19000663</t>
  </si>
  <si>
    <t>2026-08-15 16:27:39</t>
  </si>
  <si>
    <t>19001223</t>
  </si>
  <si>
    <t>2026-08-10 09:31:51</t>
  </si>
  <si>
    <t>19018787</t>
  </si>
  <si>
    <t>2026-08-12 18:36:22</t>
  </si>
  <si>
    <t>2026-08-10 07:09:36</t>
  </si>
  <si>
    <t>2026-08-14 13:35:53</t>
  </si>
  <si>
    <t>2026-08-12 00:38:58</t>
  </si>
  <si>
    <t>19025526</t>
  </si>
  <si>
    <t>2026-08-13 23:17:02</t>
  </si>
  <si>
    <t>2026-08-10 06:06:07</t>
  </si>
  <si>
    <t>19003579</t>
  </si>
  <si>
    <t>2026-08-12 18:30:05</t>
  </si>
  <si>
    <t>19004125</t>
  </si>
  <si>
    <t>19021084</t>
  </si>
  <si>
    <t>2026-08-12 07:06:43</t>
  </si>
  <si>
    <t>19007083</t>
  </si>
  <si>
    <t>2026-08-14 13:44:28</t>
  </si>
  <si>
    <t>2026-08-10 10:38:47</t>
  </si>
  <si>
    <t>2026-08-15 16:34:38</t>
  </si>
  <si>
    <t>2026-08-10 17:42:28</t>
  </si>
  <si>
    <t>2026-08-10 16:33:31</t>
  </si>
  <si>
    <t>2026-08-12 13:45:43</t>
  </si>
  <si>
    <t>2026-08-10 13:55:35</t>
  </si>
  <si>
    <t>19003620</t>
  </si>
  <si>
    <t>19005221</t>
  </si>
  <si>
    <t>19029472</t>
  </si>
  <si>
    <t>2026-08-10 09:14:52</t>
  </si>
  <si>
    <t>2026-08-10 10:41:05</t>
  </si>
  <si>
    <t>19020565</t>
  </si>
  <si>
    <t>19008999</t>
  </si>
  <si>
    <t>2026-08-12 08:24:49</t>
  </si>
  <si>
    <t>2026-08-12 07:08:11</t>
  </si>
  <si>
    <t>19002297</t>
  </si>
  <si>
    <t>2026-08-14 13:54:11</t>
  </si>
  <si>
    <t>19028738</t>
  </si>
  <si>
    <t>19002536</t>
  </si>
  <si>
    <t>19025839</t>
  </si>
  <si>
    <t>2026-08-12 15:43:47</t>
  </si>
  <si>
    <t>2026-08-10 08:57:00</t>
  </si>
  <si>
    <t>19012051</t>
  </si>
  <si>
    <t>2026-08-10 09:51:07</t>
  </si>
  <si>
    <t>2026-08-15 16:11:20</t>
  </si>
  <si>
    <t>19015450</t>
  </si>
  <si>
    <t>2026-08-14 14:08:34</t>
  </si>
  <si>
    <t>19002180</t>
  </si>
  <si>
    <t>2026-08-11 23:19:51</t>
  </si>
  <si>
    <t>6977308560991</t>
  </si>
  <si>
    <t>2026-08-10 21:05:41</t>
  </si>
  <si>
    <t>2026-08-13 16:50:03</t>
  </si>
  <si>
    <t>2026-08-10 18:15:10</t>
  </si>
  <si>
    <t>2026-08-10 20:35:38</t>
  </si>
  <si>
    <t>20271207150000</t>
  </si>
  <si>
    <t>19027051</t>
  </si>
  <si>
    <t>2026-08-10 15:21:16</t>
  </si>
  <si>
    <t>19016558</t>
  </si>
  <si>
    <t>2026-08-12 08:52:54</t>
  </si>
  <si>
    <t>19010895</t>
  </si>
  <si>
    <t>19012103</t>
  </si>
  <si>
    <t>19010422</t>
  </si>
  <si>
    <t>19016529</t>
  </si>
  <si>
    <t>2026-08-12 09:08:28</t>
  </si>
  <si>
    <t>19007142</t>
  </si>
  <si>
    <t>19008698</t>
  </si>
  <si>
    <t>19020342</t>
  </si>
  <si>
    <t>19010665</t>
  </si>
  <si>
    <t>2026-08-14 11:11:25</t>
  </si>
  <si>
    <t>2026-08-14 16:21:07</t>
  </si>
  <si>
    <t>19016244</t>
  </si>
  <si>
    <t>8809617944842</t>
  </si>
  <si>
    <t>2026-08-10 15:33:17</t>
  </si>
  <si>
    <t>2026-08-10 06:05:01</t>
  </si>
  <si>
    <t>19005882</t>
  </si>
  <si>
    <t>19021285</t>
  </si>
  <si>
    <t>2026-08-13 17:22:26</t>
  </si>
  <si>
    <t>19015182</t>
  </si>
  <si>
    <t>2026-08-10 06:20:24</t>
  </si>
  <si>
    <t>2026-08-10 15:35:31</t>
  </si>
  <si>
    <t>2026-08-10 09:36:32</t>
  </si>
  <si>
    <t>19003889</t>
  </si>
  <si>
    <t>19011525</t>
  </si>
  <si>
    <t>19005084</t>
  </si>
  <si>
    <t>19005379</t>
  </si>
  <si>
    <t>19010313</t>
  </si>
  <si>
    <t>2026-08-12 07:41:39</t>
  </si>
  <si>
    <t>2026-08-12 13:40:25</t>
  </si>
  <si>
    <t>19018650</t>
  </si>
  <si>
    <t>2026-08-12 18:34:17</t>
  </si>
  <si>
    <t>2026-08-12 07:23:56</t>
  </si>
  <si>
    <t>2026-08-10 06:28:38</t>
  </si>
  <si>
    <t>19013452</t>
  </si>
  <si>
    <t>19030133</t>
  </si>
  <si>
    <t>2026-08-13 23:23:23</t>
  </si>
  <si>
    <t>19019724</t>
  </si>
  <si>
    <t>19002850</t>
  </si>
  <si>
    <t>19007088</t>
  </si>
  <si>
    <t>19006321</t>
  </si>
  <si>
    <t>19002274</t>
  </si>
  <si>
    <t>2026-08-10 13:45:49</t>
  </si>
  <si>
    <t>2026-08-10 18:04:03</t>
  </si>
  <si>
    <t>2026-08-10 06:20:28</t>
  </si>
  <si>
    <t>19003157</t>
  </si>
  <si>
    <t>2026-08-12 13:59:49</t>
  </si>
  <si>
    <t>19005417</t>
  </si>
  <si>
    <t>19005391</t>
  </si>
  <si>
    <t>19012392</t>
  </si>
  <si>
    <t>2026-08-14 16:37:01</t>
  </si>
  <si>
    <t>2026-08-10 07:19:03</t>
  </si>
  <si>
    <t>19017690</t>
  </si>
  <si>
    <t>19001598</t>
  </si>
  <si>
    <t>2026-08-12 15:32:30</t>
  </si>
  <si>
    <t>2026-08-10 15:41:58</t>
  </si>
  <si>
    <t>19015253</t>
  </si>
  <si>
    <t>19020946</t>
  </si>
  <si>
    <t>19018847</t>
  </si>
  <si>
    <t>19016600</t>
  </si>
  <si>
    <t>19002535</t>
  </si>
  <si>
    <t>19003149</t>
  </si>
  <si>
    <t>19019932</t>
  </si>
  <si>
    <t>19006243</t>
  </si>
  <si>
    <t>19002446</t>
  </si>
  <si>
    <t>2026-08-14 14:13:59</t>
  </si>
  <si>
    <t>2026-08-14 14:36:46</t>
  </si>
  <si>
    <t>19010228</t>
  </si>
  <si>
    <t>2026-08-10 20:46:50</t>
  </si>
  <si>
    <t>19002470</t>
  </si>
  <si>
    <t>2026-08-13 16:43:21</t>
  </si>
  <si>
    <t>2026-08-10 13:41:58</t>
  </si>
  <si>
    <t>2026-08-12 07:01:45</t>
  </si>
  <si>
    <t>19009799</t>
  </si>
  <si>
    <t>19024059</t>
  </si>
  <si>
    <t>2026-08-15 16:01:02</t>
  </si>
  <si>
    <t>19006365</t>
  </si>
  <si>
    <t>2026-08-15 16:06:24</t>
  </si>
  <si>
    <t>2026-08-14 12:39:17</t>
  </si>
  <si>
    <t>19007067</t>
  </si>
  <si>
    <t>2026-08-12 13:54:16</t>
  </si>
  <si>
    <t>2026-08-13 20:33:08</t>
  </si>
  <si>
    <t>19024665</t>
  </si>
  <si>
    <t>19026266</t>
  </si>
  <si>
    <t>19005545</t>
  </si>
  <si>
    <t>2026-08-14 15:40:59</t>
  </si>
  <si>
    <t>2026-08-11 00:42:15</t>
  </si>
  <si>
    <t>19012470</t>
  </si>
  <si>
    <t>2026-08-10 10:25:50</t>
  </si>
  <si>
    <t>19011916</t>
  </si>
  <si>
    <t>2026-08-13 23:35:51</t>
  </si>
  <si>
    <t>2026-08-12 10:20:45</t>
  </si>
  <si>
    <t>19027894</t>
  </si>
  <si>
    <t>2026-08-13 23:31:42</t>
  </si>
  <si>
    <t>19017623</t>
  </si>
  <si>
    <t>19020618</t>
  </si>
  <si>
    <t>2026-08-12 00:51:16</t>
  </si>
  <si>
    <t>2026-08-11 23:19:49</t>
  </si>
  <si>
    <t>2026-08-15 16:16:42</t>
  </si>
  <si>
    <t>19026145</t>
  </si>
  <si>
    <t>2026-08-14 14:09:23</t>
  </si>
  <si>
    <t>19006335</t>
  </si>
  <si>
    <t>19013816</t>
  </si>
  <si>
    <t>19018671</t>
  </si>
  <si>
    <t>2026-08-10 10:48:06</t>
  </si>
  <si>
    <t>19021415</t>
  </si>
  <si>
    <t>19020019</t>
  </si>
  <si>
    <t>19008180</t>
  </si>
  <si>
    <t>2026-08-14 09:42:48</t>
  </si>
  <si>
    <t>2026-08-11 00:21:42</t>
  </si>
  <si>
    <t>19012890</t>
  </si>
  <si>
    <t>2026-08-11 23:27:49</t>
  </si>
  <si>
    <t>2026-08-14 07:49:30</t>
  </si>
  <si>
    <t>2026-08-12 13:42:32</t>
  </si>
  <si>
    <t>19016317</t>
  </si>
  <si>
    <t>19008896</t>
  </si>
  <si>
    <t>19001647</t>
  </si>
  <si>
    <t>2026-08-14 18:20:54</t>
  </si>
  <si>
    <t>19002021</t>
  </si>
  <si>
    <t>19010130</t>
  </si>
  <si>
    <t>2026-08-12 13:35:18</t>
  </si>
  <si>
    <t>2026-08-10 16:50:26</t>
  </si>
  <si>
    <t>2026-08-10 15:32:00</t>
  </si>
  <si>
    <t>19029383</t>
  </si>
  <si>
    <t>19018920</t>
  </si>
  <si>
    <t>19025848</t>
  </si>
  <si>
    <t>19004651</t>
  </si>
  <si>
    <t>19011437</t>
  </si>
  <si>
    <t>2026-08-14 07:54:59</t>
  </si>
  <si>
    <t>2026-08-13 21:43:11</t>
  </si>
  <si>
    <t>2026-08-10 09:36:28</t>
  </si>
  <si>
    <t>2026-08-12 13:40:19</t>
  </si>
  <si>
    <t>19027140</t>
  </si>
  <si>
    <t>2026-08-15 16:08:21</t>
  </si>
  <si>
    <t>19000910</t>
  </si>
  <si>
    <t>19001328</t>
  </si>
  <si>
    <t>19022040</t>
  </si>
  <si>
    <t>19012980</t>
  </si>
  <si>
    <t>2026-08-10 20:19:30</t>
  </si>
  <si>
    <t>2026-08-12 08:33:15</t>
  </si>
  <si>
    <t>2026-08-14 09:49:57</t>
  </si>
  <si>
    <t>2026-08-12 07:18:57</t>
  </si>
  <si>
    <t>2026-08-14 14:05:21</t>
  </si>
  <si>
    <t>19015675</t>
  </si>
  <si>
    <t>2026-08-14 15:31:09</t>
  </si>
  <si>
    <t>19014704</t>
  </si>
  <si>
    <t>19018012</t>
  </si>
  <si>
    <t>19005375</t>
  </si>
  <si>
    <t>2026-08-10 13:49:17</t>
  </si>
  <si>
    <t>2026-08-12 07:17:22</t>
  </si>
  <si>
    <t>2026-08-14 13:40:01</t>
  </si>
  <si>
    <t>2026-08-10 10:38:03</t>
  </si>
  <si>
    <t>19029496</t>
  </si>
  <si>
    <t>19000218</t>
  </si>
  <si>
    <t>2026-08-10 10:35:28</t>
  </si>
  <si>
    <t>19003198</t>
  </si>
  <si>
    <t>2026-08-12 18:49:17</t>
  </si>
  <si>
    <t>2026-08-15 20:10:02</t>
  </si>
  <si>
    <t>19001603</t>
  </si>
  <si>
    <t>2026-08-14 18:14:16</t>
  </si>
  <si>
    <t>2026-08-10 11:12:57</t>
  </si>
  <si>
    <t>19000416</t>
  </si>
  <si>
    <t>2026-08-10 15:44:25</t>
  </si>
  <si>
    <t>19004730</t>
  </si>
  <si>
    <t>2026-08-12 13:15:29</t>
  </si>
  <si>
    <t>19009758</t>
  </si>
  <si>
    <t>2026-08-15 16:25:34</t>
  </si>
  <si>
    <t>2026-08-13 21:35:32</t>
  </si>
  <si>
    <t>2026-08-11 00:27:38</t>
  </si>
  <si>
    <t>19008369</t>
  </si>
  <si>
    <t>2026-08-14 11:12:53</t>
  </si>
  <si>
    <t>오리온)코코망고알맹이</t>
  </si>
  <si>
    <t>19003501</t>
  </si>
  <si>
    <t>19021500</t>
  </si>
  <si>
    <t>2026-08-10 07:36:06</t>
  </si>
  <si>
    <t>19006526</t>
  </si>
  <si>
    <t>19027868</t>
  </si>
  <si>
    <t>19006374</t>
  </si>
  <si>
    <t>19017281</t>
  </si>
  <si>
    <t>2026-08-14 10:29:28</t>
  </si>
  <si>
    <t>19018587</t>
  </si>
  <si>
    <t>19012639</t>
  </si>
  <si>
    <t>2026-08-10 15:32:54</t>
  </si>
  <si>
    <t>19002348</t>
  </si>
  <si>
    <t>19022861</t>
  </si>
  <si>
    <t>2026-08-10 15:29:05</t>
  </si>
  <si>
    <t>2026-08-14 10:20:30</t>
  </si>
  <si>
    <t>19020586</t>
  </si>
  <si>
    <t>19005740</t>
  </si>
  <si>
    <t>19007464</t>
  </si>
  <si>
    <t>19012417</t>
  </si>
  <si>
    <t>19011813</t>
  </si>
  <si>
    <t>19001218</t>
  </si>
  <si>
    <t>19016190</t>
  </si>
  <si>
    <t>19026445</t>
  </si>
  <si>
    <t>2026-08-14 10:49:17</t>
  </si>
  <si>
    <t>19003404</t>
  </si>
  <si>
    <t>2026-08-15 16:34:35</t>
  </si>
  <si>
    <t>2026-08-10 08:59:24</t>
  </si>
  <si>
    <t>2026-08-15 21:12:24</t>
  </si>
  <si>
    <t>2026-08-14 15:35:29</t>
  </si>
  <si>
    <t>2026-08-10 06:56:04</t>
  </si>
  <si>
    <t>19005438</t>
  </si>
  <si>
    <t>19013620</t>
  </si>
  <si>
    <t>2026-08-12 08:24:48</t>
  </si>
  <si>
    <t>2026-08-13 21:32:53</t>
  </si>
  <si>
    <t>2026-08-12 15:43:43</t>
  </si>
  <si>
    <t>2026-08-10 15:31:11</t>
  </si>
  <si>
    <t>2026-08-10 15:18:51</t>
  </si>
  <si>
    <t>19011221</t>
  </si>
  <si>
    <t>2026-08-12 06:42:52</t>
  </si>
  <si>
    <t>2026-08-14 08:24:48</t>
  </si>
  <si>
    <t>19007094</t>
  </si>
  <si>
    <t>2026-08-12 15:44:05</t>
  </si>
  <si>
    <t>2026-08-10 08:32:55</t>
  </si>
  <si>
    <t>19005688</t>
  </si>
  <si>
    <t>19006369</t>
  </si>
  <si>
    <t>2026-08-12 06:56:57</t>
  </si>
  <si>
    <t>2026-08-10 06:19:04</t>
  </si>
  <si>
    <t>2026-08-10 14:05:09</t>
  </si>
  <si>
    <t>19013159</t>
  </si>
  <si>
    <t>19022128</t>
  </si>
  <si>
    <t>19009392</t>
  </si>
  <si>
    <t>19000179</t>
  </si>
  <si>
    <t>19009677</t>
  </si>
  <si>
    <t>2026-08-15 16:55:16</t>
  </si>
  <si>
    <t>19000798</t>
  </si>
  <si>
    <t>2026-08-14 08:37:46</t>
  </si>
  <si>
    <t>19006944</t>
  </si>
  <si>
    <t>19002889</t>
  </si>
  <si>
    <t>19006107</t>
  </si>
  <si>
    <t>19011925</t>
  </si>
  <si>
    <t>19016522</t>
  </si>
  <si>
    <t>19014421</t>
  </si>
  <si>
    <t>19024047</t>
  </si>
  <si>
    <t>2026-08-14 08:28:54</t>
  </si>
  <si>
    <t>19015584</t>
  </si>
  <si>
    <t>20270210150000</t>
  </si>
  <si>
    <t>2026-08-10 18:06:01</t>
  </si>
  <si>
    <t>2026-08-14 10:26:15</t>
  </si>
  <si>
    <t>2026-08-10 09:36:24</t>
  </si>
  <si>
    <t>2026-08-14 16:41:24</t>
  </si>
  <si>
    <t>2026-08-10 10:46:44</t>
  </si>
  <si>
    <t>2026-08-11 21:37:34</t>
  </si>
  <si>
    <t>19014852</t>
  </si>
  <si>
    <t>2026-08-12 00:41:51</t>
  </si>
  <si>
    <t>2026-08-10 13:50:11</t>
  </si>
  <si>
    <t>2026-08-10 14:06:22</t>
  </si>
  <si>
    <t>19004633</t>
  </si>
  <si>
    <t>2026-08-10 06:34:16</t>
  </si>
  <si>
    <t>1013</t>
  </si>
  <si>
    <t>19009723</t>
  </si>
  <si>
    <t>19018372</t>
  </si>
  <si>
    <t>2026-08-10 06:51:13</t>
  </si>
  <si>
    <t>2026-08-14 09:14:31</t>
  </si>
  <si>
    <t>2026-08-10 15:31:03</t>
  </si>
  <si>
    <t>19004619</t>
  </si>
  <si>
    <t>2026-08-10 15:34:32</t>
  </si>
  <si>
    <t>19000573</t>
  </si>
  <si>
    <t>2026-08-14 09:16:26</t>
  </si>
  <si>
    <t>2026-08-12 16:00:49</t>
  </si>
  <si>
    <t>19024635</t>
  </si>
  <si>
    <t>2026-08-10 15:30:52</t>
  </si>
  <si>
    <t>2026-08-14 13:41:38</t>
  </si>
  <si>
    <t>19002749</t>
  </si>
  <si>
    <t>2026-08-10 06:32:56</t>
  </si>
  <si>
    <t>19011335</t>
  </si>
  <si>
    <t>2026-08-14 14:18:32</t>
  </si>
  <si>
    <t>19010075</t>
  </si>
  <si>
    <t>19021506</t>
  </si>
  <si>
    <t>19002845</t>
  </si>
  <si>
    <t>2026-08-12 13:37:14</t>
  </si>
  <si>
    <t>2026-08-14 14:00:59</t>
  </si>
  <si>
    <t>19006105</t>
  </si>
  <si>
    <t>2026-08-13 16:29:28</t>
  </si>
  <si>
    <t>19000888</t>
  </si>
  <si>
    <t>2026-08-13 23:39:12</t>
  </si>
  <si>
    <t>2026-08-14 11:04:32</t>
  </si>
  <si>
    <t>2026-08-14 14:04:20</t>
  </si>
  <si>
    <t>2026-08-14 14:18:24</t>
  </si>
  <si>
    <t>2026-08-10 21:01:57</t>
  </si>
  <si>
    <t>19010009</t>
  </si>
  <si>
    <t>19010912</t>
  </si>
  <si>
    <t>19000411</t>
  </si>
  <si>
    <t>19019038</t>
  </si>
  <si>
    <t>19004542</t>
  </si>
  <si>
    <t>2026-08-14 12:39:14</t>
  </si>
  <si>
    <t>2026-08-10 23:51:19</t>
  </si>
  <si>
    <t>2026-08-15 16:28:49</t>
  </si>
  <si>
    <t>2026-08-14 06:52:36</t>
  </si>
  <si>
    <t>19003120</t>
  </si>
  <si>
    <t>2026-08-10 06:32:18</t>
  </si>
  <si>
    <t>2026-08-10 09:23:17</t>
  </si>
  <si>
    <t>피킹수량</t>
  </si>
  <si>
    <t>19000252</t>
  </si>
  <si>
    <t>19002914</t>
  </si>
  <si>
    <t>2026-08-14 14:10:33</t>
  </si>
  <si>
    <t>2026-08-12 15:41:17</t>
  </si>
  <si>
    <t>2026-08-15 16:23:25</t>
  </si>
  <si>
    <t>2026-08-15 20:18:30</t>
  </si>
  <si>
    <t>19014293</t>
  </si>
  <si>
    <t>2026-08-15 21:04:14</t>
  </si>
  <si>
    <t>2026-08-12 15:14:12</t>
  </si>
  <si>
    <t>2026-08-12 09:55:00</t>
  </si>
  <si>
    <t>2026-08-10 15:34:41</t>
  </si>
  <si>
    <t>8801117394806</t>
  </si>
  <si>
    <t>2026-08-10 08:48:45</t>
  </si>
  <si>
    <t>19017431</t>
  </si>
  <si>
    <t>19004740</t>
  </si>
  <si>
    <t>19005036</t>
  </si>
  <si>
    <t>2026-08-13 23:24:10</t>
  </si>
  <si>
    <t>2026-08-12 15:35:57</t>
  </si>
  <si>
    <t>19015099</t>
  </si>
  <si>
    <t>19020787</t>
  </si>
  <si>
    <t>19016841</t>
  </si>
  <si>
    <t>2026-08-12 10:19:44</t>
  </si>
  <si>
    <t>19003182</t>
  </si>
  <si>
    <t>19016305</t>
  </si>
  <si>
    <t>19016877</t>
  </si>
  <si>
    <t>19008162</t>
  </si>
  <si>
    <t>19020977</t>
  </si>
  <si>
    <t>19009912</t>
  </si>
  <si>
    <t>2026-08-10 20:46:44</t>
  </si>
  <si>
    <t>19002011</t>
  </si>
  <si>
    <t>2026-08-14 10:19:02</t>
  </si>
  <si>
    <t>19028105</t>
  </si>
  <si>
    <t>20270802150000</t>
  </si>
  <si>
    <t>2026-08-14 13:39:57</t>
  </si>
  <si>
    <t>19009317</t>
  </si>
  <si>
    <t>19019474</t>
  </si>
  <si>
    <t>19003978</t>
  </si>
  <si>
    <t>19003713</t>
  </si>
  <si>
    <t>19000083</t>
  </si>
  <si>
    <t>2026-08-10 08:25:40</t>
  </si>
  <si>
    <t>2026-08-10 16:23:42</t>
  </si>
  <si>
    <t>19002176</t>
  </si>
  <si>
    <t>2026-08-13 23:22:50</t>
  </si>
  <si>
    <t>2026-08-10 21:13:12</t>
  </si>
  <si>
    <t>2026-08-10 06:22:04</t>
  </si>
  <si>
    <t>19020537</t>
  </si>
  <si>
    <t>2026-08-12 18:23:57</t>
  </si>
  <si>
    <t>2026-08-13 23:29:52</t>
  </si>
  <si>
    <t>2026-08-10 09:33:05</t>
  </si>
  <si>
    <t>2026-08-10 10:38:08</t>
  </si>
  <si>
    <t>19004642</t>
  </si>
  <si>
    <t>19001729</t>
  </si>
  <si>
    <t>19007997</t>
  </si>
  <si>
    <t>19004096</t>
  </si>
  <si>
    <t>2026-08-12 13:59:34</t>
  </si>
  <si>
    <t>19010210</t>
  </si>
  <si>
    <t>19000998</t>
  </si>
  <si>
    <t>19029101</t>
  </si>
  <si>
    <t>2026-08-10 20:32:35</t>
  </si>
  <si>
    <t>19006600</t>
  </si>
  <si>
    <t>2026-08-10 21:01:59</t>
  </si>
  <si>
    <t>19023584</t>
  </si>
  <si>
    <t>2026-08-14 15:37:47</t>
  </si>
  <si>
    <t>1003</t>
  </si>
  <si>
    <t>19013987</t>
  </si>
  <si>
    <t>19006563</t>
  </si>
  <si>
    <t>19023134</t>
  </si>
  <si>
    <t>2026-08-12 09:01:03</t>
  </si>
  <si>
    <t>19024223</t>
  </si>
  <si>
    <t>19017598</t>
  </si>
  <si>
    <t>19016817</t>
  </si>
  <si>
    <t>2026-08-14 14:06:04</t>
  </si>
  <si>
    <t>19009891</t>
  </si>
  <si>
    <t>2026-08-14 09:55:44</t>
  </si>
  <si>
    <t>19022110</t>
  </si>
  <si>
    <t>19027795</t>
  </si>
  <si>
    <t>2026-08-13 16:43:12</t>
  </si>
  <si>
    <t>2026-08-14 11:00:59</t>
  </si>
  <si>
    <t>19015677</t>
  </si>
  <si>
    <t>2026-08-10 13:36:45</t>
  </si>
  <si>
    <t>2026-08-10 06:07:43</t>
  </si>
  <si>
    <t>2026-08-12 18:26:08</t>
  </si>
  <si>
    <t>19026579</t>
  </si>
  <si>
    <t>오리온)올뉴비틀즈</t>
  </si>
  <si>
    <t>2026-08-10 09:46:26</t>
  </si>
  <si>
    <t>2026-08-14 14:05:26</t>
  </si>
  <si>
    <t>2026-08-12 18:34:06</t>
  </si>
  <si>
    <t>19028396</t>
  </si>
  <si>
    <t>19013514</t>
  </si>
  <si>
    <t>2026-08-12 09:53:10</t>
  </si>
  <si>
    <t>19025514</t>
  </si>
  <si>
    <t>19002287</t>
  </si>
  <si>
    <t>19001136</t>
  </si>
  <si>
    <t>2026-08-10 06:16:08</t>
  </si>
  <si>
    <t>19009499</t>
  </si>
  <si>
    <t>19016710</t>
  </si>
  <si>
    <t>2026-08-14 09:22:22</t>
  </si>
  <si>
    <t>2026-08-14 11:09:48</t>
  </si>
  <si>
    <t>2026-08-10 23:32:18</t>
  </si>
  <si>
    <t>19012323</t>
  </si>
  <si>
    <t>2026-08-13 16:41:39</t>
  </si>
  <si>
    <t>2026-08-15 21:19:09</t>
  </si>
  <si>
    <t>2026-08-12 07:10:22</t>
  </si>
  <si>
    <t>2026-08-10 13:51:07</t>
  </si>
  <si>
    <t>2026-08-10 21:03:16</t>
  </si>
  <si>
    <t>2026-08-10 06:13:44</t>
  </si>
  <si>
    <t>2026-08-13 21:44:42</t>
  </si>
  <si>
    <t>19010701</t>
  </si>
  <si>
    <t>2026-08-10 13:52:58</t>
  </si>
  <si>
    <t>2026-08-15 16:14:06</t>
  </si>
  <si>
    <t>2026-08-15 16:26:57</t>
  </si>
  <si>
    <t>19007617</t>
  </si>
  <si>
    <t>2026-08-14 06:47:06</t>
  </si>
  <si>
    <t>2026-08-14 10:18:12</t>
  </si>
  <si>
    <t>19028278</t>
  </si>
  <si>
    <t>19020018</t>
  </si>
  <si>
    <t>19005891</t>
  </si>
  <si>
    <t>19015269</t>
  </si>
  <si>
    <t>2026-08-14 14:09:33</t>
  </si>
  <si>
    <t>19016852</t>
  </si>
  <si>
    <t>2026-08-12 13:39:59</t>
  </si>
  <si>
    <t>19009405</t>
  </si>
  <si>
    <t>2026-08-12 13:21:31</t>
  </si>
  <si>
    <t>19002980</t>
  </si>
  <si>
    <t>2026-08-12 18:30:12</t>
  </si>
  <si>
    <t>2026-08-14 14:17:27</t>
  </si>
  <si>
    <t>2026-08-12 08:56:14</t>
  </si>
  <si>
    <t>2026-08-12 13:23:08</t>
  </si>
  <si>
    <t>19005411</t>
  </si>
  <si>
    <t>2026-08-10 06:33:00</t>
  </si>
  <si>
    <t>2026-08-12 07:00:03</t>
  </si>
  <si>
    <t>2026-08-12 00:47:17</t>
  </si>
  <si>
    <t>19011768</t>
  </si>
  <si>
    <t>2026-08-10 10:17:22</t>
  </si>
  <si>
    <t>19011098</t>
  </si>
  <si>
    <t>19017302</t>
  </si>
  <si>
    <t>2026-08-15 16:22:16</t>
  </si>
  <si>
    <t>19006221</t>
  </si>
  <si>
    <t>19010464</t>
  </si>
  <si>
    <t>19001536</t>
  </si>
  <si>
    <t>2026-08-10 17:33:24</t>
  </si>
  <si>
    <t>2026-08-13 20:21:36</t>
  </si>
  <si>
    <t>2026-08-10 09:16:45</t>
  </si>
  <si>
    <t>2026-08-13 17:27:47</t>
  </si>
  <si>
    <t>19011833</t>
  </si>
  <si>
    <t>2026-08-10 15:42:03</t>
  </si>
  <si>
    <t>19001480</t>
  </si>
  <si>
    <t>2026-08-13 20:11:33</t>
  </si>
  <si>
    <t>19006574</t>
  </si>
  <si>
    <t>19019663</t>
  </si>
  <si>
    <t>19018991</t>
  </si>
  <si>
    <t>2026-08-12 13:25:23</t>
  </si>
  <si>
    <t>20270707000000</t>
  </si>
  <si>
    <t>19000154</t>
  </si>
  <si>
    <t>2026-08-14 14:13:55</t>
  </si>
  <si>
    <t>2026-08-14 16:42:13</t>
  </si>
  <si>
    <t>19029952</t>
  </si>
  <si>
    <t>19019647</t>
  </si>
  <si>
    <t>2026-08-10 07:24:43</t>
  </si>
  <si>
    <t>2026-08-14 08:26:04</t>
  </si>
  <si>
    <t>19018127</t>
  </si>
  <si>
    <t>19029002</t>
  </si>
  <si>
    <t>2026-08-12 09:04:27</t>
  </si>
  <si>
    <t>19005759</t>
  </si>
  <si>
    <t>19017060</t>
  </si>
  <si>
    <t>2026-08-14 14:20:59</t>
  </si>
  <si>
    <t>2026-08-10 07:40:40</t>
  </si>
  <si>
    <t>19016864</t>
  </si>
  <si>
    <t>2026-08-13 23:42:08</t>
  </si>
  <si>
    <t>2026-08-12 18:44:08</t>
  </si>
  <si>
    <t>2026-08-15 16:32:10</t>
  </si>
  <si>
    <t>19004226</t>
  </si>
  <si>
    <t>2026-08-10 15:23:59</t>
  </si>
  <si>
    <t>19010343</t>
  </si>
  <si>
    <t>2026-08-12 18:30:17</t>
  </si>
  <si>
    <t>2026-08-15 16:39:37</t>
  </si>
  <si>
    <t>2026-08-10 09:04:26</t>
  </si>
  <si>
    <t>2026-08-12 07:47:21</t>
  </si>
  <si>
    <t>2026-08-14 08:41:25</t>
  </si>
  <si>
    <t>19022211</t>
  </si>
  <si>
    <t>2026-08-12 15:32:20</t>
  </si>
  <si>
    <t>19016943</t>
  </si>
  <si>
    <t>2026-08-10 06:48:43</t>
  </si>
  <si>
    <t>19002373</t>
  </si>
  <si>
    <t>19008144</t>
  </si>
  <si>
    <t>19003488</t>
  </si>
  <si>
    <t>2026-08-13 17:30:57</t>
  </si>
  <si>
    <t>2026-08-12 15:44:10</t>
  </si>
  <si>
    <t>19003049</t>
  </si>
  <si>
    <t>2026-08-11 21:51:26</t>
  </si>
  <si>
    <t>19011109</t>
  </si>
  <si>
    <t>2026-08-10 17:54:58</t>
  </si>
  <si>
    <t>2026-08-11 04:10:31</t>
  </si>
  <si>
    <t>19017385</t>
  </si>
  <si>
    <t>19003016</t>
  </si>
  <si>
    <t>2026-08-14 07:07:50</t>
  </si>
  <si>
    <t>19027076</t>
  </si>
  <si>
    <t>2026-08-10 07:20:40</t>
  </si>
  <si>
    <t>2026-08-10 06:22:29</t>
  </si>
  <si>
    <t>20270526000000</t>
  </si>
  <si>
    <t>19016110</t>
  </si>
  <si>
    <t>2026-08-14 09:52:47</t>
  </si>
  <si>
    <t>19002206</t>
  </si>
  <si>
    <t>19011469</t>
  </si>
  <si>
    <t>2026-08-13 20:21:40</t>
  </si>
  <si>
    <t>19001880</t>
  </si>
  <si>
    <t>2026-08-12 08:22:18</t>
  </si>
  <si>
    <t>2026-08-13 21:46:10</t>
  </si>
  <si>
    <t>2026-08-14 14:22:17</t>
  </si>
  <si>
    <t>2026-08-10 23:34:11</t>
  </si>
  <si>
    <t>19018936</t>
  </si>
  <si>
    <t>2026-08-14 18:16:08</t>
  </si>
  <si>
    <t>19007618</t>
  </si>
  <si>
    <t>2026-08-10 13:40:08</t>
  </si>
  <si>
    <t>2026-08-14 10:24:43</t>
  </si>
  <si>
    <t>2026-08-10 10:42:10</t>
  </si>
  <si>
    <t>2026-08-10 06:31:50</t>
  </si>
  <si>
    <t>19009988</t>
  </si>
  <si>
    <t>19023450</t>
  </si>
  <si>
    <t>2026-08-10 10:37:47</t>
  </si>
  <si>
    <t>19006210</t>
  </si>
  <si>
    <t>2026-08-12 07:43:15</t>
  </si>
  <si>
    <t>2026-08-12 13:51:19</t>
  </si>
  <si>
    <t>2026-08-12 13:13:57</t>
  </si>
  <si>
    <t>19016721</t>
  </si>
  <si>
    <t>2026-08-10 15:46:47</t>
  </si>
  <si>
    <t>오더유형</t>
  </si>
  <si>
    <t>19000849</t>
  </si>
  <si>
    <t>2026-08-14 08:46:10</t>
  </si>
  <si>
    <t>19001024</t>
  </si>
  <si>
    <t>19005129</t>
  </si>
  <si>
    <t>19019921</t>
  </si>
  <si>
    <t>19014963</t>
  </si>
  <si>
    <t>19004331</t>
  </si>
  <si>
    <t>비달)사우어레인보우믹스</t>
  </si>
  <si>
    <t>2026-08-15 22:17:41</t>
  </si>
  <si>
    <t>19006673</t>
  </si>
  <si>
    <t>2026-08-15 20:21:32</t>
  </si>
  <si>
    <t>2026-08-13 23:39:06</t>
  </si>
  <si>
    <t>19025596</t>
  </si>
  <si>
    <t>2026-08-10 08:55:15</t>
  </si>
  <si>
    <t>2026-08-13 21:46:05</t>
  </si>
  <si>
    <t>2026-08-15 22:17:27</t>
  </si>
  <si>
    <t>2026-08-13 21:47:24</t>
  </si>
  <si>
    <t>19017309</t>
  </si>
  <si>
    <t>19010901</t>
  </si>
  <si>
    <t>2026-08-10 11:21:46</t>
  </si>
  <si>
    <t>2026-08-15 16:22:14</t>
  </si>
  <si>
    <t>19011133</t>
  </si>
  <si>
    <t>19010642</t>
  </si>
  <si>
    <t>2026-08-12 16:20:07</t>
  </si>
  <si>
    <t>19009595</t>
  </si>
  <si>
    <t>2026-08-10 16:38:26</t>
  </si>
  <si>
    <t>19011006</t>
  </si>
  <si>
    <t>2026-08-10 11:17:23</t>
  </si>
  <si>
    <t>19005911</t>
  </si>
  <si>
    <t>19016169</t>
  </si>
  <si>
    <t>2026-08-10 10:41:23</t>
  </si>
  <si>
    <t>2026-08-12 15:16:12</t>
  </si>
  <si>
    <t>19002775</t>
  </si>
  <si>
    <t>2026-08-10 15:55:27</t>
  </si>
  <si>
    <t>2026-08-10 17:27:51</t>
  </si>
  <si>
    <t>2026-08-12 13:11:00</t>
  </si>
  <si>
    <t>19009915</t>
  </si>
  <si>
    <t>19007305</t>
  </si>
  <si>
    <t>19017965</t>
  </si>
  <si>
    <t>2026-08-10 15:32:09</t>
  </si>
  <si>
    <t>2026-08-13 21:17:38</t>
  </si>
  <si>
    <t>2026-08-10 06:17:47</t>
  </si>
  <si>
    <t>19004426</t>
  </si>
  <si>
    <t>2026-08-15 16:26:35</t>
  </si>
  <si>
    <t>2026-08-10 23:53:43</t>
  </si>
  <si>
    <t>2026-08-15 20:13:19</t>
  </si>
  <si>
    <t>2026-08-10 20:31:20</t>
  </si>
  <si>
    <t>2026-08-10 09:28:58</t>
  </si>
  <si>
    <t>2026-08-15 16:27:03</t>
  </si>
  <si>
    <t>2026-08-10 09:36:01</t>
  </si>
  <si>
    <t>19007218</t>
  </si>
  <si>
    <t>19004024</t>
  </si>
  <si>
    <t>2026-08-12 15:18:06</t>
  </si>
  <si>
    <t>19017326</t>
  </si>
  <si>
    <t>2026-08-14 06:57:20</t>
  </si>
  <si>
    <t>19026077</t>
  </si>
  <si>
    <t>2026-08-10 11:27:19</t>
  </si>
  <si>
    <t>2026-08-10 21:13:18</t>
  </si>
  <si>
    <t>19027559</t>
  </si>
  <si>
    <t>19004362</t>
  </si>
  <si>
    <t>19014369</t>
  </si>
  <si>
    <t>2026-08-15 16:22:22</t>
  </si>
  <si>
    <t>19003575</t>
  </si>
  <si>
    <t>2026-08-14 12:40:07</t>
  </si>
  <si>
    <t>2026-08-12 08:56:19</t>
  </si>
  <si>
    <t>2026-08-12 06:57:01</t>
  </si>
  <si>
    <t>2026-08-10 17:32:46</t>
  </si>
  <si>
    <t>19010107</t>
  </si>
  <si>
    <t>19008146</t>
  </si>
  <si>
    <t>2026-08-12 13:40:22</t>
  </si>
  <si>
    <t>2026-08-10 09:23:28</t>
  </si>
  <si>
    <t>19009457</t>
  </si>
  <si>
    <t>2026-08-12 16:02:59</t>
  </si>
  <si>
    <t>2026-08-12 00:43:57</t>
  </si>
  <si>
    <t>2026-08-15 22:17:06</t>
  </si>
  <si>
    <t>2026-08-12 14:46:09</t>
  </si>
  <si>
    <t>19009305</t>
  </si>
  <si>
    <t>19013433</t>
  </si>
  <si>
    <t>2026-08-10 20:46:09</t>
  </si>
  <si>
    <t>2026-08-10 13:52:54</t>
  </si>
  <si>
    <t>2026-08-10 14:00:02</t>
  </si>
  <si>
    <t>19009095</t>
  </si>
  <si>
    <t>19002861</t>
  </si>
  <si>
    <t>2026-08-10 18:06:06</t>
  </si>
  <si>
    <t>2026-08-14 09:36:26</t>
  </si>
  <si>
    <t>2026-08-13 17:36:16</t>
  </si>
  <si>
    <t>2026-08-14 14:49:57</t>
  </si>
  <si>
    <t>19006811</t>
  </si>
  <si>
    <t>2026-08-10 15:29:44</t>
  </si>
  <si>
    <t>19001658</t>
  </si>
  <si>
    <t>19004535</t>
  </si>
  <si>
    <t>19007224</t>
  </si>
  <si>
    <t>2026-08-15 20:21:41</t>
  </si>
  <si>
    <t>19004673</t>
  </si>
  <si>
    <t>2026-08-12 08:31:17</t>
  </si>
  <si>
    <t>2026-08-13 20:19:40</t>
  </si>
  <si>
    <t>2026-08-14 13:45:14</t>
  </si>
  <si>
    <t>2026-08-13 21:35:28</t>
  </si>
  <si>
    <t>19021027</t>
  </si>
  <si>
    <t>19004440</t>
  </si>
  <si>
    <t>19008119</t>
  </si>
  <si>
    <t>2026-08-12 13:36:05</t>
  </si>
  <si>
    <t>2026-08-12 00:45:56</t>
  </si>
  <si>
    <t>2026-08-11 04:11:59</t>
  </si>
  <si>
    <t>2026-08-13 23:37:29</t>
  </si>
  <si>
    <t>2026-08-13 23:28:58</t>
  </si>
  <si>
    <t>2026-08-14 14:17:10</t>
  </si>
  <si>
    <t>19009274</t>
  </si>
  <si>
    <t>19003335</t>
  </si>
  <si>
    <t>19008110</t>
  </si>
  <si>
    <t>19015647</t>
  </si>
  <si>
    <t>2026-08-10 15:24:09</t>
  </si>
  <si>
    <t>19012675</t>
  </si>
  <si>
    <t>2026-08-10 06:29:10</t>
  </si>
  <si>
    <t>2026-08-11 23:23:21</t>
  </si>
  <si>
    <t>19026602</t>
  </si>
  <si>
    <t>19004217</t>
  </si>
  <si>
    <t>19007043</t>
  </si>
  <si>
    <t>2026-08-12 09:51:54</t>
  </si>
  <si>
    <t>2026-08-12 10:29:21</t>
  </si>
  <si>
    <t>19010443</t>
  </si>
  <si>
    <t>2026-08-12 16:18:06</t>
  </si>
  <si>
    <t>19013975</t>
  </si>
  <si>
    <t>2026-08-10 17:26:12</t>
  </si>
  <si>
    <t>2026-08-13 23:13:22</t>
  </si>
  <si>
    <t>19010119</t>
  </si>
  <si>
    <t>19009697</t>
  </si>
  <si>
    <t>2026-08-10 09:15:20</t>
  </si>
  <si>
    <t>2026-08-14 14:14:42</t>
  </si>
  <si>
    <t>2026-08-14 13:51:35</t>
  </si>
  <si>
    <t>2026-08-11 04:11:29</t>
  </si>
  <si>
    <t>2026-08-14 06:49:28</t>
  </si>
  <si>
    <t>2026-08-13 17:29:27</t>
  </si>
  <si>
    <t>2026-08-12 00:37:05</t>
  </si>
  <si>
    <t>19009597</t>
  </si>
  <si>
    <t>2026-08-11 21:47:50</t>
  </si>
  <si>
    <t>2026-08-12 14:46:13</t>
  </si>
  <si>
    <t>19009473</t>
  </si>
  <si>
    <t>2026-08-14 18:34:51</t>
  </si>
  <si>
    <t>19001719</t>
  </si>
  <si>
    <t>2026-08-12 13:56:50</t>
  </si>
  <si>
    <t>2026-08-12 09:54:56</t>
  </si>
  <si>
    <t>2026-08-14 13:49:40</t>
  </si>
  <si>
    <t>19007549</t>
  </si>
  <si>
    <t>19004942</t>
  </si>
  <si>
    <t>19014775</t>
  </si>
  <si>
    <t>19029264</t>
  </si>
  <si>
    <t>2026-08-12 18:28:32</t>
  </si>
  <si>
    <t>2026-08-10 15:50:59</t>
  </si>
  <si>
    <t>2026-08-10 18:10:52</t>
  </si>
  <si>
    <t>19013140</t>
  </si>
  <si>
    <t>19017857</t>
  </si>
  <si>
    <t>2026-08-12 15:26:43</t>
  </si>
  <si>
    <t>2026-08-10 06:27:12</t>
  </si>
  <si>
    <t>19001887</t>
  </si>
  <si>
    <t>19022148</t>
  </si>
  <si>
    <t>2026-08-10 15:32:01</t>
  </si>
  <si>
    <t>2026-08-10 15:45:38</t>
  </si>
  <si>
    <t>2026-08-12 13:27:10</t>
  </si>
  <si>
    <t>2026-08-12 13:36:02</t>
  </si>
  <si>
    <t>2026-08-13 23:33:07</t>
  </si>
  <si>
    <t>2026-08-10 09:42:02</t>
  </si>
  <si>
    <t>2026-08-12 08:59:42</t>
  </si>
  <si>
    <t>2026-08-14 06:45:00</t>
  </si>
  <si>
    <t>19009881</t>
  </si>
  <si>
    <t>2026-08-12 09:17:59</t>
  </si>
  <si>
    <t>2026-08-14 13:56:58</t>
  </si>
  <si>
    <t>2026-08-10 09:12:55</t>
  </si>
  <si>
    <t>19002694</t>
  </si>
  <si>
    <t>19028921</t>
  </si>
  <si>
    <t>2026-08-13 23:28:43</t>
  </si>
  <si>
    <t>19014056</t>
  </si>
  <si>
    <t>19005234</t>
  </si>
  <si>
    <t>2026-08-13 21:51:24</t>
  </si>
  <si>
    <t>2026-08-12 08:52:07</t>
  </si>
  <si>
    <t>2026-08-14 11:03:26</t>
  </si>
  <si>
    <t>2026-08-14 07:12:08</t>
  </si>
  <si>
    <t>2026-08-12 09:48:19</t>
  </si>
  <si>
    <t>2026-08-14 08:24:58</t>
  </si>
  <si>
    <t>2026-08-14 06:52:52</t>
  </si>
  <si>
    <t>19011575</t>
  </si>
  <si>
    <t>2026-08-13 22:18:57</t>
  </si>
  <si>
    <t>2026-08-13 16:46:44</t>
  </si>
  <si>
    <t>19009563</t>
  </si>
  <si>
    <t>19017781</t>
  </si>
  <si>
    <t>2026-08-13 20:13:56</t>
  </si>
  <si>
    <t>2026-08-12 10:18:20</t>
  </si>
  <si>
    <t>19010316</t>
  </si>
  <si>
    <t>2026-08-10 09:18:10</t>
  </si>
  <si>
    <t>19009297</t>
  </si>
  <si>
    <t>19006518</t>
  </si>
  <si>
    <t>19010372</t>
  </si>
  <si>
    <t>2026-08-14 14:23:13</t>
  </si>
  <si>
    <t>2026-08-10 14:00:07</t>
  </si>
  <si>
    <t>2026-08-13 23:24:13</t>
  </si>
  <si>
    <t>2026-08-11 00:37:24</t>
  </si>
  <si>
    <t>19013298</t>
  </si>
  <si>
    <t>2026-08-10 20:34:59</t>
  </si>
  <si>
    <t>2026-08-14 08:39:07</t>
  </si>
  <si>
    <t>2026-08-14 07:46:03</t>
  </si>
  <si>
    <t>2026-08-12 00:41:54</t>
  </si>
  <si>
    <t>2026-08-12 00:44:47</t>
  </si>
  <si>
    <t>19022871</t>
  </si>
  <si>
    <t>19006991</t>
  </si>
  <si>
    <t>19021306</t>
  </si>
  <si>
    <t>2026-08-13 23:33:10</t>
  </si>
  <si>
    <t>2026-08-10 21:06:42</t>
  </si>
  <si>
    <t>2026-08-13 23:14:41</t>
  </si>
  <si>
    <t>2026-08-14 11:00:54</t>
  </si>
  <si>
    <t>2026-08-10 17:27:45</t>
  </si>
  <si>
    <t>2026-08-10 07:22:49</t>
  </si>
  <si>
    <t>19000291</t>
  </si>
  <si>
    <t>19001824</t>
  </si>
  <si>
    <t>2026-08-12 00:51:22</t>
  </si>
  <si>
    <t>19004884</t>
  </si>
  <si>
    <t>2026-08-10 07:20:30</t>
  </si>
  <si>
    <t>19003181</t>
  </si>
  <si>
    <t>19002354</t>
  </si>
  <si>
    <t>19028805</t>
  </si>
  <si>
    <t>19002581</t>
  </si>
  <si>
    <t>19014196</t>
  </si>
  <si>
    <t>2026-08-10 09:21:00</t>
  </si>
  <si>
    <t>19015725</t>
  </si>
  <si>
    <t>2026-08-13 20:31:09</t>
  </si>
  <si>
    <t>2026-08-12 15:26:39</t>
  </si>
  <si>
    <t>2026-08-12 07:47:16</t>
  </si>
  <si>
    <t>19003487</t>
  </si>
  <si>
    <t>2026-08-11 21:37:37</t>
  </si>
  <si>
    <t>2026-08-12 07:01:54</t>
  </si>
  <si>
    <t>19012691</t>
  </si>
  <si>
    <t>19002637</t>
  </si>
  <si>
    <t>19016962</t>
  </si>
  <si>
    <t>19001149</t>
  </si>
  <si>
    <t>2026-08-12 00:49:50</t>
  </si>
  <si>
    <t>19004329</t>
  </si>
  <si>
    <t>2026-08-14 16:34:28</t>
  </si>
  <si>
    <t>19014666</t>
  </si>
  <si>
    <t>2026-08-10 15:54:30</t>
  </si>
  <si>
    <t>2026-08-13 23:22:47</t>
  </si>
  <si>
    <t>8801117641603</t>
  </si>
  <si>
    <t>2026-08-12 13:49:45</t>
  </si>
  <si>
    <t>19003497</t>
  </si>
  <si>
    <t>2026-08-12 00:58:11</t>
  </si>
  <si>
    <t>20280430150000</t>
  </si>
  <si>
    <t>2026-08-14 13:37:03</t>
  </si>
  <si>
    <t>2026-08-13 16:51:54</t>
  </si>
  <si>
    <t>2026-08-10 06:06:33</t>
  </si>
  <si>
    <t>2026-08-12 15:40:09</t>
  </si>
  <si>
    <t>2026-08-10 08:22:58</t>
  </si>
  <si>
    <t>2026-08-13 17:24:22</t>
  </si>
  <si>
    <t>19002213</t>
  </si>
  <si>
    <t>2026-08-14 07:05:20</t>
  </si>
  <si>
    <t>2026-08-12 13:54:12</t>
  </si>
  <si>
    <t>19000609</t>
  </si>
  <si>
    <t>19021216</t>
  </si>
  <si>
    <t>2026-08-15 16:32:07</t>
  </si>
  <si>
    <t>2026-08-13 23:25:55</t>
  </si>
  <si>
    <t>19009570</t>
  </si>
  <si>
    <t>19016444</t>
  </si>
  <si>
    <t>2026-08-10 20:19:34</t>
  </si>
  <si>
    <t>19009602</t>
  </si>
  <si>
    <t>2026-08-12 15:23:27</t>
  </si>
  <si>
    <t>2026-08-10 17:25:49</t>
  </si>
  <si>
    <t>2026-08-10 16:28:23</t>
  </si>
  <si>
    <t>2026-08-14 07:54:41</t>
  </si>
  <si>
    <t>19010320</t>
  </si>
  <si>
    <t>19013312</t>
  </si>
  <si>
    <t>19012460</t>
  </si>
  <si>
    <t>2026-08-14 16:32:56</t>
  </si>
  <si>
    <t>2026-08-10 10:48:28</t>
  </si>
  <si>
    <t>2026-08-12 08:20:00</t>
  </si>
  <si>
    <t>19028014</t>
  </si>
  <si>
    <t>19017667</t>
  </si>
  <si>
    <t>19000365</t>
  </si>
  <si>
    <t>20270707150000</t>
  </si>
  <si>
    <t>19008155</t>
  </si>
  <si>
    <t>2026-08-10 13:49:02</t>
  </si>
  <si>
    <t>19001696</t>
  </si>
  <si>
    <t>2026-08-14 16:26:22</t>
  </si>
  <si>
    <t>2026-08-10 16:52:56</t>
  </si>
  <si>
    <t>2026-08-10 09:33:23</t>
  </si>
  <si>
    <t>2026-08-13 16:38:17</t>
  </si>
  <si>
    <t>19006125</t>
  </si>
  <si>
    <t>2026-08-12 07:55:32</t>
  </si>
  <si>
    <t>2026-08-12 13:39:18</t>
  </si>
  <si>
    <t>2026-08-10 20:50:33</t>
  </si>
  <si>
    <t>19005055</t>
  </si>
  <si>
    <t>19004479</t>
  </si>
  <si>
    <t>2026-08-14 07:10:02</t>
  </si>
  <si>
    <t>19023219</t>
  </si>
  <si>
    <t>2026-08-11 00:48:22</t>
  </si>
  <si>
    <t>2026-08-12 08:41:01</t>
  </si>
  <si>
    <t>2026-08-12 00:40:35</t>
  </si>
  <si>
    <t>2026-08-10 21:00:57</t>
  </si>
  <si>
    <t>19015786</t>
  </si>
  <si>
    <t>2026-08-14 14:06:14</t>
  </si>
  <si>
    <t>19006334</t>
  </si>
  <si>
    <t>19022583</t>
  </si>
  <si>
    <t>19000202</t>
  </si>
  <si>
    <t>19009785</t>
  </si>
  <si>
    <t>2026-08-15 16:42:00</t>
  </si>
  <si>
    <t>19010736</t>
  </si>
  <si>
    <t>19008019</t>
  </si>
  <si>
    <t>2026-08-15 16:36:25</t>
  </si>
  <si>
    <t>2026-08-14 08:32:46</t>
  </si>
  <si>
    <t>19010036</t>
  </si>
  <si>
    <t>19024711</t>
  </si>
  <si>
    <t>2026-08-13 20:13:53</t>
  </si>
  <si>
    <t>2026-08-10 14:02:15</t>
  </si>
  <si>
    <t>오리온)아이셔츄잉청사과</t>
  </si>
  <si>
    <t>2026-08-10 08:47:47</t>
  </si>
  <si>
    <t>19001716</t>
  </si>
  <si>
    <t>2026-08-13 23:09:24</t>
  </si>
  <si>
    <t>2026-08-12 09:51:51</t>
  </si>
  <si>
    <t>19011377</t>
  </si>
  <si>
    <t>19013013</t>
  </si>
  <si>
    <t>19004358</t>
  </si>
  <si>
    <t>2026-08-14 09:06:32</t>
  </si>
  <si>
    <t>19006749</t>
  </si>
  <si>
    <t>2026-08-14 11:06:20</t>
  </si>
  <si>
    <t>2026-08-12 15:33:53</t>
  </si>
  <si>
    <t>2026-08-12 18:40:01</t>
  </si>
  <si>
    <t>2026-08-10 20:37:11</t>
  </si>
  <si>
    <t>2026-08-10 06:04:56</t>
  </si>
  <si>
    <t>2026-08-12 15:56:37</t>
  </si>
  <si>
    <t>19001714</t>
  </si>
  <si>
    <t>19004837</t>
  </si>
  <si>
    <t>19011277</t>
  </si>
  <si>
    <t>19026843</t>
  </si>
  <si>
    <t>2026-08-12 07:09:47</t>
  </si>
  <si>
    <t>19002675</t>
  </si>
  <si>
    <t>19019150</t>
  </si>
  <si>
    <t>2026-08-10 09:45:18</t>
  </si>
  <si>
    <t>2026-08-12 06:44:48</t>
  </si>
  <si>
    <t>2026-08-13 23:41:55</t>
  </si>
  <si>
    <t>2026-08-12 06:39:14</t>
  </si>
  <si>
    <t>19004197</t>
  </si>
  <si>
    <t>2026-08-13 21:46:07</t>
  </si>
  <si>
    <t>2026-08-10 23:25:29</t>
  </si>
  <si>
    <t>19004273</t>
  </si>
  <si>
    <t>19002651</t>
  </si>
  <si>
    <t>19024308</t>
  </si>
  <si>
    <t>19018906</t>
  </si>
  <si>
    <t>2026-08-14 16:40:07</t>
  </si>
  <si>
    <t>19001140</t>
  </si>
  <si>
    <t>2026-08-14 16:24:54</t>
  </si>
  <si>
    <t>19008933</t>
  </si>
  <si>
    <t>19014508</t>
  </si>
  <si>
    <t>19001390</t>
  </si>
  <si>
    <t>19027688</t>
  </si>
  <si>
    <t>2026-08-14 08:27:11</t>
  </si>
  <si>
    <t>19010192</t>
  </si>
  <si>
    <t>2026-08-12 15:52:40</t>
  </si>
  <si>
    <t>2026-08-13 21:54:40</t>
  </si>
  <si>
    <t>19002901</t>
  </si>
  <si>
    <t>2026-08-14 10:27:35</t>
  </si>
  <si>
    <t>19022213</t>
  </si>
  <si>
    <t>2026-08-10 18:08:35</t>
  </si>
  <si>
    <t>19005418</t>
  </si>
  <si>
    <t>19026905</t>
  </si>
  <si>
    <t>19002016</t>
  </si>
  <si>
    <t>2026-08-14 10:34:36</t>
  </si>
  <si>
    <t>2026-08-14 13:50:42</t>
  </si>
  <si>
    <t>2026-08-10 10:49:48</t>
  </si>
  <si>
    <t>2026-08-10 09:30:07</t>
  </si>
  <si>
    <t>19005912</t>
  </si>
  <si>
    <t>19014101</t>
  </si>
  <si>
    <t>19000444</t>
  </si>
  <si>
    <t>19016973</t>
  </si>
  <si>
    <t>2026-08-13 23:12:02</t>
  </si>
  <si>
    <t>2026-08-10 11:29:55</t>
  </si>
  <si>
    <t>2026-08-13 16:48:27</t>
  </si>
  <si>
    <t>19027672</t>
  </si>
  <si>
    <t>2026-08-15 21:06:02</t>
  </si>
  <si>
    <t>2026-08-13 20:23:33</t>
  </si>
  <si>
    <t>2026-08-13 20:29:14</t>
  </si>
  <si>
    <t>2026-08-10 06:15:03</t>
  </si>
  <si>
    <t>2026-08-10 16:54:57</t>
  </si>
  <si>
    <t>2026-08-10 16:51:51</t>
  </si>
  <si>
    <t>2026-08-12 13:42:19</t>
  </si>
  <si>
    <t>19013301</t>
  </si>
  <si>
    <t>2026-08-14 13:59:35</t>
  </si>
  <si>
    <t>19024030</t>
  </si>
  <si>
    <t>19001951</t>
  </si>
  <si>
    <t>19012966</t>
  </si>
  <si>
    <t>19005878</t>
  </si>
  <si>
    <t>19013981</t>
  </si>
  <si>
    <t>19025376</t>
  </si>
  <si>
    <t>2026-08-12 13:15:35</t>
  </si>
  <si>
    <t>2026-08-14 13:40:51</t>
  </si>
  <si>
    <t>2026-08-10 09:16:41</t>
  </si>
  <si>
    <t>2026-08-10 20:19:40</t>
  </si>
  <si>
    <t>2026-08-10 15:38:40</t>
  </si>
  <si>
    <t>19001460</t>
  </si>
  <si>
    <t>19002377</t>
  </si>
  <si>
    <t>2026-08-14 14:24:45</t>
  </si>
  <si>
    <t>2026-08-12 18:46:13</t>
  </si>
  <si>
    <t>2026-08-10 09:29:05</t>
  </si>
  <si>
    <t>2026-08-12 13:59:38</t>
  </si>
  <si>
    <t>2026-08-12 18:44:02</t>
  </si>
  <si>
    <t>2026-08-10 13:31:35</t>
  </si>
  <si>
    <t>2026-08-14 13:53:03</t>
  </si>
  <si>
    <t>19015526</t>
  </si>
  <si>
    <t>보관박스번호</t>
  </si>
  <si>
    <t>2026-08-15 20:12:33</t>
  </si>
  <si>
    <t>2026-08-15 21:14:17</t>
  </si>
  <si>
    <t>2026-08-13 20:31:04</t>
  </si>
  <si>
    <t>2026-08-10 09:54:45</t>
  </si>
  <si>
    <t>19003701</t>
  </si>
  <si>
    <t>2026-08-14 11:07:36</t>
  </si>
  <si>
    <t>19022221</t>
  </si>
  <si>
    <t>2026-08-10 09:12:42</t>
  </si>
  <si>
    <t>2026-08-14 09:55:10</t>
  </si>
  <si>
    <t>19008692</t>
  </si>
  <si>
    <t>19014977</t>
  </si>
  <si>
    <t>19024109</t>
  </si>
  <si>
    <t>2026-08-10 15:52:11</t>
  </si>
  <si>
    <t>2026-08-14 08:35:59</t>
  </si>
  <si>
    <t>2026-08-14 13:47:54</t>
  </si>
  <si>
    <t>2026-08-13 16:32:54</t>
  </si>
  <si>
    <t>2026-08-13 23:21:23</t>
  </si>
  <si>
    <t>19016133</t>
  </si>
  <si>
    <t>19011172</t>
  </si>
  <si>
    <t>2026-08-13 22:19:37</t>
  </si>
  <si>
    <t>2026-08-10 07:09:28</t>
  </si>
  <si>
    <t>2026-08-13 20:31:12</t>
  </si>
  <si>
    <t>2026-08-12 09:10:30</t>
  </si>
  <si>
    <t>2026-08-10 20:39:20</t>
  </si>
  <si>
    <t>19015396</t>
  </si>
  <si>
    <t>19010399</t>
  </si>
  <si>
    <t>19017069</t>
  </si>
  <si>
    <t>19009337</t>
  </si>
  <si>
    <t>2026-08-12 06:58:55</t>
  </si>
  <si>
    <t>2026-08-12 06:40:52</t>
  </si>
  <si>
    <t>2026-08-10 20:51:46</t>
  </si>
  <si>
    <t>2026-08-14 10:56:08</t>
  </si>
  <si>
    <t>19001025</t>
  </si>
  <si>
    <t>19000158</t>
  </si>
  <si>
    <t>19021345</t>
  </si>
  <si>
    <t>19013882</t>
  </si>
  <si>
    <t>20270509150000</t>
  </si>
  <si>
    <t>19021659</t>
  </si>
  <si>
    <t>19009868</t>
  </si>
  <si>
    <t>2026-08-14 14:02:52</t>
  </si>
  <si>
    <t>20270330150000</t>
  </si>
  <si>
    <t>19010288</t>
  </si>
  <si>
    <t>19016407</t>
  </si>
  <si>
    <t>2026-08-12 00:45:53</t>
  </si>
  <si>
    <t>19002215</t>
  </si>
  <si>
    <t>19018857</t>
  </si>
  <si>
    <t>19001220</t>
  </si>
  <si>
    <t>2026-08-12 06:57:19</t>
  </si>
  <si>
    <t>19019573</t>
  </si>
  <si>
    <t>2026-08-14 13:46:09</t>
  </si>
  <si>
    <t>19005298</t>
  </si>
  <si>
    <t>19003285</t>
  </si>
  <si>
    <t>19000155</t>
  </si>
  <si>
    <t>2026-08-14 08:32:40</t>
  </si>
  <si>
    <t>19000621</t>
  </si>
  <si>
    <t>2026-08-14 08:43:44</t>
  </si>
  <si>
    <t>2026-08-10 13:58:11</t>
  </si>
  <si>
    <t>19012172</t>
  </si>
  <si>
    <t>2026-08-12 13:45:11</t>
  </si>
  <si>
    <t>8801043067317</t>
  </si>
  <si>
    <t>19002449</t>
  </si>
  <si>
    <t>19018355</t>
  </si>
  <si>
    <t>2026-08-15 16:30:22</t>
  </si>
  <si>
    <t>19020064</t>
  </si>
  <si>
    <t>19008006</t>
  </si>
  <si>
    <t>2026-08-14 10:26:17</t>
  </si>
  <si>
    <t>19007325</t>
  </si>
  <si>
    <t>19005246</t>
  </si>
  <si>
    <t>2026-08-12 15:23:16</t>
  </si>
  <si>
    <t>2026-08-14 06:54:51</t>
  </si>
  <si>
    <t>2026-08-12 07:14:18</t>
  </si>
  <si>
    <t>2026-08-12 15:40:12</t>
  </si>
  <si>
    <t>19006007</t>
  </si>
  <si>
    <t>19003500</t>
  </si>
  <si>
    <t>19007546</t>
  </si>
  <si>
    <t>2026-08-13 20:15:49</t>
  </si>
  <si>
    <t>2026-08-10 20:54:53</t>
  </si>
  <si>
    <t>19007135</t>
  </si>
  <si>
    <t>2026-08-14 14:31:05</t>
  </si>
  <si>
    <t>2026-08-10 17:48:56</t>
  </si>
  <si>
    <t>2026-08-14 10:19:07</t>
  </si>
  <si>
    <t>2026-08-10 20:51:56</t>
  </si>
  <si>
    <t>2026-08-13 17:32:39</t>
  </si>
  <si>
    <t>19002232</t>
  </si>
  <si>
    <t>19008372</t>
  </si>
  <si>
    <t>19017043</t>
  </si>
  <si>
    <t>2026-08-13 23:40:45</t>
  </si>
  <si>
    <t>19008883</t>
  </si>
  <si>
    <t>19002999</t>
  </si>
  <si>
    <t>2026-08-14 10:54:06</t>
  </si>
  <si>
    <t>정화)구운쥐치포8마리75g</t>
  </si>
  <si>
    <t>2026-08-13 23:06:56</t>
  </si>
  <si>
    <t>19016170</t>
  </si>
  <si>
    <t>2026-08-14 10:58:53</t>
  </si>
  <si>
    <t>19022087</t>
  </si>
  <si>
    <t>19011973</t>
  </si>
  <si>
    <t>2026-08-12 08:31:20</t>
  </si>
  <si>
    <t>19017664</t>
  </si>
  <si>
    <t>2026-08-10 07:13:58</t>
  </si>
  <si>
    <t>19011197</t>
  </si>
  <si>
    <t>2026-08-13 21:38:26</t>
  </si>
  <si>
    <t>19017035</t>
  </si>
  <si>
    <t>19011424</t>
  </si>
  <si>
    <t>19014556</t>
  </si>
  <si>
    <t>2026-08-12 00:37:09</t>
  </si>
  <si>
    <t>2026-08-15 20:18:38</t>
  </si>
  <si>
    <t>19002772</t>
  </si>
  <si>
    <t>19005278</t>
  </si>
  <si>
    <t>2026-08-12 08:42:47</t>
  </si>
  <si>
    <t>2026-08-14 09:54:00</t>
  </si>
  <si>
    <t>19015941</t>
  </si>
  <si>
    <t>2026-08-15 16:50:29</t>
  </si>
  <si>
    <t>2026-08-10 09:00:48</t>
  </si>
  <si>
    <t>19007609</t>
  </si>
  <si>
    <t>2026-08-15 16:30:17</t>
  </si>
  <si>
    <t>2026-08-14 10:37:07</t>
  </si>
  <si>
    <t>오리온)닥터유단백질바</t>
  </si>
  <si>
    <t>19021395</t>
  </si>
  <si>
    <t>2026-08-10 15:41:43</t>
  </si>
  <si>
    <t>2026-08-12 15:41:13</t>
  </si>
  <si>
    <t>2026-08-12 07:52:28</t>
  </si>
  <si>
    <t>2026-08-10 20:34:55</t>
  </si>
  <si>
    <t>2026-08-15 16:28:57</t>
  </si>
  <si>
    <t>19002598</t>
  </si>
  <si>
    <t>2026-08-15 16:10:05</t>
  </si>
  <si>
    <t>19005712</t>
  </si>
  <si>
    <t>2026-08-15 21:07:17</t>
  </si>
  <si>
    <t>2026-08-10 08:56:54</t>
  </si>
  <si>
    <t>19003805</t>
  </si>
  <si>
    <t>2026-08-14 11:12:50</t>
  </si>
  <si>
    <t>19023781</t>
  </si>
  <si>
    <t>19006130</t>
  </si>
  <si>
    <t>2026-08-12 10:19:40</t>
  </si>
  <si>
    <t>2026-08-14 07:09:50</t>
  </si>
  <si>
    <t>19005988</t>
  </si>
  <si>
    <t>19008673</t>
  </si>
  <si>
    <t>19005107</t>
  </si>
  <si>
    <t>19011259</t>
  </si>
  <si>
    <t>19008573</t>
  </si>
  <si>
    <t>19010649</t>
  </si>
  <si>
    <t>2026-08-10 20:58:52</t>
  </si>
  <si>
    <t>2026-08-12 13:12:24</t>
  </si>
  <si>
    <t>2026-08-10 18:08:27</t>
  </si>
  <si>
    <t>19001442</t>
  </si>
  <si>
    <t>19008570</t>
  </si>
  <si>
    <t>19018663</t>
  </si>
  <si>
    <t>2026-08-15 16:14:09</t>
  </si>
  <si>
    <t>19005980</t>
  </si>
  <si>
    <t>2026-08-10 09:21:53</t>
  </si>
  <si>
    <t>19015611</t>
  </si>
  <si>
    <t>19001236</t>
  </si>
  <si>
    <t>2026-08-10 13:47:00</t>
  </si>
  <si>
    <t>19007229</t>
  </si>
  <si>
    <t>19012848</t>
  </si>
  <si>
    <t>2026-08-10 13:50:07</t>
  </si>
  <si>
    <t>8801043047081</t>
  </si>
  <si>
    <t>19013644</t>
  </si>
  <si>
    <t>2026-08-12 13:17:06</t>
  </si>
  <si>
    <t>19006541</t>
  </si>
  <si>
    <t>2026-08-14 16:21:52</t>
  </si>
  <si>
    <t>2026-08-14 08:21:31</t>
  </si>
  <si>
    <t>2026-08-12 13:38:09</t>
  </si>
  <si>
    <t>2026-08-10 08:34:53</t>
  </si>
  <si>
    <t>2026-08-13 23:24:18</t>
  </si>
  <si>
    <t>2026-08-15 21:10:37</t>
  </si>
  <si>
    <t>19024496</t>
  </si>
  <si>
    <t>2026-08-15 21:14:00</t>
  </si>
  <si>
    <t>2026-08-10 17:39:21</t>
  </si>
  <si>
    <t>2026-08-10 21:03:29</t>
  </si>
  <si>
    <t>2026-08-10 18:14:09</t>
  </si>
  <si>
    <t>2026-08-13 16:39:41</t>
  </si>
  <si>
    <t>19000803</t>
  </si>
  <si>
    <t>19012001</t>
  </si>
  <si>
    <t>19019068</t>
  </si>
  <si>
    <t>2026-08-10 11:27:27</t>
  </si>
  <si>
    <t>19011411</t>
  </si>
  <si>
    <t>19018532</t>
  </si>
  <si>
    <t>2026-08-12 09:53:14</t>
  </si>
  <si>
    <t>2026-08-10 09:15:15</t>
  </si>
  <si>
    <t>2026-08-14 16:38:17</t>
  </si>
  <si>
    <t>2026-08-10 08:41:50</t>
  </si>
  <si>
    <t>19015207</t>
  </si>
  <si>
    <t>1012</t>
  </si>
  <si>
    <t>19015490</t>
  </si>
  <si>
    <t>2026-08-10 20:52:30</t>
  </si>
  <si>
    <t>2026-08-13 23:35:48</t>
  </si>
  <si>
    <t>19011142</t>
  </si>
  <si>
    <t>2026-08-12 00:42:57</t>
  </si>
  <si>
    <t>19021499</t>
  </si>
  <si>
    <t>2026-08-13 21:48:29</t>
  </si>
  <si>
    <t>2026-08-15 20:10:30</t>
  </si>
  <si>
    <t>19005909</t>
  </si>
  <si>
    <t>2026-08-15 16:27:45</t>
  </si>
  <si>
    <t>19022035</t>
  </si>
  <si>
    <t>19019225</t>
  </si>
  <si>
    <t>2026-08-14 15:02:36</t>
  </si>
  <si>
    <t>2026-08-14 14:10:37</t>
  </si>
  <si>
    <t>2026-08-14 15:27:10</t>
  </si>
  <si>
    <t>2026-08-11 00:46:59</t>
  </si>
  <si>
    <t>19012682</t>
  </si>
  <si>
    <t>동아)박카스사워젤리</t>
  </si>
  <si>
    <t>19025165</t>
  </si>
  <si>
    <t>2026-08-12 07:20:59</t>
  </si>
  <si>
    <t>2026-08-10 16:47:39</t>
  </si>
  <si>
    <t>2026-08-14 14:20:57</t>
  </si>
  <si>
    <t>2026-08-10 10:43:42</t>
  </si>
  <si>
    <t>2026-08-11 22:50:21</t>
  </si>
  <si>
    <t>19009169</t>
  </si>
  <si>
    <t>2026-08-10 15:53:20</t>
  </si>
  <si>
    <t>19007311</t>
  </si>
  <si>
    <t>2026-08-12 18:40:15</t>
  </si>
  <si>
    <t>19024379</t>
  </si>
  <si>
    <t>20270131000000</t>
  </si>
  <si>
    <t>19025168</t>
  </si>
  <si>
    <t>19028311</t>
  </si>
  <si>
    <t>19007199</t>
  </si>
  <si>
    <t>2026-08-10 07:09:06</t>
  </si>
  <si>
    <t>19023446</t>
  </si>
  <si>
    <t>19012676</t>
  </si>
  <si>
    <t>2026-08-15 21:15:52</t>
  </si>
  <si>
    <t>19011264</t>
  </si>
  <si>
    <t>2026-08-10 10:34:01</t>
  </si>
  <si>
    <t>2026-08-13 21:26:25</t>
  </si>
  <si>
    <t>2026-08-10 08:45:29</t>
  </si>
  <si>
    <t>2026-08-12 08:52:10</t>
  </si>
  <si>
    <t>19000785</t>
  </si>
  <si>
    <t>19004973</t>
  </si>
  <si>
    <t>2026-08-10 08:41:58</t>
  </si>
  <si>
    <t>19904453</t>
  </si>
  <si>
    <t>19005280</t>
  </si>
  <si>
    <t>2026-08-14 09:51:55</t>
  </si>
  <si>
    <t>2026-08-15 21:02:18</t>
  </si>
  <si>
    <t>19001509</t>
  </si>
  <si>
    <t>19007289</t>
  </si>
  <si>
    <t>2026-08-10 07:05:08</t>
  </si>
  <si>
    <t>19000108</t>
  </si>
  <si>
    <t>2026-08-12 09:43:28</t>
  </si>
  <si>
    <t>19022218</t>
  </si>
  <si>
    <t>19000045</t>
  </si>
  <si>
    <t>19018150</t>
  </si>
  <si>
    <t>19014969</t>
  </si>
  <si>
    <t>19007116</t>
  </si>
  <si>
    <t>20270528150000</t>
  </si>
  <si>
    <t>19018108</t>
  </si>
  <si>
    <t>19002421</t>
  </si>
  <si>
    <t>19010163</t>
  </si>
  <si>
    <t>2026-08-14 09:36:30</t>
  </si>
  <si>
    <t>19004418</t>
  </si>
  <si>
    <t>19021717</t>
  </si>
  <si>
    <t>19004721</t>
  </si>
  <si>
    <t>19006451</t>
  </si>
  <si>
    <t>19005689</t>
  </si>
  <si>
    <t>2026-08-10 15:33:07</t>
  </si>
  <si>
    <t>2026-08-10 16:33:36</t>
  </si>
  <si>
    <t>2026-08-14 14:08:00</t>
  </si>
  <si>
    <t>2026-08-10 20:53:28</t>
  </si>
  <si>
    <t>19017532</t>
  </si>
  <si>
    <t>2026-08-10 06:16:45</t>
  </si>
  <si>
    <t>19012271</t>
  </si>
  <si>
    <t>2026-08-13 16:53:12</t>
  </si>
  <si>
    <t>2026-08-12 13:28:52</t>
  </si>
  <si>
    <t>2026-08-12 15:21:30</t>
  </si>
  <si>
    <t>2026-08-12 06:46:59</t>
  </si>
  <si>
    <t>2026-08-11 21:49:01</t>
  </si>
  <si>
    <t>20270709000000</t>
  </si>
  <si>
    <t>19000634</t>
  </si>
  <si>
    <t>2026-08-13 16:45:14</t>
  </si>
  <si>
    <t>19002516</t>
  </si>
  <si>
    <t>2026-08-10 13:26:28</t>
  </si>
  <si>
    <t>19007214</t>
  </si>
  <si>
    <t>2026-08-10 09:33:37</t>
  </si>
  <si>
    <t>19009523</t>
  </si>
  <si>
    <t>2026-08-10 06:27:54</t>
  </si>
  <si>
    <t>19027243</t>
  </si>
  <si>
    <t>2026-08-10 06:33:48</t>
  </si>
  <si>
    <t>2026-08-14 09:11:21</t>
  </si>
  <si>
    <t>19015367</t>
  </si>
  <si>
    <t>19010766</t>
  </si>
  <si>
    <t>19016612</t>
  </si>
  <si>
    <t>19005769</t>
  </si>
  <si>
    <t>2026-08-14 10:29:31</t>
  </si>
  <si>
    <t>2026-08-14 16:32:49</t>
  </si>
  <si>
    <t>19029851</t>
  </si>
  <si>
    <t>1006</t>
  </si>
  <si>
    <t>2026-08-10 10:29:09</t>
  </si>
  <si>
    <t>2026-08-12 13:31:08</t>
  </si>
  <si>
    <t>19001383</t>
  </si>
  <si>
    <t>2026-08-10 17:34:06</t>
  </si>
  <si>
    <t>19016149</t>
  </si>
  <si>
    <t>20270118150000</t>
  </si>
  <si>
    <t>2026-08-14 18:31:24</t>
  </si>
  <si>
    <t>19022837</t>
  </si>
  <si>
    <t>2026-08-11 23:38:07</t>
  </si>
  <si>
    <t>19000968</t>
  </si>
  <si>
    <t>2026-08-13 16:39:45</t>
  </si>
  <si>
    <t>2026-08-14 10:16:49</t>
  </si>
  <si>
    <t>2026-08-12 06:57:16</t>
  </si>
  <si>
    <t>19001599</t>
  </si>
  <si>
    <t>2026-08-14 14:05:23</t>
  </si>
  <si>
    <t>2026-08-15 16:53:16</t>
  </si>
  <si>
    <t>2026-08-12 13:39:03</t>
  </si>
  <si>
    <t>19002299</t>
  </si>
  <si>
    <t>19015769</t>
  </si>
  <si>
    <t>19018145</t>
  </si>
  <si>
    <t>2026-08-14 14:50:03</t>
  </si>
  <si>
    <t>2026-08-13 23:31:50</t>
  </si>
  <si>
    <t>19002801</t>
  </si>
  <si>
    <t>19017319</t>
  </si>
  <si>
    <t>2026-08-10 10:29:18</t>
  </si>
  <si>
    <t>19001737</t>
  </si>
  <si>
    <t>2026-08-10 07:24:49</t>
  </si>
  <si>
    <t>ST</t>
    <phoneticPr fontId="3" type="noConversion"/>
  </si>
  <si>
    <t>월수금</t>
  </si>
  <si>
    <t>시간</t>
    <phoneticPr fontId="3" type="noConversion"/>
  </si>
  <si>
    <t>월</t>
  </si>
  <si>
    <t>발주패턴</t>
    <phoneticPr fontId="3" type="noConversion"/>
  </si>
  <si>
    <t>요일</t>
    <phoneticPr fontId="3" type="noConversion"/>
  </si>
  <si>
    <t>토</t>
  </si>
  <si>
    <t>금</t>
  </si>
  <si>
    <t>목</t>
  </si>
  <si>
    <t>수</t>
  </si>
  <si>
    <t>화</t>
  </si>
  <si>
    <t>작업일자</t>
    <phoneticPr fontId="3" type="noConversion"/>
  </si>
  <si>
    <t>요일</t>
    <phoneticPr fontId="3" type="noConversion"/>
  </si>
  <si>
    <t>데칸팅 박스 수량</t>
    <phoneticPr fontId="3" type="noConversion"/>
  </si>
  <si>
    <t>주간인원</t>
    <phoneticPr fontId="3" type="noConversion"/>
  </si>
  <si>
    <t>야간인원</t>
    <phoneticPr fontId="3" type="noConversion"/>
  </si>
  <si>
    <t>데칸팅 UPMH</t>
    <phoneticPr fontId="3" type="noConversion"/>
  </si>
  <si>
    <t>총인원</t>
    <phoneticPr fontId="3" type="noConversion"/>
  </si>
  <si>
    <t>작업시간</t>
    <phoneticPr fontId="3" type="noConversion"/>
  </si>
  <si>
    <t>스테이션 수</t>
    <phoneticPr fontId="3" type="noConversion"/>
  </si>
  <si>
    <t>작업일자</t>
    <phoneticPr fontId="3" type="noConversion"/>
  </si>
  <si>
    <t>요일</t>
    <phoneticPr fontId="3" type="noConversion"/>
  </si>
  <si>
    <t>인원환산</t>
    <phoneticPr fontId="3" type="noConversion"/>
  </si>
  <si>
    <t>스테이션당</t>
    <phoneticPr fontId="3" type="noConversion"/>
  </si>
  <si>
    <t>01</t>
  </si>
  <si>
    <t>02</t>
  </si>
  <si>
    <t>03</t>
  </si>
  <si>
    <t>04</t>
  </si>
  <si>
    <t>05</t>
  </si>
  <si>
    <t>06</t>
  </si>
  <si>
    <t>07</t>
  </si>
  <si>
    <t>08</t>
  </si>
  <si>
    <t>10</t>
  </si>
  <si>
    <t>11</t>
  </si>
  <si>
    <t>12</t>
  </si>
  <si>
    <t>13</t>
  </si>
  <si>
    <t>14</t>
  </si>
  <si>
    <t>15</t>
  </si>
  <si>
    <t>총합계</t>
  </si>
  <si>
    <t>합계 : 재고수량</t>
  </si>
  <si>
    <t>ST</t>
  </si>
  <si>
    <t>요일</t>
  </si>
  <si>
    <t>값</t>
  </si>
  <si>
    <t>개수 : 시간</t>
  </si>
  <si>
    <t>총인원</t>
  </si>
  <si>
    <t>주간인원</t>
  </si>
  <si>
    <t>야간인원</t>
  </si>
  <si>
    <t>작업시간</t>
  </si>
  <si>
    <t>데칸팅 UPMH</t>
  </si>
  <si>
    <t>스테이션 수</t>
  </si>
  <si>
    <t>2026-08-10 ~ 2026-08-15 데칸팅 작업 (샘플 19 SKU)</t>
    <phoneticPr fontId="3" type="noConversion"/>
  </si>
  <si>
    <t>전체 데칸팅 박스 수량</t>
  </si>
  <si>
    <t>샘플 데칸팅 박스 수량 
(19SKU)</t>
    <phoneticPr fontId="3" type="noConversion"/>
  </si>
  <si>
    <t>작업인원</t>
    <phoneticPr fontId="3" type="noConversion"/>
  </si>
  <si>
    <t>해당 요일 센터 작업자 1명이 1시간 동안 처리한 평균 박스 수</t>
  </si>
  <si>
    <t>상품코드</t>
    <phoneticPr fontId="3" type="noConversion"/>
  </si>
  <si>
    <t>상품명</t>
    <phoneticPr fontId="3" type="noConversion"/>
  </si>
  <si>
    <t>해당 물량을 작업자 1명이 전담해서 처리할 때 걸리는 총 작업시간(시간)</t>
  </si>
  <si>
    <t>UPMH (요일별)</t>
    <phoneticPr fontId="3" type="noConversion"/>
  </si>
  <si>
    <t>지표명</t>
    <phoneticPr fontId="3" type="noConversion"/>
  </si>
  <si>
    <t>계산식</t>
    <phoneticPr fontId="3" type="noConversion"/>
  </si>
  <si>
    <t>의미</t>
    <phoneticPr fontId="3" type="noConversion"/>
  </si>
  <si>
    <t>샘플 작업 필요 MH</t>
    <phoneticPr fontId="3" type="noConversion"/>
  </si>
  <si>
    <t>상품별 MH</t>
    <phoneticPr fontId="3" type="noConversion"/>
  </si>
  <si>
    <t>=상품별 MH(G열) * 60</t>
    <phoneticPr fontId="3" type="noConversion"/>
  </si>
  <si>
    <t>상품별 MH를 분으로 환산한 값</t>
    <phoneticPr fontId="3" type="noConversion"/>
  </si>
  <si>
    <t>1인당 작업 시간(분)</t>
    <phoneticPr fontId="3" type="noConversion"/>
  </si>
  <si>
    <t>작업 시간(분)</t>
    <phoneticPr fontId="3" type="noConversion"/>
  </si>
  <si>
    <t>=전체 데칸팅 박스 / 전체 작업인원 * 전체 작업시간</t>
    <phoneticPr fontId="9" type="noConversion"/>
  </si>
  <si>
    <t>상품별 MH
(Man-Hour)</t>
    <phoneticPr fontId="3" type="noConversion"/>
  </si>
  <si>
    <t>전체 데칸팅 
박스 수</t>
    <phoneticPr fontId="3" type="noConversion"/>
  </si>
  <si>
    <t>샘플 데칸팅 
박스 수</t>
    <phoneticPr fontId="3" type="noConversion"/>
  </si>
  <si>
    <t>=샘플 데칸팅 박스 수(E열) / UPMH(요일별) (F열)</t>
    <phoneticPr fontId="3" type="noConversion"/>
  </si>
  <si>
    <t>※ 데칸팅 작업의 난이도는 동일하며 각 상품별로 동시에 이뤄진다고 가정</t>
    <phoneticPr fontId="3" type="noConversion"/>
  </si>
  <si>
    <t>1인당 
작업 시간(분)</t>
    <phoneticPr fontId="3" type="noConversion"/>
  </si>
  <si>
    <t>=작업시간(분) / 작업인원</t>
    <phoneticPr fontId="3" type="noConversion"/>
  </si>
  <si>
    <t>1인 당 샘플 데칸팅 소요시간(분)</t>
    <phoneticPr fontId="3" type="noConversion"/>
  </si>
  <si>
    <t>샘플 데칸팅을 총 작업인원이 균등하게 진행할 때 1인당 소요되는 작업 시간(분)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</si>
</sst>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76" formatCode="yyyy/mm/dd\ hh:mm:ss"/>
    <numFmt numFmtId="177" formatCode="0.0"/>
    <numFmt numFmtId="178" formatCode="_-* #,##0.0_-;\-* #,##0.0_-;_-* &quot;-&quot;_-;_-@_-"/>
  </numFmts>
  <fonts count="12">
    <font>
      <sz val="11"/>
      <color theme="1"/>
      <name val="맑은 고딕"/>
      <family val="2"/>
      <scheme val="minor"/>
    </font>
    <font>
      <sz val="9"/>
      <color rgb="FF000000"/>
      <name val="맑은 고딕"/>
      <family val="3"/>
    </font>
    <font>
      <sz val="9"/>
      <name val="맑은 고딕"/>
      <family val="3"/>
    </font>
    <font>
      <sz val="8"/>
      <name val="맑은 고딕"/>
      <family val="3"/>
      <charset val="129"/>
      <scheme val="minor"/>
    </font>
    <font>
      <b/>
      <i/>
      <u/>
      <sz val="18"/>
      <color theme="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0"/>
      <color theme="1"/>
      <name val="Arial Unicode MS"/>
      <family val="2"/>
    </font>
    <font>
      <b/>
      <sz val="9"/>
      <color rgb="FFFF0000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0" fillId="0" borderId="0" xfId="0" applyNumberFormat="1"/>
    <xf numFmtId="176" fontId="0" fillId="0" borderId="1" xfId="0" applyNumberFormat="1" applyBorder="1" applyAlignment="1">
      <alignment horizontal="center"/>
    </xf>
    <xf numFmtId="177" fontId="0" fillId="0" borderId="0" xfId="0" applyNumberFormat="1"/>
    <xf numFmtId="0" fontId="0" fillId="0" borderId="1" xfId="0" applyBorder="1" applyAlignment="1">
      <alignment horizontal="center"/>
    </xf>
    <xf numFmtId="177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/>
    <xf numFmtId="0" fontId="4" fillId="0" borderId="0" xfId="0" applyFont="1"/>
    <xf numFmtId="0" fontId="5" fillId="4" borderId="1" xfId="0" applyFont="1" applyFill="1" applyBorder="1" applyAlignment="1">
      <alignment horizontal="center" vertical="center"/>
    </xf>
    <xf numFmtId="41" fontId="0" fillId="0" borderId="0" xfId="1" applyFont="1" applyAlignment="1"/>
    <xf numFmtId="178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Border="1"/>
    <xf numFmtId="177" fontId="0" fillId="0" borderId="0" xfId="0" applyNumberFormat="1" applyBorder="1"/>
    <xf numFmtId="0" fontId="0" fillId="0" borderId="0" xfId="0" applyFill="1" applyBorder="1" applyAlignment="1">
      <alignment horizontal="center"/>
    </xf>
    <xf numFmtId="2" fontId="0" fillId="0" borderId="1" xfId="0" applyNumberFormat="1" applyBorder="1"/>
    <xf numFmtId="2" fontId="0" fillId="0" borderId="0" xfId="0" applyNumberFormat="1"/>
    <xf numFmtId="2" fontId="7" fillId="0" borderId="0" xfId="0" applyNumberFormat="1" applyFont="1" applyAlignment="1">
      <alignment vertical="center"/>
    </xf>
    <xf numFmtId="2" fontId="0" fillId="0" borderId="1" xfId="0" applyNumberFormat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quotePrefix="1" applyAlignment="1">
      <alignment horizontal="center"/>
    </xf>
    <xf numFmtId="0" fontId="8" fillId="3" borderId="1" xfId="0" applyFont="1" applyFill="1" applyBorder="1" applyAlignment="1">
      <alignment horizontal="center" vertical="center" wrapText="1"/>
    </xf>
    <xf numFmtId="0" fontId="10" fillId="0" borderId="0" xfId="0" applyFont="1"/>
    <xf numFmtId="0" fontId="0" fillId="0" borderId="1" xfId="0" applyBorder="1" applyAlignment="1">
      <alignment horizontal="left"/>
    </xf>
    <xf numFmtId="0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177" fontId="0" fillId="0" borderId="0" xfId="0" applyNumberFormat="1" applyFill="1" applyBorder="1" applyAlignment="1">
      <alignment horizontal="center"/>
    </xf>
    <xf numFmtId="9" fontId="0" fillId="0" borderId="0" xfId="2" applyFont="1" applyAlignment="1"/>
    <xf numFmtId="0" fontId="11" fillId="3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GF" refreshedDate="46288.420234027777" createdVersion="6" refreshedVersion="6" minRefreshableVersion="3" recordCount="2216">
  <cacheSource type="worksheet">
    <worksheetSource ref="A1:P2217" sheet="RAW"/>
  </cacheSource>
  <cacheFields count="16">
    <cacheField name="시간" numFmtId="176">
      <sharedItems containsSemiMixedTypes="0" containsNonDate="0" containsDate="1" containsString="0" minDate="2026-08-10T06:05:02" maxDate="2026-08-15T22:31:55"/>
    </cacheField>
    <cacheField name="보관박스번호" numFmtId="0">
      <sharedItems/>
    </cacheField>
    <cacheField name="상품코드" numFmtId="0">
      <sharedItems count="17">
        <s v="8801392136160"/>
        <s v="6917878047201"/>
        <s v="8801043067317"/>
        <s v="8801043047081"/>
        <s v="6977308560991"/>
        <s v="8806011435679"/>
        <s v="8801047222118"/>
        <s v="8809617944842"/>
        <s v="8413178407267"/>
        <s v="8801117478100"/>
        <s v="8801117641603"/>
        <s v="8801117344108"/>
        <s v="8801117394806"/>
        <s v="8801117377304"/>
        <s v="4037400346519"/>
        <s v="8801308449919"/>
        <s v="8801308450342"/>
      </sharedItems>
    </cacheField>
    <cacheField name="상품명" numFmtId="0">
      <sharedItems count="928">
        <s v="CJ)맛밤36g"/>
        <s v="네슬레)프루팁스젤리70g"/>
        <s v="농심)츄파춥스사워바이츠"/>
        <s v="농심)츄파춥스플러피판다"/>
        <s v="대진)콜라향츄잉캔디13g"/>
        <s v="동아)박카스사워젤리"/>
        <s v="동원)양반참기름김"/>
        <s v="바프)와사비맛땅콩120g"/>
        <s v="비달)사우어레인보우믹스"/>
        <s v="오리온)닥터유단백질바"/>
        <s v="오리온)더자일리톨용기껌"/>
        <s v="오리온)아이셔츄잉청사과"/>
        <s v="오리온)올뉴비틀즈"/>
        <s v="오리온)코코망고알맹이"/>
        <s v="일신)캇예스베러버니사워"/>
        <s v="정화)구운쥐치포8마리75g"/>
        <s v="정화)맥반석왕오징어구이"/>
        <s v="위스트)마라곤약향라맛" u="1"/>
        <s v="나무)2단와인오프너" u="1"/>
        <s v="페리오)토탈7치약칫솔세트" u="1"/>
        <s v="더블유)핸드크림코튼향" u="1"/>
        <s v="종건)아임비타아미노젤100" u="1"/>
        <s v="상쾌환)복숭아제로스틱3입" u="1"/>
        <s v="페리오)치약칫솔세트" u="1"/>
        <s v="바다원)한입만어포튀각50g" u="1"/>
        <s v="유앤)스웨디시스타일젤리" u="1"/>
        <s v="크린랩)위생장갑" u="1"/>
        <s v="바세린)핑크버블리립" u="1"/>
        <s v="하림)오늘단백바제주말차" u="1"/>
        <s v="종근당)눈건강10정" u="1"/>
        <s v="모나미)네임펜흑" u="1"/>
        <s v="모나미)고급줄노트" u="1"/>
        <s v="3M)프로그립안전장갑M" u="1"/>
        <s v="뉴트리)참치닭가슴살용기" u="1"/>
        <s v="전자동커피머신클리너" u="1"/>
        <s v="아임유어)면도기세트" u="1"/>
        <s v="도루코)포켓과도" u="1"/>
        <s v="매일)너즈구미레인보우" u="1"/>
        <s v="갸스비)스파이키왁스80g" u="1"/>
        <s v="즉석라면)현성굵은면용기N" u="1"/>
        <s v="대영)졸음뚝용기껌" u="1"/>
        <s v="원니즈)스프링머리끈2P" u="1"/>
        <s v="질레트)프로실버면도기" u="1"/>
        <s v="해외)청면테이프" u="1"/>
        <s v="깨끗)KF94흰색대형3P" u="1"/>
        <s v="크라운)마이쮸핑크리치" u="1"/>
        <s v="나투)블록구미베리믹스" u="1"/>
        <s v="삼경)웨더스슈가프리42g" u="1"/>
        <s v="좋은)입는데이팬티L4P" u="1"/>
        <s v="포유)EVA슬리퍼블랙280mm" u="1"/>
        <s v="크리)KF94검정대형1P" u="1"/>
        <s v="동원)꽁치300g" u="1"/>
        <s v="오리온)비타민마이구미72g" u="1"/>
        <s v="보냉팩중형" u="1"/>
        <s v="멘소)아크네스스팟패치" u="1"/>
        <s v="아비노)스킨릴리프로션71g" u="1"/>
        <s v="LG헬로)NFC알뜰폰후불유심" u="1"/>
        <s v="도루코)다용도가위" u="1"/>
        <s v="동서)포스트밸런스바" u="1"/>
        <s v="대경)자일리톨커피캔디" u="1"/>
        <s v="템테이션)맛있는닭고기맛" u="1"/>
        <s v="CU프렌즈)뉴3in1케이블" u="1"/>
        <s v="튀김)꼬치용트레이N" u="1"/>
        <s v="삼도)순면고급수건" u="1"/>
        <s v="페리오)이지클리닉칫솔" u="1"/>
        <s v="액시아)다목적접착제" u="1"/>
        <s v="삼경)델몬트파인애플836g" u="1"/>
        <s v="네슬레)프루팁스하와이안" u="1"/>
        <s v="보람)로보카딸기비타민" u="1"/>
        <s v="PBICK)990오리지널바" u="1"/>
        <s v="갸스비)크리어필름70매" u="1"/>
        <s v="일리윤)세라마이드로션" u="1"/>
        <s v="종근당)장건강10정" u="1"/>
        <s v="애니펫)먼치껌치킨육포" u="1"/>
        <s v="리앤웰)비말키즈마스크5P" u="1"/>
        <s v="모나미)고급봉투" u="1"/>
        <s v="원니즈)나선형귀이개" u="1"/>
        <s v="메디안)치석케어치약" u="1"/>
        <s v="한삼인)홍삼진굿데이앰플" u="1"/>
        <s v="SCD)수수깡코리아젤리" u="1"/>
        <s v="타스)비말검정대형5P" u="1"/>
        <s v="오뚜기)골드마요참치" u="1"/>
        <s v="동원)상상페퍼솔트30g" u="1"/>
        <s v="포미그)수면안대라벤더3매" u="1"/>
        <s v="에이블)샤오커오라캔디60g" u="1"/>
        <s v="미팩토리)스팟패치75매" u="1"/>
        <s v="CU점포운영일지N" u="1"/>
        <s v="동원)양반새우김부각" u="1"/>
        <s v="바세린)데일리선크림50ml" u="1"/>
        <s v="즉석라면)현성일반면용기N" u="1"/>
        <s v="바프)와사비맛아몬드130g" u="1"/>
        <s v="소모품)빵밑지N" u="1"/>
        <s v="종근)멀티비타부스터20ml" u="1"/>
        <s v="텔레토비)카드키링캔디" u="1"/>
        <s v="토니모리)립틴트1호토피" u="1"/>
        <s v="좋은)무표백유기농중형4P" u="1"/>
        <s v="핑크솔트)화이트닝치약" u="1"/>
        <s v="뉴트리)닭가슴살용기" u="1"/>
        <s v="셀로판테이프4입" u="1"/>
        <s v="토니모리)블러치크3호핑크" u="1"/>
        <s v="농심)이카후라이40g" u="1"/>
        <s v="원니즈)TPU밴드혼합150P" u="1"/>
        <s v="크라운)새콤달콤복숭아" u="1"/>
        <s v="오랄비)치실" u="1"/>
        <s v="씨앤)아이리버블랙" u="1"/>
        <s v="애니펫)소프트치킨육포" u="1"/>
        <s v="PBICK땅콩버터진미채" u="1"/>
        <s v="SA)티니핑랜덤뱃지젤리" u="1"/>
        <s v="바프)허니버터아몬드130g" u="1"/>
        <s v="동원)곱창돌김4g" u="1"/>
        <s v="BNS)PD20W도킹보조배터리8" u="1"/>
        <s v="바프)로스티드솔티드땅콩" u="1"/>
        <s v="삼양사)상쾌환3입기획팩" u="1"/>
        <s v="튀김)치킨용1500cc컵뚜껑" u="1"/>
        <s v="아이깨끗해)순핸드워시" u="1"/>
        <s v="동화)마그랩포에너지25ml" u="1"/>
        <s v="포유)테이팩스절연테이프" u="1"/>
        <s v="HK)컨디션스틱자두18g" u="1"/>
        <s v="이멕스)세븐팩버블껌" u="1"/>
        <s v="SA)젤리핑쥬시프루트" u="1"/>
        <s v="종건)아임비타멀티비타20m" u="1"/>
        <s v="신화)25개한입쥐포80g" u="1"/>
        <s v="쏘피)무표백유기농대형4P" u="1"/>
        <s v="SNP)아쿠아선크림50ml" u="1"/>
        <s v="PBICK)김부각득템" u="1"/>
        <s v="해피바스)비누" u="1"/>
        <s v="머거본)실속커피땅콩100g" u="1"/>
        <s v="매크로)하이츄사워레몬맛" u="1"/>
        <s v="하림펫)밥이보약양갱면역" u="1"/>
        <s v="롯데)청포도봉지캔디153g" u="1"/>
        <s v="모나미)화신커터소" u="1"/>
        <s v="라인)뉴일회용배터리C타입" u="1"/>
        <s v="마즈)쉬바닭고기용기" u="1"/>
        <s v="좋은)무표백입는오버L4P" u="1"/>
        <s v="센카)클렌징폼120g(New)" u="1"/>
        <s v="CJ)맛콩병아리콩50G" u="1"/>
        <s v="피자/튀김용밑지N" u="1"/>
        <s v="샘표)질러블랙페퍼육포30g" u="1"/>
        <s v="좋은)무표백입는오버M4P" u="1"/>
        <s v="오리온)졸음싹다깨껌" u="1"/>
        <s v="좋은)울날오버나이트14P" u="1"/>
        <s v="푸드)칠리땅콩버터우동" u="1"/>
        <s v="해피바스)바디워시180g" u="1"/>
        <s v="푸드)가마타마우동" u="1"/>
        <s v="바프)카라멜아몬드40g" u="1"/>
        <s v="아리얼)립아이리무버패드" u="1"/>
        <s v="뉴트)밀크씨슬파워샷20ml" u="1"/>
        <s v="종근당)신깨노니배사과맛" u="1"/>
        <s v="롯데)졸음번쩍용기껌" u="1"/>
        <s v="종근당)혈행건강10정" u="1"/>
        <s v="모나미)지우개2P" u="1"/>
        <s v="스노우)26고급팔토시검정" u="1"/>
        <s v="나무)다용도면행주" u="1"/>
        <s v="정화)세가지맛오징어42g" u="1"/>
        <s v="서주)마로마로젤리" u="1"/>
        <s v="바른생각)롱플레저3P" u="1"/>
        <s v="라이프)스킨엘리트콘돔3P" u="1"/>
        <s v="3M)투명양면테이프" u="1"/>
        <s v="해외)남성중목양말검정" u="1"/>
        <s v="앰지)홀스아이스블루" u="1"/>
        <s v="동원)매운고추참치90g" u="1"/>
        <s v="썬푸드)한치구이고추장" u="1"/>
        <s v="원니즈)판걸이머리끈" u="1"/>
        <s v="도루코)페이스일회면도6날" u="1"/>
        <s v="명인)찹쌀연근부각30g" u="1"/>
        <s v="화인)면장갑" u="1"/>
        <s v="동원)야채참치90g" u="1"/>
        <s v="앰지)홀스멘토립터스" u="1"/>
        <s v="롯데)리필오리지널껌" u="1"/>
        <s v="머거본)츄러스믹스넛" u="1"/>
        <s v="탑)체리쉬망고스틴젤리" u="1"/>
        <s v="CJ)밸런스밀바말차초코" u="1"/>
        <s v="서주)레모넬로43g" u="1"/>
        <s v="나무)때타월" u="1"/>
        <s v="푸드)삼계누룽제비국밥" u="1"/>
        <s v="나무)철수세미" u="1"/>
        <s v="커네틱)8핀BT유선이어폰" u="1"/>
        <s v="비비안)면위생팬티95" u="1"/>
        <s v="상쾌환)청사과제로스틱3입" u="1"/>
        <s v="모나미)그리픽스샤프심" u="1"/>
        <s v="롯데)왓따콜라풍선껌" u="1"/>
        <s v="포켓몬)럭키비타에너지샷" u="1"/>
        <s v="존슨즈)베드타임로션100ml" u="1"/>
        <s v="롯데)색고드름캔디" u="1"/>
        <s v="마즈)비카인드아몬드단백" u="1"/>
        <s v="PBICK)나폴리탄스파게티" u="1"/>
        <s v="머거본)칼몬드파우치80g" u="1"/>
        <s v="모나미)이중봉투5매" u="1"/>
        <s v="위스카스)1세미만참치" u="1"/>
        <s v="원니즈)옷핀세트14P" u="1"/>
        <s v="대상)안주야치즈촘촘육포" u="1"/>
        <s v="명인)찹쌀황태껍질부각30g" u="1"/>
        <s v="동서)포스트액티브바" u="1"/>
        <s v="순수한면)유기농순면대14P" u="1"/>
        <s v="정화)대왕오징어땅콩맛85g" u="1"/>
        <s v="롯데)제로캔디레몬민트" u="1"/>
        <s v="쓰레기봉투투명(30입)" u="1"/>
        <s v="쏘피)순한면라이너일반28P" u="1"/>
        <s v="삼경)코로로젤리머스캣" u="1"/>
        <s v="뉴트로지나)데일리립밤" u="1"/>
        <s v="오리온)마이구미복숭아" u="1"/>
        <s v="대상)안주야매콤육포30g" u="1"/>
        <s v="한성)일품쇠고기육포30g" u="1"/>
        <s v="한신)바르네수정테이프8M" u="1"/>
        <s v="롯데)핵짱셔요후르츠" u="1"/>
        <s v="바세린)립세럼더마프로" u="1"/>
        <s v="동서)콘푸라이트바35g" u="1"/>
        <s v="순수한면)유기농순면소18P" u="1"/>
        <s v="페넬)N팬티스타킹살구" u="1"/>
        <s v="마즈)스키틀즈젤리요거트" u="1"/>
        <s v="VT)스킨팩수분파랑" u="1"/>
        <s v="해외)아물디액50ml" u="1"/>
        <s v="오뚜기)마일드참치135g" u="1"/>
        <s v="니베아)히알루론립케어" u="1"/>
        <s v="일신)캇예스베러버니" u="1"/>
        <s v="PBICK)일회용접시소10P" u="1"/>
        <s v="좋은)울날중18P" u="1"/>
        <s v="뉴트)알부민골드30g" u="1"/>
        <s v="한울)꿀고구마말랭이60g" u="1"/>
        <s v="원니즈)헤어롤1P" u="1"/>
        <s v="라인)뉴일회용배터리8핀" u="1"/>
        <s v="모나미)유성매직흑" u="1"/>
        <s v="SNP)마일드선밀크100ml" u="1"/>
        <s v="뽑아쓰는위생모100" u="1"/>
        <s v="롯데)스카치커피60g" u="1"/>
        <s v="매크로)하이츄그린애플" u="1"/>
        <s v="삼경)웨더스크리미필링" u="1"/>
        <s v="유시몰)오리지널치약106g" u="1"/>
        <s v="크라운)마이쮸딸기" u="1"/>
        <s v="투명박스테이프N" u="1"/>
        <s v="켈로그)콘푸로스트바35g" u="1"/>
        <s v="부재중안내서" u="1"/>
        <s v="정화)오징어땅콩좋아해60g" u="1"/>
        <s v="하림)오늘단백바피스타치" u="1"/>
        <s v="니베아)체리립케어" u="1"/>
        <s v="삼양사)상쾌환스틱샤인" u="1"/>
        <s v="원니즈)손톱깎이" u="1"/>
        <s v="농심)멘토스사워파인애플" u="1"/>
        <s v="머거본)커피땅콩헤이즐넛" u="1"/>
        <s v="유한)비컴플아르기닌25ml" u="1"/>
        <s v="원니즈)무팁머리끈6P" u="1"/>
        <s v="앰지)홀스XS레몬민트" u="1"/>
        <s v="크리오)대일밴드NEW" u="1"/>
        <s v="동원)리챔200g" u="1"/>
        <s v="동원)리챔더블라이트200g" u="1"/>
        <s v="테라)플레오맥스USB32GB" u="1"/>
        <s v="바세린)립테라피S오리지널" u="1"/>
        <s v="사조)쥐포후라이드불닭" u="1"/>
        <s v="종근당)종합건강10정" u="1"/>
        <s v="목우촌)닭가슴살육포페퍼" u="1"/>
        <s v="매일)너즈구미베리베리" u="1"/>
        <s v="3990)매콤맥반석오징어" u="1"/>
        <s v="마즈)비카인드씨솔트견과" u="1"/>
        <s v="벡셀)알카라인2A4입" u="1"/>
        <s v="선우)사과칩스타일젤리" u="1"/>
        <s v="페넬)초특가덧신2입" u="1"/>
        <s v="투데이)가루버블껌콜라" u="1"/>
        <s v="글로벌)뉴두손고무장갑L" u="1"/>
        <s v="좋은)순면수퍼롱10P" u="1"/>
        <s v="토니모리)립오일1호로지" u="1"/>
        <s v="앰지)홀스제로슈가민트향" u="1"/>
        <s v="목우촌)닭가슴살육포마라" u="1"/>
        <s v="보람)녹음하는메세지캔디" u="1"/>
        <s v="니베아)모이스춰립케어" u="1"/>
        <s v="바프)추억의땅콩믹스120g" u="1"/>
        <s v="3M)스카치매직테이프" u="1"/>
        <s v="즉석라면)현성볶음면용기N" u="1"/>
        <s v="훼밀리)멜로팝딥초코15g" u="1"/>
        <s v="롯데)밀크카라멜50g" u="1"/>
        <s v="제일)제일파프쿨5매" u="1"/>
        <s v="네슬레)프루팁스리치140g" u="1"/>
        <s v="대진)BBQ마시멜로우225g" u="1"/>
        <s v="디어스킨)입는오버중대4P" u="1"/>
        <s v="모나미)이력서세트" u="1"/>
        <s v="SNP)워터마스크1매" u="1"/>
        <s v="리꼼)마이크로샷패치" u="1"/>
        <s v="좋은)울날중4P" u="1"/>
        <s v="정화)맥반석구이오징어40g" u="1"/>
        <s v="CJ)스팸200g" u="1"/>
        <s v="하림)단백바치즈케이크" u="1"/>
        <s v="SA)티니핑멜로디캔디" u="1"/>
        <s v="벡셀)알카라인2A2입" u="1"/>
        <s v="농심)까망베르치즈타라" u="1"/>
        <s v="동국)마데카스팟패치33매" u="1"/>
        <s v="썬푸드)착한가격오징어60g" u="1"/>
        <s v="농심)멘토스푸르티" u="1"/>
        <s v="3990)매콤유자전갱이25g" u="1"/>
        <s v="삼아)지퍼팩대형20매" u="1"/>
        <s v="나무)나무젓가락15P" u="1"/>
        <s v="스위트)트롤리지구젤리" u="1"/>
        <s v="3M)포스트잇노랑대" u="1"/>
        <s v="튀김)튀김용트레이중N" u="1"/>
        <s v="바프)스낵믹스넛200g" u="1"/>
        <s v="수미)파티스마저당망고2입" u="1"/>
        <s v="정화)맥반석핫오징어40g" u="1"/>
        <s v="SNP)에어핏선스틱24g" u="1"/>
        <s v="오리온)리찌알맹이" u="1"/>
        <s v="서주)마로마로레몬" u="1"/>
        <s v="비비안)압박스타킹살구" u="1"/>
        <s v="비비안)압박스타킹커피" u="1"/>
        <s v="일회용숟가락N" u="1"/>
        <s v="RU21)웨이크업샷20ml" u="1"/>
        <s v="쉬바)참치와닭고기" u="1"/>
        <s v="벡셀)알카라인3A4입" u="1"/>
        <s v="비페스타)클렌징시트10매" u="1"/>
        <s v="토니모리)블러치크2호차이" u="1"/>
        <s v="3M)항균3중수세미" u="1"/>
        <s v="세나개)칭찬스틱오리" u="1"/>
        <s v="원니즈)포인트속눈썹" u="1"/>
        <s v="애니펫)알파독치킨칼슘껌" u="1"/>
        <s v="모나미)볼펜2입" u="1"/>
        <s v="목우촌)닭가슴살생생육포" u="1"/>
        <s v="유시몰)레귤러칫솔1입" u="1"/>
        <s v="후코홀릭)리얼육포60g" u="1"/>
        <s v="CU프렌즈)C타입45W충전기" u="1"/>
        <s v="니베아)립케어번들팩2입" u="1"/>
        <s v="원니즈)쿠션브러시" u="1"/>
        <s v="모나미)연습장" u="1"/>
        <s v="샘표)질러부드러운육포70g" u="1"/>
        <s v="BNS)8핀C타입충전기일체형" u="1"/>
        <s v="뉴트로지나)딥클렌져100g" u="1"/>
        <s v="오뚜기)중면500g" u="1"/>
        <s v="액시아)액상순간접착제" u="1"/>
        <s v="990)하루견과핑크" u="1"/>
        <s v="오뚜기)3분미트볼스파게티" u="1"/>
        <s v="세나개)칭찬스틱연어" u="1"/>
        <s v="발렌타인)초박형콘돔5P" u="1"/>
        <s v="마즈)이클립스인텐스민트" u="1"/>
        <s v="PBICK)포슬명태구이" u="1"/>
        <s v="벨버드)닭슬라이스100g" u="1"/>
        <s v="리스테린)쿨민트250ml" u="1"/>
        <s v="포유)참숯" u="1"/>
        <s v="토니모리)립틴트3호로지" u="1"/>
        <s v="바세린)립테라피S민트" u="1"/>
        <s v="멘소)아크네스폼클60ml" u="1"/>
        <s v="지퍼락)지퍼백중형20매" u="1"/>
        <s v="귀애랑)울날오버나이트12P" u="1"/>
        <s v="샘표)질러라이트육포30G" u="1"/>
        <s v="온더)레몬바디워시900g" u="1"/>
        <s v="종근당)간건강10정" u="1"/>
        <s v="나무)샤워타월" u="1"/>
        <s v="CJ)맛밤80g" u="1"/>
        <s v="일신)바주카빅보틀팝" u="1"/>
        <s v="벡셀)알카라인3A2입" u="1"/>
        <s v="스마일)커피빈커피캔디" u="1"/>
        <s v="크리오)뉴초극세모칫솔" u="1"/>
        <s v="일신)쥬시드랍구미" u="1"/>
        <s v="모나미)부드러운풀25g" u="1"/>
        <s v="리엔)크림염색제자연갈색" u="1"/>
        <s v="성호)국내산건오징어40g" u="1"/>
        <s v="바세린)립세럼어드밴스" u="1"/>
        <s v="CU프렌즈)뉴C타입케이블1m" u="1"/>
        <s v="동원)더바삭한양반김" u="1"/>
        <s v="CU프렌즈)마그네틱배터리" u="1"/>
        <s v="고구마)군고구마봉투N" u="1"/>
        <s v="PBICK)리얼까르보나라" u="1"/>
        <s v="마즈)스키틀즈젤리후르츠" u="1"/>
        <s v="삼성2035재생토너" u="1"/>
        <s v="유한)알콜스왑40매" u="1"/>
        <s v="오리온)통아몬드캔디" u="1"/>
        <s v="C&amp;C)딥액션클렌져120G" u="1"/>
        <s v="3M)포스트잇노랑소" u="1"/>
        <s v="바프)허니로스티드땅콩" u="1"/>
        <s v="사조)살코기참치150g" u="1"/>
        <s v="투데이)가루버블껌포도" u="1"/>
        <s v="HK)컨디션스틱민트초코18g" u="1"/>
        <s v="앰지)홀스자몽" u="1"/>
        <s v="메디안)트리플미세모" u="1"/>
        <s v="롯데)자일리톨워터링용기" u="1"/>
        <s v="매크로)코피코카푸치노32g" u="1"/>
        <s v="하림)오늘단백바카라멜" u="1"/>
        <s v="한성)일품철판오징어" u="1"/>
        <s v="니베아)스트로베리립케어" u="1"/>
        <s v="카밀)핸드크림클래식100ml" u="1"/>
        <s v="CU스태프용명찰" u="1"/>
        <s v="농심)츄파춥스게코젤리" u="1"/>
        <s v="종근당)다이어트10정" u="1"/>
        <s v="크라운)마이쮸골드파인" u="1"/>
        <s v="시저)심플리쇠고기닭고기" u="1"/>
        <s v="글로벌)뉴두손고무장갑M" u="1"/>
        <s v="챠오츄르)가다랑어스틱4입" u="1"/>
        <s v="농심)후르트텔라요거트" u="1"/>
        <s v="CU넵킨케이스" u="1"/>
        <s v="리스테린)쿨민트100ml" u="1"/>
        <s v="시저)심플리닭고기고구마" u="1"/>
        <s v="모나미)컴퓨터용펜2입" u="1"/>
        <s v="오뚜기)당면300g" u="1"/>
        <s v="크레신)C타입이어폰커널형" u="1"/>
        <s v="롯데)후라보노오리지널" u="1"/>
        <s v="일신)푸쉬팝트리플캔디" u="1"/>
        <s v="동아)박카스젤리" u="1"/>
        <s v="오리온)마이구미포도66g" u="1"/>
        <s v="좋은)슬날수퍼롱4P" u="1"/>
        <s v="오랄비)후레쉬칫솔" u="1"/>
        <s v="동원)양반김부각오리지널" u="1"/>
        <s v="동원)상상불닭육포36g" u="1"/>
        <s v="인솔)로얄화투" u="1"/>
        <s v="도성)알디콤V20ml" u="1"/>
        <s v="바른생각)젤스탠다드5P" u="1"/>
        <s v="사가미)0.01콘돔2P" u="1"/>
        <s v="동원)감태김4g" u="1"/>
        <s v="바세린)립테라피S로지" u="1"/>
        <s v="샘표)질러클래식육포30g" u="1"/>
        <s v="유시몰)휴대용양치세트" u="1"/>
        <s v="롯데)스피아민트스틱팩껌" u="1"/>
        <s v="오츠카)소이조이블루베리" u="1"/>
        <s v="해외)종이테이프" u="1"/>
        <s v="롯데)제로캔디피치민트" u="1"/>
        <s v="머거본)쇠고기육포30g" u="1"/>
        <s v="스노우)26기본팔토시검정" u="1"/>
        <s v="동화)마그랩포스트레스25m" u="1"/>
        <s v="스위트)트롤리키스미니스" u="1"/>
        <s v="엘지)미니스여행용세트" u="1"/>
        <s v="옵티프리)렌즈액355ml" u="1"/>
        <s v="쿠위)탑젤리망고" u="1"/>
        <s v="스위트)트롤리나이트크롤" u="1"/>
        <s v="좋은)입는오버나이트L4P" u="1"/>
        <s v="롯데)목캔디허브" u="1"/>
        <s v="갸스비)슈퍼헤어젤200g" u="1"/>
        <s v="좋은)입는오버나이트M4P" u="1"/>
        <s v="템포)탐폰슈퍼10P" u="1"/>
        <s v="오츠카)소이조이치즈" u="1"/>
        <s v="크라운)새콤달콤블루소다" u="1"/>
        <s v="타스)비말흰색대형5P" u="1"/>
        <s v="해외)투명OPP테이프" u="1"/>
        <s v="스위트)페투치니아사이볼" u="1"/>
        <s v="바프)와사비맛아몬드40g" u="1"/>
        <s v="듀라셀)디럭스2A4입" u="1"/>
        <s v="삼양사)상쾌환" u="1"/>
        <s v="BNS)PD20W도킹보조배터리C" u="1"/>
        <s v="바른생각)에어핏3P" u="1"/>
        <s v="바다원)고소한마른멸치35g" u="1"/>
        <s v="에이스)혼합화이트10P" u="1"/>
        <s v="PBICK)990초코바" u="1"/>
        <s v="도성)알디콤Plus21ml" u="1"/>
        <s v="디어스킨)리얼모달중형16P" u="1"/>
        <s v="해태)연양갱" u="1"/>
        <s v="비비안)남성드로즈105" u="1"/>
        <s v="모나미)형광펜2입" u="1"/>
        <s v="HK)컨디션스틱제로18g" u="1"/>
        <s v="바프)허니버터아몬드40g" u="1"/>
        <s v="도성)알디콤A15ml" u="1"/>
        <s v="좋은)울날소18P" u="1"/>
        <s v="삼양사)상쾌환복숭아제로" u="1"/>
        <s v="챠오츄르)닭가슴살스틱4입" u="1"/>
        <s v="라엘)순면커버중형16P" u="1"/>
        <s v="BNS)다회용배터리C타입" u="1"/>
        <s v="예지)모모이오가닛중형3P" u="1"/>
        <s v="비비안)장목신사양말검정" u="1"/>
        <s v="동원)야채참치150g" u="1"/>
        <s v="KTMS)NFC바로후불유심" u="1"/>
        <s v="롯데)이브로즈껌" u="1"/>
        <s v="종근당)신깨노니땡큐샷30m" u="1"/>
        <s v="블루나)KF94흰색대형1P" u="1"/>
        <s v="모나미)제트스트림흑" u="1"/>
        <s v="PBICK)고구마말랭이득템" u="1"/>
        <s v="농심)야키호타테카이히모" u="1"/>
        <s v="BNS)무선이어폰커널형" u="1"/>
        <s v="리앤웰)비말검정대형7P" u="1"/>
        <s v="롯데)애니타임레몬40g" u="1"/>
        <s v="아리얼)클렌징티슈15매" u="1"/>
        <s v="듀라셀)디럭스2A2입" u="1"/>
        <s v="쏘피)유기농대형14P" u="1"/>
        <s v="사가미)0.02콘돔2P" u="1"/>
        <s v="정화)맥반석굿찡어45g" u="1"/>
        <s v="썬푸드)슬라이스오징어35g" u="1"/>
        <s v="몽뜨)아폴로" u="1"/>
        <s v="롯데)왓따사워스트로베리" u="1"/>
        <s v="동아)듀오버스터30캡슐" u="1"/>
        <s v="좋은)무표백유기농중형16P" u="1"/>
        <s v="머거본)까르보불닭아몬드" u="1"/>
        <s v="스위트)사워글로웜즈" u="1"/>
        <s v="농심)멘토스레인보우" u="1"/>
        <s v="바슈롬)뉴리뉴멀티355ml" u="1"/>
        <s v="CU점주용명찰" u="1"/>
        <s v="툴스)양용드라이버" u="1"/>
        <s v="모나미)양손중형가위" u="1"/>
        <s v="시스테마)스펀지치실40m" u="1"/>
        <s v="크라운)땅콩카라멜봉지" u="1"/>
        <s v="토니모리)알로에수딩젤" u="1"/>
        <s v="히든랩)여행용화장품" u="1"/>
        <s v="샘표)질러직화BBQ42g" u="1"/>
        <s v="SCD)히츨러수수깡젤리사워" u="1"/>
        <s v="좋은)무표백유기농대형4P" u="1"/>
        <s v="동원)저스트황도2절400g" u="1"/>
        <s v="농심)치즈타라24g" u="1"/>
        <s v="3M)이어플러그귀마개" u="1"/>
        <s v="한성)일품도톰육포45g" u="1"/>
        <s v="듀라셀)디럭스3A4입" u="1"/>
        <s v="앰지)홀스XS멘토립터스" u="1"/>
        <s v="CU프렌즈)5핀분리충전기" u="1"/>
        <s v="초코)짱구21곡초코바" u="1"/>
        <s v="대진)요거트향츄잉캔디12g" u="1"/>
        <s v="제일)더위엔쿨링패치10입" u="1"/>
        <s v="쏘피)무표백유기농대형16P" u="1"/>
        <s v="바나실)다회용숟가락10입" u="1"/>
        <s v="CU프렌즈)도킹배터리5천" u="1"/>
        <s v="앰지)홀스비타C라임향" u="1"/>
        <s v="CU프렌즈)차량용고속충전" u="1"/>
        <s v="해외)황색OPP테이프" u="1"/>
        <s v="시저)쇠고기닭고기통조림" u="1"/>
        <s v="도루코)페이스6면도3입" u="1"/>
        <s v="마즈)스키틀즈캔디" u="1"/>
        <s v="보람)쥬쥬마이크노래캔디" u="1"/>
        <s v="페리오)토탈7치약" u="1"/>
        <s v="신신)신신파프핫" u="1"/>
        <s v="사조)쥐포후라이드허니" u="1"/>
        <s v="액시아)젤형순간접착제" u="1"/>
        <s v="튀김)깔대기N" u="1"/>
        <s v="동원)양반김부각마늘50g" u="1"/>
        <s v="루트비)원큐임신테스트기" u="1"/>
        <s v="HK)컨디션환3g" u="1"/>
        <s v="메디폼)FLEX대형8매" u="1"/>
        <s v="PBICK)일회용접시중10P" u="1"/>
        <s v="정화)노래방구이구이150g" u="1"/>
        <s v="2080)치약" u="1"/>
        <s v="3M)투명폼양면테이프" u="1"/>
        <s v="가디언)종이반창고" u="1"/>
        <s v="머거본)칼몬드캔" u="1"/>
        <s v="오리온)단백질바프로" u="1"/>
        <s v="켈로그)더커진레드베리35G" u="1"/>
        <s v="듀라셀)디럭스3A2입" u="1"/>
        <s v="목우촌)닭가슴살레드페퍼" u="1"/>
        <s v="코코)단짝캔디46g" u="1"/>
        <s v="템포)탐폰라이트10P" u="1"/>
        <s v="가그린)마일드100ml" u="1"/>
        <s v="크린랩)식품포장용랩22cm" u="1"/>
        <s v="하림펫)밥이보약양갱장" u="1"/>
        <s v="BNS)다회용배터리8핀" u="1"/>
        <s v="해외)위생종이면봉200P" u="1"/>
        <s v="동서)오레오오즈바" u="1"/>
        <s v="동원)양반구운김밥김" u="1"/>
        <s v="PBICK)일회용공기10P" u="1"/>
        <s v="모나미)편지지세트" u="1"/>
        <s v="종근당)신깨노니복숭아맛" u="1"/>
        <s v="PBICK)일회용접시대10P" u="1"/>
        <s v="CU프렌즈)C타입고속충전기" u="1"/>
        <s v="크리)가습촉촉마스크2P" u="1"/>
        <s v="오리온)왕꿈틀이젤리67g" u="1"/>
        <s v="마즈)이클립스청포도캔디" u="1"/>
        <s v="CU물티슈100입" u="1"/>
        <s v="동국)마데카솔연고8g" u="1"/>
        <s v="토니모리)립오일3호체리" u="1"/>
        <s v="CU프렌즈)8핀고속충전기" u="1"/>
        <s v="마즈)쉬바닭고기참치용기" u="1"/>
        <s v="PBICK)콰트로치즈육포" u="1"/>
        <s v="오랄비)초미세모칫솔" u="1"/>
        <s v="동원)고추참치100g" u="1"/>
        <s v="동원)불참치90g" u="1"/>
        <s v="정화)말랑굿찡어다리45g" u="1"/>
        <s v="서주)칸탈로프메론젤리" u="1"/>
        <s v="플래니)면역&amp;유리너리" u="1"/>
        <s v="아텍스)시나모롤양치세트" u="1"/>
        <s v="듀라셀)2032코인4입" u="1"/>
        <s v="명인)찹쌀김부각30g" u="1"/>
        <s v="화인)퀸스카드" u="1"/>
        <s v="마즈)이클립스소프트레몬" u="1"/>
        <s v="대상)고구마츄60g" u="1"/>
        <s v="좋은)순면프레쉬중18P" u="1"/>
        <s v="원니즈)아크릴반짇고리" u="1"/>
        <s v="RU21)웨이크업스틱꿀배맛" u="1"/>
        <s v="바프)군옥수수아몬드40g" u="1"/>
        <s v="듀라셀)A76코인4입" u="1"/>
        <s v="네슬레)프루팁스트로피칼" u="1"/>
        <s v="오리온)에너지바저당50g" u="1"/>
        <s v="갸스비)그란지매트왁스80g" u="1"/>
        <s v="동원)동원참치100g" u="1"/>
        <s v="종근당)두뇌기억력10정" u="1"/>
        <s v="퓨리나)팬시피스트참치1입" u="1"/>
        <s v="바프)군옥수수콘프라이즈" u="1"/>
        <s v="유성)유동골뱅이140g" u="1"/>
        <s v="원니즈)족집게" u="1"/>
        <s v="바슈롬)바이오트루여행용" u="1"/>
        <s v="동원)상상비프치즈30g" u="1"/>
        <s v="인경)남성쿨덧신흰색" u="1"/>
        <s v="롯데)핵짱셔요콜라" u="1"/>
        <s v="삼아)쿠킹호일20m" u="1"/>
        <s v="원니즈)코털가위" u="1"/>
        <s v="커네틱)45W고속충전기" u="1"/>
        <s v="위스카스)1세이상고등어" u="1"/>
        <s v="라엘)오가닉중형4P" u="1"/>
        <s v="RU21)비타민C6정" u="1"/>
        <s v="시저)홀썸볼쇠고기보리" u="1"/>
        <s v="명인)찹쌀고구마부각30g" u="1"/>
        <s v="SK7)NFC알뜰폰후불유심" u="1"/>
        <s v="온더바디)레몬클렌징폼" u="1"/>
        <s v="동서)오레오오즈바딥초코" u="1"/>
        <s v="CJ)스팸라이트340g" u="1"/>
        <s v="농심)멘토스필링베리굿" u="1"/>
        <s v="동서)포스트단백질바" u="1"/>
        <s v="한성)일품촉촉스틱오징어" u="1"/>
        <s v="크라운)새콤달콤딸기" u="1"/>
        <s v="비달)사우어레드믹스" u="1"/>
        <s v="쉬바)참치와연어" u="1"/>
        <s v="네오)여스니커즈양말흰색" u="1"/>
        <s v="SCD)사우어드라헨구미125g" u="1"/>
        <s v="CJ)맛콩검은콩50G" u="1"/>
        <s v="쏘피)무표백롱라이너18P" u="1"/>
        <s v="롯데)코팅자일리톨빅팩껌" u="1"/>
        <s v="CU프렌즈)CtoC고속케이블" u="1"/>
        <s v="오뚜기)살코기참치135g" u="1"/>
        <s v="샘표)질러크레이지핫30g" u="1"/>
        <s v="PLA빨대23cm" u="1"/>
        <s v="갸스비)스파이키왁스15g" u="1"/>
        <s v="페넬)N팬티스타킹살구2입" u="1"/>
        <s v="나무젓가락N" u="1"/>
        <s v="세나개)칭찬스틱소고기" u="1"/>
        <s v="원니즈)실핀15P" u="1"/>
        <s v="PBICK숏징어" u="1"/>
        <s v="2080)진지발리스치약" u="1"/>
        <s v="동서)오곡코코볼바33g" u="1"/>
        <s v="오리온)단백질프로크런치" u="1"/>
        <s v="AHC)에어리선스틱14g" u="1"/>
        <s v="종건)락토핏골드20g" u="1"/>
        <s v="해외)여성중목양말흰색" u="1"/>
        <s v="유성)유동골뱅이230g" u="1"/>
        <s v="시저)쇠고기통조림" u="1"/>
        <s v="시저)쇠고기참치통조림" u="1"/>
        <s v="쏘피)유기농중형16P" u="1"/>
        <s v="CJ)스팸라이트200g" u="1"/>
        <s v="모나미)제브라3색볼펜" u="1"/>
        <s v="쏘피)내몸에순한면대4P" u="1"/>
        <s v="센카)클렌징폼50g" u="1"/>
        <s v="굿뉴스)얼리임신테스트기" u="1"/>
        <s v="스위트)트롤리핑구미" u="1"/>
        <s v="출퇴근기록카드N" u="1"/>
        <s v="일해)롱다리20g" u="1"/>
        <s v="크리오)아쿠아방수밴드8매" u="1"/>
        <s v="대상)안주야달콤육포30g" u="1"/>
        <s v="템테이션)고소한참치맛" u="1"/>
        <s v="BNS)멀티탭4구3m" u="1"/>
        <s v="삼양사)상쾌환스틱망고" u="1"/>
        <s v="원니즈)미니사각손거울" u="1"/>
        <s v="크라운)마이쮸애플망고" u="1"/>
        <s v="PBICK)하루한봉프로틴15g" u="1"/>
        <s v="대경)아메리카노커피캔디" u="1"/>
        <s v="돌)건망고80g" u="1"/>
        <s v="식물나라)비누90g" u="1"/>
        <s v="훼밀리)왕왕젤리콜라레몬" u="1"/>
        <s v="원니즈)네일케어세트" u="1"/>
        <s v="오뚜기)옛날자른당면100g" u="1"/>
        <s v="머거본)믹스땅콩100g" u="1"/>
        <s v="롯데)말랑카우소프트79g" u="1"/>
        <s v="정관장)비타민활기력샷20m" u="1"/>
        <s v="튀김)핫바용봉투N" u="1"/>
        <s v="스위트)트롤리게코젤리" u="1"/>
        <s v="삼경)리콜라애플민트" u="1"/>
        <s v="정화)말랑버터구이오징어" u="1"/>
        <s v="케라시스)미니세트" u="1"/>
        <s v="롯데)스카치봉지캔디157g" u="1"/>
        <s v="해외)모기키퍼액60ml" u="1"/>
        <s v="스위트)트롤리미니버거10g" u="1"/>
        <s v="벡셀)알카라인2A15입" u="1"/>
        <s v="동원)상상스테이크마블40g" u="1"/>
        <s v="머거본)알땅콩캔" u="1"/>
        <s v="CJ)맛군밤60g" u="1"/>
        <s v="좋은)유기농탐폰슈퍼8P" u="1"/>
        <s v="존슨즈)베이비로션" u="1"/>
        <s v="현대)황토숯불오징어120g" u="1"/>
        <s v="PBICK)체다크림파스타" u="1"/>
        <s v="앰지)홀스제로슈가수박향" u="1"/>
        <s v="삼양사)상쾌환청사과제로" u="1"/>
        <s v="하림)단백바스트로베리" u="1"/>
        <s v="에이스)혼합컬러10P" u="1"/>
        <s v="원니즈)접이식꼬리빗" u="1"/>
        <s v="CJ)맛밤60G*4번들" u="1"/>
        <s v="머거본)맛땅콩100g" u="1"/>
        <s v="비비안)여성헴팬티95" u="1"/>
        <s v="질레트)뉴마하면도기1up" u="1"/>
        <s v="매크로)코피코블리스터32g" u="1"/>
        <s v="모나미)프러스펜흑적2입" u="1"/>
        <s v="PBICK)맛밤득템" u="1"/>
        <s v="오리온)그래놀라단백질바" u="1"/>
        <s v="동원)저스트스위트콘340g" u="1"/>
        <s v="옵티프리)퓨어렌즈액300ml" u="1"/>
        <s v="순수한면)유기농순면중16P" u="1"/>
        <s v="튀김)튀김용트레이대N" u="1"/>
        <s v="원니즈)삼각똑딱핀4P" u="1"/>
        <s v="휴)체다치즈아몬드40g" u="1"/>
        <s v="삼아)쿠킹팩중형100매" u="1"/>
        <s v="롯데)목캔디믹스베리" u="1"/>
        <s v="아에르)KF94흰색M1P" u="1"/>
        <s v="스위트)트롤리버거XXL" u="1"/>
        <s v="샘표)질러직화육포45g" u="1"/>
        <s v="리앤웰)비말흰색대형7P" u="1"/>
        <s v="포유)EVA슬리퍼블랙230mm" u="1"/>
        <s v="동원)고추참치150g" u="1"/>
        <s v="캐츠랑)전연령캣사료400g" u="1"/>
        <s v="마즈)이클립스페퍼민트" u="1"/>
        <s v="라이프)제로리얼씬콘돔3P" u="1"/>
        <s v="유성)유동뚝배기번데기탕" u="1"/>
        <s v="한삼인)멀티비타G홍삼샷30" u="1"/>
        <s v="가디언)분사형소독에탄올" u="1"/>
        <s v="바세린)립테라피로지립스" u="1"/>
        <s v="에이스)타이틀리스트6P" u="1"/>
        <s v="바나실)마카롱풍선6입" u="1"/>
        <s v="위스트)마라곤약마라맛" u="1"/>
        <s v="롯데)말랑카우빠삐코34g" u="1"/>
        <s v="페리오)듀얼클린칫솔2입" u="1"/>
        <s v="롯데)색고드름젤리" u="1"/>
        <s v="마즈)이클립스포도" u="1"/>
        <s v="토니모리)블러치크1호피치" u="1"/>
        <s v="극세사걸레N" u="1"/>
        <s v="동원)상상육포안심30g" u="1"/>
        <s v="수미)파티스마트저당2입" u="1"/>
        <s v="플랙커스)민트치실36입" u="1"/>
        <s v="동원)동원참치150g" u="1"/>
        <s v="JPN)재팬로얄카드" u="1"/>
        <s v="아이스크림스푼N" u="1"/>
        <s v="오뚜기)소면900g" u="1"/>
        <s v="롯데)졸음번쩍껌제로제로" u="1"/>
        <s v="동원)리챔120g" u="1"/>
        <s v="원니즈)접이식눈썹면도기" u="1"/>
        <s v="디어스킨)리얼모달대형14P" u="1"/>
        <s v="신화)쥐포구이채45g" u="1"/>
        <s v="좋은)유기농순면롱오버8P" u="1"/>
        <s v="PBICK)고추장명태구이" u="1"/>
        <s v="롯데)짱셔요라임포도맛" u="1"/>
        <s v="크리오)치약칫솔세트" u="1"/>
        <s v="롯데)자일리톨워터링판껌" u="1"/>
        <s v="대상)안주야청양데리먹태" u="1"/>
        <s v="오뚜기)스파게티면" u="1"/>
        <s v="메디폼)습윤드레싱1매" u="1"/>
        <s v="듀라셀)2025코인4입" u="1"/>
        <s v="에스)더블A복사용지100매" u="1"/>
        <s v="음와인쇼핑백2본입" u="1"/>
        <s v="A4용지신" u="1"/>
        <s v="비이)메이플노래캔디" u="1"/>
        <s v="블루나)비말흰색대형1P" u="1"/>
        <s v="듀라셀)디럭스C2입" u="1"/>
        <s v="앰지)홀스비타C딸기향" u="1"/>
        <s v="원니즈)발톱깎이" u="1"/>
        <s v="종건)아임비타글루타치31g" u="1"/>
        <s v="오뚜기)매코매요참치" u="1"/>
        <s v="정관장)에너지활기력샷20m" u="1"/>
        <s v="머거본)카라멜땅콩믹스넛" u="1"/>
        <s v="머거본)믹스파티프렌즈800" u="1"/>
        <s v="정화)훈연오징어구이48g" u="1"/>
        <s v="좋은)무표백유기농대형14P" u="1"/>
        <s v="CJ)스팸340g" u="1"/>
        <s v="오리온)포도알맹이67g" u="1"/>
        <s v="오리온)닥터유에너지바" u="1"/>
        <s v="좋은)수퍼소프트대형4P" u="1"/>
        <s v="정화)훈연오징어진공50g" u="1"/>
        <s v="포유)EVA슬리퍼블랙240mm" u="1"/>
        <s v="썬푸드)을지로노가리35g" u="1"/>
        <s v="크리)쿨비말흰색대형3P" u="1"/>
        <s v="롯데)쥬시후레쉬스틱팩껌" u="1"/>
        <s v="메디폼)습윤일반형4매" u="1"/>
        <s v="보냉팩대형" u="1"/>
        <s v="동원)참치튜나페고소마요" u="1"/>
        <s v="좋은)울날대16P" u="1"/>
        <s v="모나미)A4규격봉투5매" u="1"/>
        <s v="듀라셀)디럭스9V" u="1"/>
        <s v="리스테린)쿨민트마일드100" u="1"/>
        <s v="플래니)장&amp;유리너리" u="1"/>
        <s v="크리오)대일밴드NEW혼합" u="1"/>
        <s v="가그린)오리지널250ml" u="1"/>
        <s v="머거본)볶음땅콩100g" u="1"/>
        <s v="일신)쥬시드랍팝캔디" u="1"/>
        <s v="모나미)스마트커터대" u="1"/>
        <s v="훼밀리)멜로팝마일드15g" u="1"/>
        <s v="인경)여성쿨덧신누드" u="1"/>
        <s v="TS)고탄력팬티스타킹살구" u="1"/>
        <s v="PBICK)고추장명태깡" u="1"/>
        <s v="마즈)이클립스워터멜론" u="1"/>
        <s v="샘표)질러부드러운육포30g" u="1"/>
        <s v="크라운)마이쮸사과" u="1"/>
        <s v="삼성2028재생토너" u="1"/>
        <s v="비비안)남성드로즈100" u="1"/>
        <s v="뉴트)올리브레몬샷26g" u="1"/>
        <s v="농심)츄파춥스12g" u="1"/>
        <s v="바프)메이플믹스넛30g" u="1"/>
        <s v="뉴트)비비랩유기농레몬즙" u="1"/>
        <s v="마즈)비카인드아몬드코코" u="1"/>
        <s v="웰스)얼리임신테스트기" u="1"/>
        <s v="46cm)초극세모칫솔" u="1"/>
        <s v="동원)양반한식김자반" u="1"/>
        <s v="듀라셀)2016코인4입" u="1"/>
        <s v="경남)레모나산10입" u="1"/>
        <s v="한성)일품촉촉스틱매콤" u="1"/>
        <s v="모나미)예감적중트윈펜" u="1"/>
        <s v="엘라)하드왁스80g" u="1"/>
        <s v="오뚜기)옛날미역50g" u="1"/>
        <s v="모나미)일반수첩" u="1"/>
        <s v="스위트)트롤리키스" u="1"/>
        <s v="듀라셀)디럭스D2입" u="1"/>
        <s v="종건)아임비타아르기닌31g" u="1"/>
        <s v="삼도)순면실속수건" u="1"/>
        <s v="보냉팩(저가형)" u="1"/>
        <s v="포유)EVA슬리퍼블랙250mm" u="1"/>
        <s v="소모품미라클손소독제" u="1"/>
        <s v="라엘)입는오버나이트M4P" u="1"/>
        <s v="PBICK)반값빠삭먹태득템" u="1"/>
        <s v="모나미)노크수정테이프6M" u="1"/>
        <s v="아이리버)60W2IN2케이블" u="1"/>
        <s v="마즈)이클립스스트로베리" u="1"/>
        <s v="크라운)새콤달콤포도" u="1"/>
        <s v="니베아)포맨액티브립케어" u="1"/>
        <s v="동원)양반들기름김" u="1"/>
        <s v="듀라셀)디럭스2A12입" u="1"/>
        <s v="정화)맥반석버터오징어" u="1"/>
        <s v="사가미)0.01콘돔2P(라지)" u="1"/>
        <s v="오뚜기)소면320g" u="1"/>
        <s v="모나미)컴퓨터용연필2입" u="1"/>
        <s v="썬푸드)오잉40g" u="1"/>
        <s v="모나미)제도샤프" u="1"/>
        <s v="토니모리)립오일2호피치" u="1"/>
        <s v="스위트)드로잉토이스토리" u="1"/>
        <s v="한성)국산꼬마육포" u="1"/>
        <s v="미마)KF94검정M1P" u="1"/>
        <s v="바슈롬)뉴리뉴멀티120ml" u="1"/>
        <s v="짱구)랜덤큐브카" u="1"/>
        <s v="매일)피크닉젤리청포도" u="1"/>
        <s v="모나미)칼날대10입" u="1"/>
        <s v="KTM)일반알뜰폰후불유심" u="1"/>
        <s v="화인)반코팅장갑" u="1"/>
        <s v="좋은)썸머입는오버M4P" u="1"/>
        <s v="일신)쥬시드랍딥퍼즈" u="1"/>
        <s v="네오)남스니커즈양말흰색" u="1"/>
        <s v="2080)슈퍼클린초극세모" u="1"/>
        <s v="PBICK)블랙페퍼육포" u="1"/>
        <s v="시저)홀썸볼쇠고기고구마" u="1"/>
        <s v="HK)컨디션스틱망고제로18g" u="1"/>
        <s v="3M)프로그립안전장갑L" u="1"/>
        <s v="선우)눈꽃젤리" u="1"/>
        <s v="해외)여성중목양말검정" u="1"/>
        <s v="바나실)휴대용구급함" u="1"/>
        <s v="페넬)N팬티스타킹검정" u="1"/>
        <s v="좋은)썸머입는오버L4P" u="1"/>
        <s v="스위트)트롤리레드프루트" u="1"/>
        <s v="CJ)밸런스밀바피넛버터" u="1"/>
        <s v="즉석빵)비닐봉투크림빵N" u="1"/>
        <s v="좋은)유기농순면슬날중14P" u="1"/>
        <s v="존슨즈)베이비오일" u="1"/>
        <s v="토니모리)립틴트2호리치" u="1"/>
        <s v="2080)칫솔" u="1"/>
        <s v="바프)마늘빵아몬드40g" u="1"/>
        <s v="에스엠)드레싱밴드" u="1"/>
        <s v="도루코)터치3일회용면도기" u="1"/>
        <s v="롯데)왓따복숭아풍선껌" u="1"/>
        <s v="해외)남성중목양말흰색" u="1"/>
        <s v="유한)비컴플마그네슘25ml" u="1"/>
        <s v="비너스)뉴팬티스타킹살구" u="1"/>
        <s v="오뚜기)3분매콤크림파스타" u="1"/>
        <s v="3M)스카치테이프" u="1"/>
        <s v="메디폼)FLEX중형10매" u="1"/>
        <s v="머거본)꿀땅콩캔" u="1"/>
        <s v="동원)고등어300g" u="1"/>
        <s v="서영)모닝이즈백그린20g" u="1"/>
        <s v="포유)EVA슬리퍼블랙260mm" u="1"/>
        <s v="오리온)아이셔츄쥬시자두" u="1"/>
        <s v="서주)한교동포도젤리" u="1"/>
        <s v="크라운)마이쮸포도" u="1"/>
        <s v="즉석조리봉투100입" u="1"/>
        <s v="좋은)유기농탐폰레귤러8P" u="1"/>
        <s v="챠오츄르)참치스틱4입" u="1"/>
        <s v="켈로그)더커진크런치넛40G" u="1"/>
        <s v="990)하루견과그린" u="1"/>
        <s v="롯데)자일리톨화이트판껌" u="1"/>
        <s v="샘표)질러갈릭육포30g" u="1"/>
        <s v="듀라셀)디럭스3A12입" u="1"/>
        <s v="마즈)이클립스꿀레몬" u="1"/>
        <s v="바프)체다치즈아몬드40g" u="1"/>
        <s v="오리온)한끼바치즈맛40g" u="1"/>
        <s v="케이앤)알뜰식염수500ml" u="1"/>
        <s v="머거본)믹스너트캔" u="1"/>
        <s v="PBICK)자일리톨껌청사과" u="1"/>
        <s v="챠챠)해바라기씨스파이시" u="1"/>
        <s v="크리오)대일밴드N혼합묶음" u="1"/>
        <s v="타스)KF94베이지대형5P" u="1"/>
        <s v="농심)인크레더블츄딸기" u="1"/>
        <s v="좋은)순면프레쉬대16P" u="1"/>
        <s v="애니펫)하드치킨육포" u="1"/>
        <s v="비비안)파인애플스타킹" u="1"/>
        <s v="온더)체리블라썸비누" u="1"/>
        <s v="SA)젤리핑사우어라임" u="1"/>
        <s v="삼경)코로로젤리포도" u="1"/>
        <s v="유성)유동번데기130g" u="1"/>
        <s v="좋은)유기농롱라이너18P" u="1"/>
        <s v="PBICK)하루한봉요거트15g" u="1"/>
        <s v="오랄비)치간칫솔10입" u="1"/>
        <s v="바프)오리지널믹스넛30g" u="1"/>
        <s v="아에르)KF94라이트블랙M1P" u="1"/>
        <s v="get신한일반컵홀더50입" u="1"/>
        <s v="PBICK)학교앞밀떡볶이컵" u="1"/>
        <s v="미스티)블럭합체119캔디" u="1"/>
        <s v="삼경)리콜라허브레몬" u="1"/>
        <s v="HK)컨디션스틱그린애플18g" u="1"/>
        <s v="마즈)이클립스피치캔디" u="1"/>
        <s v="990)하루견과블루" u="1"/>
        <s v="리엔)크림염색제흑갈색" u="1"/>
        <s v="TS)고탄력팬티스타킹검정" u="1"/>
        <s v="순수한면)입는오버L4P" u="1"/>
        <s v="PBICK불갈비맛오징어채" u="1"/>
        <s v="SNP)수딩마스크1매" u="1"/>
        <s v="쓰레기봉투검정(30입)" u="1"/>
        <s v="크리오)뉴미세모칫솔" u="1"/>
        <s v="매일)피크닉젤리사과" u="1"/>
        <s v="포유)EVA슬리퍼블랙270mm" u="1"/>
        <s v="템테이션)담백한연어맛" u="1"/>
        <s v="도루코)터치3면도기묶음" u="1"/>
        <s v="존슨즈)베이비로션핑크" u="1"/>
        <s v="템포)탐폰레귤라10P" u="1"/>
        <s v="바나실)다회용소주컵10입" u="1"/>
        <s v="화이트)드림가드오버3P" u="1"/>
        <s v="썬푸드)바베큐오징어30g" u="1"/>
        <s v="뉴클)PD충전보조배터리1만" u="1"/>
        <s v="뉴트로지나)클렌징오일" u="1"/>
        <s v="동원)김치찌개참치150g" u="1"/>
        <s v="가그린)초미세모칫솔" u="1"/>
        <s v="엘에스)화깨수20g" u="1"/>
        <s v="신신)신신파프쿨" u="1"/>
        <s v="종건)아임비타비타민젤리" u="1"/>
        <s v="HK)컨디션스틱초코18g" u="1"/>
        <s v="뉴트)멀티비타민슈퍼샷" u="1"/>
        <s v="토니모리)알로에폼클렌저" u="1"/>
        <s v="가디언)분사형과산화수소" u="1"/>
        <s v="삼경)리콜라크랜베리" u="1"/>
        <s v="썬푸드)오징어와땅콩85g" u="1"/>
        <s v="한성)일품실오징어30g" u="1"/>
        <s v="좋은)울날대4P" u="1"/>
        <s v="바슈롬)리뉴여행용세트" u="1"/>
        <s v="46cm)쿨민트치약" u="1"/>
        <s v="크리)스타일블랙대형3P" u="1"/>
        <s v="포유)테이팩스투명테이프" u="1"/>
        <s v="화인)예식장갑" u="1"/>
        <s v="롯데)자일리톨F빅팩껌" u="1"/>
      </sharedItems>
    </cacheField>
    <cacheField name="재고수량" numFmtId="0">
      <sharedItems containsSemiMixedTypes="0" containsString="0" containsNumber="1" containsInteger="1" minValue="4" maxValue="192"/>
    </cacheField>
    <cacheField name="피킹수량" numFmtId="0">
      <sharedItems containsString="0" containsBlank="1" containsNumber="1" containsInteger="1" minValue="0" maxValue="0"/>
    </cacheField>
    <cacheField name="잔량" numFmtId="0">
      <sharedItems containsSemiMixedTypes="0" containsString="0" containsNumber="1" containsInteger="1" minValue="4" maxValue="192"/>
    </cacheField>
    <cacheField name="유통기한" numFmtId="0">
      <sharedItems/>
    </cacheField>
    <cacheField name="오더유형" numFmtId="0">
      <sharedItems/>
    </cacheField>
    <cacheField name="작업유형" numFmtId="0">
      <sharedItems/>
    </cacheField>
    <cacheField name="작업상태" numFmtId="0">
      <sharedItems/>
    </cacheField>
    <cacheField name="입력자" numFmtId="0">
      <sharedItems/>
    </cacheField>
    <cacheField name="ST" numFmtId="0">
      <sharedItems count="15">
        <s v="11"/>
        <s v="13"/>
        <s v="05"/>
        <s v="08"/>
        <s v="12"/>
        <s v="03"/>
        <s v="06"/>
        <s v="10"/>
        <s v="04"/>
        <s v="15"/>
        <s v="14"/>
        <s v="07"/>
        <s v="02"/>
        <s v="01"/>
        <s v="09" u="1"/>
      </sharedItems>
    </cacheField>
    <cacheField name="입력일" numFmtId="0">
      <sharedItems/>
    </cacheField>
    <cacheField name="발주패턴" numFmtId="0">
      <sharedItems/>
    </cacheField>
    <cacheField name="요일" numFmtId="0">
      <sharedItems count="6">
        <s v="토"/>
        <s v="금"/>
        <s v="수"/>
        <s v="월"/>
        <s v="목"/>
        <s v="화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16">
  <r>
    <d v="2026-08-15T22:31:55"/>
    <s v="19002973"/>
    <x v="0"/>
    <x v="0"/>
    <n v="192"/>
    <m/>
    <n v="192"/>
    <s v="20270126000000"/>
    <s v="디캔팅"/>
    <s v="입고"/>
    <s v="작업완료"/>
    <s v="1011"/>
    <x v="0"/>
    <s v="2026-08-15 22:21:44"/>
    <s v="월수금"/>
    <x v="0"/>
  </r>
  <r>
    <d v="2026-08-15T22:31:53"/>
    <s v="19000866"/>
    <x v="0"/>
    <x v="0"/>
    <n v="192"/>
    <m/>
    <n v="192"/>
    <s v="20270126000000"/>
    <s v="디캔팅"/>
    <s v="입고"/>
    <s v="작업완료"/>
    <s v="1011"/>
    <x v="0"/>
    <s v="2026-08-15 22:26:12"/>
    <s v="월수금"/>
    <x v="0"/>
  </r>
  <r>
    <d v="2026-08-15T22:31:35"/>
    <s v="19001589"/>
    <x v="0"/>
    <x v="0"/>
    <n v="192"/>
    <m/>
    <n v="192"/>
    <s v="20270126000000"/>
    <s v="디캔팅"/>
    <s v="입고"/>
    <s v="작업완료"/>
    <s v="1011"/>
    <x v="0"/>
    <s v="2026-08-15 22:26:07"/>
    <s v="월수금"/>
    <x v="0"/>
  </r>
  <r>
    <d v="2026-08-15T22:27:20"/>
    <s v="19008542"/>
    <x v="0"/>
    <x v="0"/>
    <n v="192"/>
    <m/>
    <n v="192"/>
    <s v="20270126000000"/>
    <s v="디캔팅"/>
    <s v="입고"/>
    <s v="작업완료"/>
    <s v="1011"/>
    <x v="0"/>
    <s v="2026-08-15 22:17:27"/>
    <s v="월수금"/>
    <x v="0"/>
  </r>
  <r>
    <d v="2026-08-15T22:27:17"/>
    <s v="19002287"/>
    <x v="0"/>
    <x v="0"/>
    <n v="192"/>
    <m/>
    <n v="192"/>
    <s v="20270126000000"/>
    <s v="디캔팅"/>
    <s v="입고"/>
    <s v="작업완료"/>
    <s v="1011"/>
    <x v="0"/>
    <s v="2026-08-15 22:17:06"/>
    <s v="월수금"/>
    <x v="0"/>
  </r>
  <r>
    <d v="2026-08-15T22:24:02"/>
    <s v="19007621"/>
    <x v="0"/>
    <x v="0"/>
    <n v="192"/>
    <m/>
    <n v="192"/>
    <s v="20270126000000"/>
    <s v="디캔팅"/>
    <s v="입고"/>
    <s v="작업완료"/>
    <s v="1011"/>
    <x v="0"/>
    <s v="2026-08-15 22:19:46"/>
    <s v="월수금"/>
    <x v="0"/>
  </r>
  <r>
    <d v="2026-08-15T22:23:19"/>
    <s v="19017373"/>
    <x v="0"/>
    <x v="0"/>
    <n v="192"/>
    <m/>
    <n v="192"/>
    <s v="20270126000000"/>
    <s v="디캔팅"/>
    <s v="입고"/>
    <s v="작업완료"/>
    <s v="1011"/>
    <x v="0"/>
    <s v="2026-08-15 22:17:41"/>
    <s v="월수금"/>
    <x v="0"/>
  </r>
  <r>
    <d v="2026-08-15T20:24:51"/>
    <s v="19007869"/>
    <x v="0"/>
    <x v="0"/>
    <n v="48"/>
    <m/>
    <n v="48"/>
    <s v="20270126000000"/>
    <s v="디캔팅"/>
    <s v="입고"/>
    <s v="작업완료"/>
    <s v="1013"/>
    <x v="1"/>
    <s v="2026-08-15 20:22:56"/>
    <s v="월수금"/>
    <x v="0"/>
  </r>
  <r>
    <d v="2026-08-15T20:24:49"/>
    <s v="19002364"/>
    <x v="0"/>
    <x v="0"/>
    <n v="192"/>
    <m/>
    <n v="192"/>
    <s v="20270126000000"/>
    <s v="디캔팅"/>
    <s v="입고"/>
    <s v="작업완료"/>
    <s v="1013"/>
    <x v="1"/>
    <s v="2026-08-15 20:22:47"/>
    <s v="월수금"/>
    <x v="0"/>
  </r>
  <r>
    <d v="2026-08-15T20:23:47"/>
    <s v="19011129"/>
    <x v="0"/>
    <x v="0"/>
    <n v="192"/>
    <m/>
    <n v="192"/>
    <s v="20270126000000"/>
    <s v="디캔팅"/>
    <s v="입고"/>
    <s v="작업완료"/>
    <s v="1013"/>
    <x v="1"/>
    <s v="2026-08-15 20:21:41"/>
    <s v="월수금"/>
    <x v="0"/>
  </r>
  <r>
    <d v="2026-08-15T20:23:44"/>
    <s v="19012460"/>
    <x v="0"/>
    <x v="0"/>
    <n v="192"/>
    <m/>
    <n v="192"/>
    <s v="20270126000000"/>
    <s v="디캔팅"/>
    <s v="입고"/>
    <s v="작업완료"/>
    <s v="1013"/>
    <x v="1"/>
    <s v="2026-08-15 20:21:32"/>
    <s v="월수금"/>
    <x v="0"/>
  </r>
  <r>
    <d v="2026-08-15T20:20:53"/>
    <s v="19005689"/>
    <x v="0"/>
    <x v="0"/>
    <n v="192"/>
    <m/>
    <n v="192"/>
    <s v="20270126000000"/>
    <s v="디캔팅"/>
    <s v="입고"/>
    <s v="작업완료"/>
    <s v="1013"/>
    <x v="1"/>
    <s v="2026-08-15 20:18:38"/>
    <s v="월수금"/>
    <x v="0"/>
  </r>
  <r>
    <d v="2026-08-15T20:20:15"/>
    <s v="19010288"/>
    <x v="0"/>
    <x v="0"/>
    <n v="192"/>
    <m/>
    <n v="192"/>
    <s v="20270126000000"/>
    <s v="디캔팅"/>
    <s v="입고"/>
    <s v="작업완료"/>
    <s v="1013"/>
    <x v="1"/>
    <s v="2026-08-15 20:18:30"/>
    <s v="월수금"/>
    <x v="0"/>
  </r>
  <r>
    <d v="2026-08-15T20:18:10"/>
    <s v="19001763"/>
    <x v="0"/>
    <x v="0"/>
    <n v="192"/>
    <m/>
    <n v="192"/>
    <s v="20270126000000"/>
    <s v="디캔팅"/>
    <s v="입고"/>
    <s v="작업완료"/>
    <s v="1013"/>
    <x v="1"/>
    <s v="2026-08-15 20:16:00"/>
    <s v="월수금"/>
    <x v="0"/>
  </r>
  <r>
    <d v="2026-08-15T20:17:49"/>
    <s v="19002879"/>
    <x v="0"/>
    <x v="0"/>
    <n v="192"/>
    <m/>
    <n v="192"/>
    <s v="20270126000000"/>
    <s v="디캔팅"/>
    <s v="입고"/>
    <s v="작업완료"/>
    <s v="1013"/>
    <x v="1"/>
    <s v="2026-08-15 20:15:53"/>
    <s v="월수금"/>
    <x v="0"/>
  </r>
  <r>
    <d v="2026-08-15T20:15:13"/>
    <s v="19001317"/>
    <x v="0"/>
    <x v="0"/>
    <n v="192"/>
    <m/>
    <n v="192"/>
    <s v="20270126000000"/>
    <s v="디캔팅"/>
    <s v="입고"/>
    <s v="작업완료"/>
    <s v="1013"/>
    <x v="1"/>
    <s v="2026-08-15 20:13:19"/>
    <s v="월수금"/>
    <x v="0"/>
  </r>
  <r>
    <d v="2026-08-15T20:15:09"/>
    <s v="19000574"/>
    <x v="0"/>
    <x v="0"/>
    <n v="192"/>
    <m/>
    <n v="192"/>
    <s v="20270126000000"/>
    <s v="디캔팅"/>
    <s v="입고"/>
    <s v="작업완료"/>
    <s v="1013"/>
    <x v="1"/>
    <s v="2026-08-15 20:13:10"/>
    <s v="월수금"/>
    <x v="0"/>
  </r>
  <r>
    <d v="2026-08-15T20:13:00"/>
    <s v="19001714"/>
    <x v="0"/>
    <x v="0"/>
    <n v="192"/>
    <m/>
    <n v="192"/>
    <s v="20270126000000"/>
    <s v="디캔팅"/>
    <s v="입고"/>
    <s v="작업완료"/>
    <s v="1013"/>
    <x v="1"/>
    <s v="2026-08-15 20:10:37"/>
    <s v="월수금"/>
    <x v="0"/>
  </r>
  <r>
    <d v="2026-08-15T20:12:42"/>
    <s v="19004889"/>
    <x v="0"/>
    <x v="0"/>
    <n v="192"/>
    <m/>
    <n v="192"/>
    <s v="20270126000000"/>
    <s v="디캔팅"/>
    <s v="입고"/>
    <s v="작업완료"/>
    <s v="1013"/>
    <x v="1"/>
    <s v="2026-08-15 20:10:30"/>
    <s v="월수금"/>
    <x v="0"/>
  </r>
  <r>
    <d v="2026-08-14T08:34:26"/>
    <s v="19022904"/>
    <x v="0"/>
    <x v="0"/>
    <n v="192"/>
    <m/>
    <n v="192"/>
    <s v="20270126000000"/>
    <s v="디캔팅"/>
    <s v="입고"/>
    <s v="작업완료"/>
    <s v="1005"/>
    <x v="2"/>
    <s v="2026-08-14 08:32:41"/>
    <s v="월수금"/>
    <x v="1"/>
  </r>
  <r>
    <d v="2026-08-14T08:34:14"/>
    <s v="19003198"/>
    <x v="0"/>
    <x v="0"/>
    <n v="192"/>
    <m/>
    <n v="192"/>
    <s v="20270126000000"/>
    <s v="디캔팅"/>
    <s v="입고"/>
    <s v="작업완료"/>
    <s v="1005"/>
    <x v="2"/>
    <s v="2026-08-14 08:32:46"/>
    <s v="월수금"/>
    <x v="1"/>
  </r>
  <r>
    <d v="2026-08-14T08:33:26"/>
    <s v="19013558"/>
    <x v="0"/>
    <x v="0"/>
    <n v="192"/>
    <m/>
    <n v="192"/>
    <s v="20270126000000"/>
    <s v="디캔팅"/>
    <s v="입고"/>
    <s v="작업완료"/>
    <s v="1005"/>
    <x v="2"/>
    <s v="2026-08-14 08:31:32"/>
    <s v="월수금"/>
    <x v="1"/>
  </r>
  <r>
    <d v="2026-08-14T08:33:17"/>
    <s v="19025756"/>
    <x v="0"/>
    <x v="0"/>
    <n v="192"/>
    <m/>
    <n v="192"/>
    <s v="20270126000000"/>
    <s v="디캔팅"/>
    <s v="입고"/>
    <s v="작업완료"/>
    <s v="1005"/>
    <x v="2"/>
    <s v="2026-08-14 08:31:27"/>
    <s v="월수금"/>
    <x v="1"/>
  </r>
  <r>
    <d v="2026-08-14T08:29:08"/>
    <s v="19003956"/>
    <x v="0"/>
    <x v="0"/>
    <n v="192"/>
    <m/>
    <n v="192"/>
    <s v="20270126000000"/>
    <s v="디캔팅"/>
    <s v="입고"/>
    <s v="작업완료"/>
    <s v="1005"/>
    <x v="2"/>
    <s v="2026-08-14 08:27:11"/>
    <s v="월수금"/>
    <x v="1"/>
  </r>
  <r>
    <d v="2026-08-14T08:29:00"/>
    <s v="19007725"/>
    <x v="0"/>
    <x v="0"/>
    <n v="192"/>
    <m/>
    <n v="192"/>
    <s v="20270126000000"/>
    <s v="디캔팅"/>
    <s v="입고"/>
    <s v="작업완료"/>
    <s v="1005"/>
    <x v="2"/>
    <s v="2026-08-14 08:27:16"/>
    <s v="월수금"/>
    <x v="1"/>
  </r>
  <r>
    <d v="2026-08-14T08:27:57"/>
    <s v="19011808"/>
    <x v="0"/>
    <x v="0"/>
    <n v="192"/>
    <m/>
    <n v="192"/>
    <s v="20270126000000"/>
    <s v="디캔팅"/>
    <s v="입고"/>
    <s v="작업완료"/>
    <s v="1005"/>
    <x v="2"/>
    <s v="2026-08-14 08:26:04"/>
    <s v="월수금"/>
    <x v="1"/>
  </r>
  <r>
    <d v="2026-08-14T08:27:41"/>
    <s v="19025428"/>
    <x v="0"/>
    <x v="0"/>
    <n v="192"/>
    <m/>
    <n v="192"/>
    <s v="20270126000000"/>
    <s v="디캔팅"/>
    <s v="입고"/>
    <s v="작업완료"/>
    <s v="1005"/>
    <x v="2"/>
    <s v="2026-08-14 08:25:59"/>
    <s v="월수금"/>
    <x v="1"/>
  </r>
  <r>
    <d v="2026-08-14T08:24:26"/>
    <s v="19007017"/>
    <x v="0"/>
    <x v="0"/>
    <n v="192"/>
    <m/>
    <n v="192"/>
    <s v="20270126000000"/>
    <s v="디캔팅"/>
    <s v="입고"/>
    <s v="작업완료"/>
    <s v="1005"/>
    <x v="2"/>
    <s v="2026-08-14 08:22:50"/>
    <s v="월수금"/>
    <x v="1"/>
  </r>
  <r>
    <d v="2026-08-14T08:24:18"/>
    <s v="19015647"/>
    <x v="0"/>
    <x v="0"/>
    <n v="192"/>
    <m/>
    <n v="192"/>
    <s v="20270126000000"/>
    <s v="디캔팅"/>
    <s v="입고"/>
    <s v="작업완료"/>
    <s v="1005"/>
    <x v="2"/>
    <s v="2026-08-14 08:21:24"/>
    <s v="월수금"/>
    <x v="1"/>
  </r>
  <r>
    <d v="2026-08-14T08:23:24"/>
    <s v="19003074"/>
    <x v="0"/>
    <x v="0"/>
    <n v="192"/>
    <m/>
    <n v="192"/>
    <s v="20270126000000"/>
    <s v="디캔팅"/>
    <s v="입고"/>
    <s v="작업완료"/>
    <s v="1005"/>
    <x v="2"/>
    <s v="2026-08-14 08:21:31"/>
    <s v="월수금"/>
    <x v="1"/>
  </r>
  <r>
    <d v="2026-08-14T07:57:29"/>
    <s v="19009785"/>
    <x v="0"/>
    <x v="0"/>
    <n v="192"/>
    <m/>
    <n v="192"/>
    <s v="20270126000000"/>
    <s v="디캔팅"/>
    <s v="입고"/>
    <s v="작업완료"/>
    <s v="1005"/>
    <x v="2"/>
    <s v="2026-08-14 07:55:35"/>
    <s v="월수금"/>
    <x v="1"/>
  </r>
  <r>
    <d v="2026-08-14T07:57:02"/>
    <s v="19027351"/>
    <x v="0"/>
    <x v="0"/>
    <n v="192"/>
    <m/>
    <n v="192"/>
    <s v="20270126000000"/>
    <s v="디캔팅"/>
    <s v="입고"/>
    <s v="작업완료"/>
    <s v="1005"/>
    <x v="2"/>
    <s v="2026-08-14 07:54:59"/>
    <s v="월수금"/>
    <x v="1"/>
  </r>
  <r>
    <d v="2026-08-14T07:56:42"/>
    <s v="19007359"/>
    <x v="0"/>
    <x v="0"/>
    <n v="192"/>
    <m/>
    <n v="192"/>
    <s v="20270126000000"/>
    <s v="디캔팅"/>
    <s v="입고"/>
    <s v="작업완료"/>
    <s v="1005"/>
    <x v="2"/>
    <s v="2026-08-14 07:54:41"/>
    <s v="월수금"/>
    <x v="1"/>
  </r>
  <r>
    <d v="2026-08-14T07:53:14"/>
    <s v="19013816"/>
    <x v="0"/>
    <x v="0"/>
    <n v="192"/>
    <m/>
    <n v="192"/>
    <s v="20270126000000"/>
    <s v="디캔팅"/>
    <s v="입고"/>
    <s v="작업완료"/>
    <s v="1005"/>
    <x v="2"/>
    <s v="2026-08-14 07:51:24"/>
    <s v="월수금"/>
    <x v="1"/>
  </r>
  <r>
    <d v="2026-08-14T07:52:46"/>
    <s v="19024144"/>
    <x v="0"/>
    <x v="0"/>
    <n v="192"/>
    <m/>
    <n v="192"/>
    <s v="20270126000000"/>
    <s v="디캔팅"/>
    <s v="입고"/>
    <s v="작업완료"/>
    <s v="1005"/>
    <x v="2"/>
    <s v="2026-08-14 07:51:18"/>
    <s v="월수금"/>
    <x v="1"/>
  </r>
  <r>
    <d v="2026-08-14T07:51:30"/>
    <s v="19014702"/>
    <x v="0"/>
    <x v="0"/>
    <n v="192"/>
    <m/>
    <n v="192"/>
    <s v="20270126000000"/>
    <s v="디캔팅"/>
    <s v="입고"/>
    <s v="작업완료"/>
    <s v="1005"/>
    <x v="2"/>
    <s v="2026-08-14 07:49:30"/>
    <s v="월수금"/>
    <x v="1"/>
  </r>
  <r>
    <d v="2026-08-14T07:51:00"/>
    <s v="19016516"/>
    <x v="0"/>
    <x v="0"/>
    <n v="192"/>
    <m/>
    <n v="192"/>
    <s v="20270126000000"/>
    <s v="디캔팅"/>
    <s v="입고"/>
    <s v="작업완료"/>
    <s v="1005"/>
    <x v="2"/>
    <s v="2026-08-14 07:49:25"/>
    <s v="월수금"/>
    <x v="1"/>
  </r>
  <r>
    <d v="2026-08-14T07:47:54"/>
    <s v="19010163"/>
    <x v="0"/>
    <x v="0"/>
    <n v="192"/>
    <m/>
    <n v="192"/>
    <s v="20270126000000"/>
    <s v="디캔팅"/>
    <s v="입고"/>
    <s v="작업완료"/>
    <s v="1005"/>
    <x v="2"/>
    <s v="2026-08-14 07:46:03"/>
    <s v="월수금"/>
    <x v="1"/>
  </r>
  <r>
    <d v="2026-08-14T07:47:46"/>
    <s v="19005448"/>
    <x v="0"/>
    <x v="0"/>
    <n v="192"/>
    <m/>
    <n v="192"/>
    <s v="20270126000000"/>
    <s v="디캔팅"/>
    <s v="입고"/>
    <s v="작업완료"/>
    <s v="1005"/>
    <x v="2"/>
    <s v="2026-08-14 07:46:07"/>
    <s v="월수금"/>
    <x v="1"/>
  </r>
  <r>
    <d v="2026-08-12T16:22:06"/>
    <s v="19015342"/>
    <x v="0"/>
    <x v="0"/>
    <n v="192"/>
    <m/>
    <n v="192"/>
    <s v="20270125150000"/>
    <s v="디캔팅"/>
    <s v="입고"/>
    <s v="작업완료"/>
    <s v="1008"/>
    <x v="3"/>
    <s v="2026-08-12 16:20:01"/>
    <s v="월수금"/>
    <x v="2"/>
  </r>
  <r>
    <d v="2026-08-12T16:22:00"/>
    <s v="19008155"/>
    <x v="0"/>
    <x v="0"/>
    <n v="144"/>
    <m/>
    <n v="144"/>
    <s v="20270125150000"/>
    <s v="디캔팅"/>
    <s v="입고"/>
    <s v="작업완료"/>
    <s v="1008"/>
    <x v="3"/>
    <s v="2026-08-12 16:20:07"/>
    <s v="월수금"/>
    <x v="2"/>
  </r>
  <r>
    <d v="2026-08-12T16:20:13"/>
    <s v="19004891"/>
    <x v="0"/>
    <x v="0"/>
    <n v="192"/>
    <m/>
    <n v="192"/>
    <s v="20270125150000"/>
    <s v="디캔팅"/>
    <s v="입고"/>
    <s v="작업완료"/>
    <s v="1008"/>
    <x v="3"/>
    <s v="2026-08-12 16:18:10"/>
    <s v="월수금"/>
    <x v="2"/>
  </r>
  <r>
    <d v="2026-08-12T16:20:03"/>
    <s v="19001912"/>
    <x v="0"/>
    <x v="0"/>
    <n v="192"/>
    <m/>
    <n v="192"/>
    <s v="20270125150000"/>
    <s v="디캔팅"/>
    <s v="입고"/>
    <s v="작업완료"/>
    <s v="1008"/>
    <x v="3"/>
    <s v="2026-08-12 16:18:03"/>
    <s v="월수금"/>
    <x v="2"/>
  </r>
  <r>
    <d v="2026-08-12T16:19:49"/>
    <s v="19008578"/>
    <x v="0"/>
    <x v="0"/>
    <n v="192"/>
    <m/>
    <n v="192"/>
    <s v="20270125150000"/>
    <s v="디캔팅"/>
    <s v="입고"/>
    <s v="작업완료"/>
    <s v="1008"/>
    <x v="3"/>
    <s v="2026-08-12 16:18:06"/>
    <s v="월수금"/>
    <x v="2"/>
  </r>
  <r>
    <d v="2026-08-12T14:49:05"/>
    <s v="19006435"/>
    <x v="0"/>
    <x v="0"/>
    <n v="192"/>
    <m/>
    <n v="192"/>
    <s v="20270118150000"/>
    <s v="디캔팅"/>
    <s v="입고"/>
    <s v="작업완료"/>
    <s v="1012"/>
    <x v="4"/>
    <s v="2026-08-12 14:47:26"/>
    <s v="월수금"/>
    <x v="2"/>
  </r>
  <r>
    <d v="2026-08-12T14:48:53"/>
    <s v="19005986"/>
    <x v="0"/>
    <x v="0"/>
    <n v="192"/>
    <m/>
    <n v="192"/>
    <s v="20270118150000"/>
    <s v="디캔팅"/>
    <s v="입고"/>
    <s v="작업완료"/>
    <s v="1012"/>
    <x v="4"/>
    <s v="2026-08-12 14:46:09"/>
    <s v="월수금"/>
    <x v="2"/>
  </r>
  <r>
    <d v="2026-08-12T14:48:17"/>
    <s v="19008573"/>
    <x v="0"/>
    <x v="0"/>
    <n v="192"/>
    <m/>
    <n v="192"/>
    <s v="20270118150000"/>
    <s v="디캔팅"/>
    <s v="입고"/>
    <s v="작업완료"/>
    <s v="1012"/>
    <x v="4"/>
    <s v="2026-08-12 14:46:13"/>
    <s v="월수금"/>
    <x v="2"/>
  </r>
  <r>
    <d v="2026-08-12T14:48:08"/>
    <s v="19019864"/>
    <x v="0"/>
    <x v="0"/>
    <n v="192"/>
    <m/>
    <n v="192"/>
    <s v="20270118150000"/>
    <s v="디캔팅"/>
    <s v="입고"/>
    <s v="작업완료"/>
    <s v="1012"/>
    <x v="4"/>
    <s v="2026-08-12 14:46:04"/>
    <s v="월수금"/>
    <x v="2"/>
  </r>
  <r>
    <d v="2026-08-10T10:20:05"/>
    <s v="19006092"/>
    <x v="0"/>
    <x v="0"/>
    <n v="192"/>
    <m/>
    <n v="192"/>
    <s v="20270126000000"/>
    <s v="디캔팅"/>
    <s v="입고"/>
    <s v="작업완료"/>
    <s v="1003"/>
    <x v="5"/>
    <s v="2026-08-10 10:18:19"/>
    <s v="월수금"/>
    <x v="3"/>
  </r>
  <r>
    <d v="2026-08-10T10:19:20"/>
    <s v="19002827"/>
    <x v="0"/>
    <x v="0"/>
    <n v="192"/>
    <m/>
    <n v="192"/>
    <s v="20270126000000"/>
    <s v="디캔팅"/>
    <s v="입고"/>
    <s v="작업완료"/>
    <s v="1003"/>
    <x v="5"/>
    <s v="2026-08-10 10:17:18"/>
    <s v="월수금"/>
    <x v="3"/>
  </r>
  <r>
    <d v="2026-08-10T10:19:00"/>
    <s v="19009105"/>
    <x v="0"/>
    <x v="0"/>
    <n v="192"/>
    <m/>
    <n v="192"/>
    <s v="20270126000000"/>
    <s v="디캔팅"/>
    <s v="입고"/>
    <s v="작업완료"/>
    <s v="1003"/>
    <x v="5"/>
    <s v="2026-08-10 10:17:22"/>
    <s v="월수금"/>
    <x v="3"/>
  </r>
  <r>
    <d v="2026-08-10T09:58:15"/>
    <s v="19010304"/>
    <x v="0"/>
    <x v="0"/>
    <n v="192"/>
    <m/>
    <n v="192"/>
    <s v="20270126000000"/>
    <s v="디캔팅"/>
    <s v="입고"/>
    <s v="작업완료"/>
    <s v="1003"/>
    <x v="5"/>
    <s v="2026-08-10 09:56:44"/>
    <s v="월수금"/>
    <x v="3"/>
  </r>
  <r>
    <d v="2026-08-10T09:57:58"/>
    <s v="19011277"/>
    <x v="0"/>
    <x v="0"/>
    <n v="192"/>
    <m/>
    <n v="192"/>
    <s v="20270126000000"/>
    <s v="디캔팅"/>
    <s v="입고"/>
    <s v="작업완료"/>
    <s v="1003"/>
    <x v="5"/>
    <s v="2026-08-10 09:56:41"/>
    <s v="월수금"/>
    <x v="3"/>
  </r>
  <r>
    <d v="2026-08-10T09:56:37"/>
    <s v="19010562"/>
    <x v="0"/>
    <x v="0"/>
    <n v="192"/>
    <m/>
    <n v="192"/>
    <s v="20270126000000"/>
    <s v="디캔팅"/>
    <s v="입고"/>
    <s v="작업완료"/>
    <s v="1003"/>
    <x v="5"/>
    <s v="2026-08-10 09:54:53"/>
    <s v="월수금"/>
    <x v="3"/>
  </r>
  <r>
    <d v="2026-08-10T09:56:27"/>
    <s v="19001541"/>
    <x v="0"/>
    <x v="0"/>
    <n v="192"/>
    <m/>
    <n v="192"/>
    <s v="20270126000000"/>
    <s v="디캔팅"/>
    <s v="입고"/>
    <s v="작업완료"/>
    <s v="1003"/>
    <x v="5"/>
    <s v="2026-08-10 09:54:50"/>
    <s v="월수금"/>
    <x v="3"/>
  </r>
  <r>
    <d v="2026-08-10T09:55:07"/>
    <s v="19003210"/>
    <x v="0"/>
    <x v="0"/>
    <n v="192"/>
    <m/>
    <n v="192"/>
    <s v="20270126000000"/>
    <s v="디캔팅"/>
    <s v="입고"/>
    <s v="작업완료"/>
    <s v="1003"/>
    <x v="5"/>
    <s v="2026-08-10 09:53:43"/>
    <s v="월수금"/>
    <x v="3"/>
  </r>
  <r>
    <d v="2026-08-10T09:55:03"/>
    <s v="19021415"/>
    <x v="0"/>
    <x v="0"/>
    <n v="192"/>
    <m/>
    <n v="192"/>
    <s v="20270126000000"/>
    <s v="디캔팅"/>
    <s v="입고"/>
    <s v="작업완료"/>
    <s v="1003"/>
    <x v="5"/>
    <s v="2026-08-10 09:53:38"/>
    <s v="월수금"/>
    <x v="3"/>
  </r>
  <r>
    <d v="2026-08-10T09:52:12"/>
    <s v="19020880"/>
    <x v="0"/>
    <x v="0"/>
    <n v="192"/>
    <m/>
    <n v="192"/>
    <s v="20270126000000"/>
    <s v="디캔팅"/>
    <s v="입고"/>
    <s v="작업완료"/>
    <s v="1003"/>
    <x v="5"/>
    <s v="2026-08-10 09:50:29"/>
    <s v="월수금"/>
    <x v="3"/>
  </r>
  <r>
    <d v="2026-08-10T09:52:11"/>
    <s v="19002180"/>
    <x v="0"/>
    <x v="0"/>
    <n v="192"/>
    <m/>
    <n v="192"/>
    <s v="20270126000000"/>
    <s v="디캔팅"/>
    <s v="입고"/>
    <s v="작업완료"/>
    <s v="1003"/>
    <x v="5"/>
    <s v="2026-08-10 09:50:33"/>
    <s v="월수금"/>
    <x v="3"/>
  </r>
  <r>
    <d v="2026-08-10T09:51:12"/>
    <s v="19010312"/>
    <x v="0"/>
    <x v="0"/>
    <n v="192"/>
    <m/>
    <n v="192"/>
    <s v="20270126000000"/>
    <s v="디캔팅"/>
    <s v="입고"/>
    <s v="작업완료"/>
    <s v="1003"/>
    <x v="5"/>
    <s v="2026-08-10 09:49:32"/>
    <s v="월수금"/>
    <x v="3"/>
  </r>
  <r>
    <d v="2026-08-10T09:51:06"/>
    <s v="19014163"/>
    <x v="0"/>
    <x v="0"/>
    <n v="192"/>
    <m/>
    <n v="192"/>
    <s v="20270126000000"/>
    <s v="디캔팅"/>
    <s v="입고"/>
    <s v="작업완료"/>
    <s v="1003"/>
    <x v="5"/>
    <s v="2026-08-10 09:49:28"/>
    <s v="월수금"/>
    <x v="3"/>
  </r>
  <r>
    <d v="2026-08-10T09:48:18"/>
    <s v="19004197"/>
    <x v="0"/>
    <x v="0"/>
    <n v="192"/>
    <m/>
    <n v="192"/>
    <s v="20270126000000"/>
    <s v="디캔팅"/>
    <s v="입고"/>
    <s v="작업완료"/>
    <s v="1003"/>
    <x v="5"/>
    <s v="2026-08-10 09:46:30"/>
    <s v="월수금"/>
    <x v="3"/>
  </r>
  <r>
    <d v="2026-08-10T09:48:06"/>
    <s v="19003576"/>
    <x v="0"/>
    <x v="0"/>
    <n v="192"/>
    <m/>
    <n v="192"/>
    <s v="20270126000000"/>
    <s v="디캔팅"/>
    <s v="입고"/>
    <s v="작업완료"/>
    <s v="1003"/>
    <x v="5"/>
    <s v="2026-08-10 09:46:26"/>
    <s v="월수금"/>
    <x v="3"/>
  </r>
  <r>
    <d v="2026-08-10T09:47:58"/>
    <s v="19011527"/>
    <x v="0"/>
    <x v="0"/>
    <n v="192"/>
    <m/>
    <n v="192"/>
    <s v="20270126000000"/>
    <s v="디캔팅"/>
    <s v="입고"/>
    <s v="작업완료"/>
    <s v="1003"/>
    <x v="5"/>
    <s v="2026-08-10 09:46:22"/>
    <s v="월수금"/>
    <x v="3"/>
  </r>
  <r>
    <d v="2026-08-10T09:43:40"/>
    <s v="19016498"/>
    <x v="0"/>
    <x v="0"/>
    <n v="192"/>
    <m/>
    <n v="192"/>
    <s v="20270126000000"/>
    <s v="디캔팅"/>
    <s v="입고"/>
    <s v="작업완료"/>
    <s v="1003"/>
    <x v="5"/>
    <s v="2026-08-10 09:42:02"/>
    <s v="월수금"/>
    <x v="3"/>
  </r>
  <r>
    <d v="2026-08-10T09:43:34"/>
    <s v="19010190"/>
    <x v="0"/>
    <x v="0"/>
    <n v="192"/>
    <m/>
    <n v="192"/>
    <s v="20270126000000"/>
    <s v="디캔팅"/>
    <s v="입고"/>
    <s v="작업완료"/>
    <s v="1003"/>
    <x v="5"/>
    <s v="2026-08-10 09:42:06"/>
    <s v="월수금"/>
    <x v="3"/>
  </r>
  <r>
    <d v="2026-08-10T09:41:47"/>
    <s v="19002206"/>
    <x v="0"/>
    <x v="0"/>
    <n v="192"/>
    <m/>
    <n v="192"/>
    <s v="20270126000000"/>
    <s v="디캔팅"/>
    <s v="입고"/>
    <s v="작업완료"/>
    <s v="1003"/>
    <x v="5"/>
    <s v="2026-08-10 09:40:13"/>
    <s v="월수금"/>
    <x v="3"/>
  </r>
  <r>
    <d v="2026-08-10T09:41:40"/>
    <s v="19000116"/>
    <x v="0"/>
    <x v="0"/>
    <n v="192"/>
    <m/>
    <n v="192"/>
    <s v="20270126000000"/>
    <s v="디캔팅"/>
    <s v="입고"/>
    <s v="작업완료"/>
    <s v="1003"/>
    <x v="5"/>
    <s v="2026-08-10 09:40:10"/>
    <s v="월수금"/>
    <x v="3"/>
  </r>
  <r>
    <d v="2026-08-10T09:40:10"/>
    <s v="19011227"/>
    <x v="0"/>
    <x v="0"/>
    <n v="192"/>
    <m/>
    <n v="192"/>
    <s v="20270126000000"/>
    <s v="디캔팅"/>
    <s v="입고"/>
    <s v="작업완료"/>
    <s v="1003"/>
    <x v="5"/>
    <s v="2026-08-10 09:38:22"/>
    <s v="월수금"/>
    <x v="3"/>
  </r>
  <r>
    <d v="2026-08-10T09:40:05"/>
    <s v="19005136"/>
    <x v="0"/>
    <x v="0"/>
    <n v="192"/>
    <m/>
    <n v="192"/>
    <s v="20270126000000"/>
    <s v="디캔팅"/>
    <s v="입고"/>
    <s v="작업완료"/>
    <s v="1003"/>
    <x v="5"/>
    <s v="2026-08-10 09:38:28"/>
    <s v="월수금"/>
    <x v="3"/>
  </r>
  <r>
    <d v="2026-08-10T09:38:18"/>
    <s v="19028805"/>
    <x v="0"/>
    <x v="0"/>
    <n v="192"/>
    <m/>
    <n v="192"/>
    <s v="20270126000000"/>
    <s v="디캔팅"/>
    <s v="입고"/>
    <s v="작업완료"/>
    <s v="1003"/>
    <x v="5"/>
    <s v="2026-08-10 09:36:28"/>
    <s v="월수금"/>
    <x v="3"/>
  </r>
  <r>
    <d v="2026-08-10T09:38:13"/>
    <s v="19000956"/>
    <x v="0"/>
    <x v="0"/>
    <n v="192"/>
    <m/>
    <n v="192"/>
    <s v="20270126000000"/>
    <s v="디캔팅"/>
    <s v="입고"/>
    <s v="작업완료"/>
    <s v="1003"/>
    <x v="5"/>
    <s v="2026-08-10 09:36:24"/>
    <s v="월수금"/>
    <x v="3"/>
  </r>
  <r>
    <d v="2026-08-10T09:37:10"/>
    <s v="19006844"/>
    <x v="0"/>
    <x v="0"/>
    <n v="192"/>
    <m/>
    <n v="192"/>
    <s v="20270126000000"/>
    <s v="디캔팅"/>
    <s v="입고"/>
    <s v="작업완료"/>
    <s v="1003"/>
    <x v="5"/>
    <s v="2026-08-10 09:35:18"/>
    <s v="월수금"/>
    <x v="3"/>
  </r>
  <r>
    <d v="2026-08-10T09:36:37"/>
    <s v="19004024"/>
    <x v="0"/>
    <x v="0"/>
    <n v="192"/>
    <m/>
    <n v="192"/>
    <s v="20270126000000"/>
    <s v="디캔팅"/>
    <s v="입고"/>
    <s v="작업완료"/>
    <s v="1003"/>
    <x v="5"/>
    <s v="2026-08-10 09:35:21"/>
    <s v="월수금"/>
    <x v="3"/>
  </r>
  <r>
    <d v="2026-08-10T09:35:23"/>
    <s v="19000155"/>
    <x v="0"/>
    <x v="0"/>
    <n v="192"/>
    <m/>
    <n v="192"/>
    <s v="20270126000000"/>
    <s v="디캔팅"/>
    <s v="입고"/>
    <s v="작업완료"/>
    <s v="1003"/>
    <x v="5"/>
    <s v="2026-08-10 09:33:37"/>
    <s v="월수금"/>
    <x v="3"/>
  </r>
  <r>
    <d v="2026-08-10T09:35:06"/>
    <s v="19012200"/>
    <x v="0"/>
    <x v="0"/>
    <n v="192"/>
    <m/>
    <n v="192"/>
    <s v="20270126000000"/>
    <s v="디캔팅"/>
    <s v="입고"/>
    <s v="작업완료"/>
    <s v="1003"/>
    <x v="5"/>
    <s v="2026-08-10 09:33:41"/>
    <s v="월수금"/>
    <x v="3"/>
  </r>
  <r>
    <d v="2026-08-11T02:07:30"/>
    <s v="19016721"/>
    <x v="1"/>
    <x v="1"/>
    <n v="12"/>
    <n v="0"/>
    <n v="12"/>
    <s v="20270330150000"/>
    <s v="디캔팅"/>
    <s v="입고"/>
    <s v="작업완료"/>
    <s v="1005"/>
    <x v="2"/>
    <s v="2026-08-10 14:07:49"/>
    <s v="월수금"/>
    <x v="3"/>
  </r>
  <r>
    <d v="2026-08-10T14:11:08"/>
    <s v="19017965"/>
    <x v="1"/>
    <x v="1"/>
    <n v="12"/>
    <m/>
    <n v="12"/>
    <s v="20270330150000"/>
    <s v="디캔팅"/>
    <s v="입고"/>
    <s v="작업완료"/>
    <s v="1005"/>
    <x v="2"/>
    <s v="2026-08-10 14:09:10"/>
    <s v="월수금"/>
    <x v="3"/>
  </r>
  <r>
    <d v="2026-08-10T14:09:48"/>
    <s v="19005324"/>
    <x v="1"/>
    <x v="1"/>
    <n v="12"/>
    <m/>
    <n v="12"/>
    <s v="20270330150000"/>
    <s v="디캔팅"/>
    <s v="입고"/>
    <s v="작업완료"/>
    <s v="1005"/>
    <x v="2"/>
    <s v="2026-08-10 14:07:55"/>
    <s v="월수금"/>
    <x v="3"/>
  </r>
  <r>
    <d v="2026-08-10T14:06:55"/>
    <s v="19007931"/>
    <x v="1"/>
    <x v="1"/>
    <n v="12"/>
    <m/>
    <n v="12"/>
    <s v="20270330150000"/>
    <s v="디캔팅"/>
    <s v="입고"/>
    <s v="작업완료"/>
    <s v="1005"/>
    <x v="2"/>
    <s v="2026-08-10 14:05:14"/>
    <s v="월수금"/>
    <x v="3"/>
  </r>
  <r>
    <d v="2026-08-10T14:06:46"/>
    <s v="19018907"/>
    <x v="1"/>
    <x v="1"/>
    <n v="12"/>
    <m/>
    <n v="12"/>
    <s v="20270330150000"/>
    <s v="디캔팅"/>
    <s v="입고"/>
    <s v="작업완료"/>
    <s v="1005"/>
    <x v="2"/>
    <s v="2026-08-10 14:05:09"/>
    <s v="월수금"/>
    <x v="3"/>
  </r>
  <r>
    <d v="2026-08-10T14:04:15"/>
    <s v="19009457"/>
    <x v="1"/>
    <x v="1"/>
    <n v="12"/>
    <m/>
    <n v="12"/>
    <s v="20270330150000"/>
    <s v="디캔팅"/>
    <s v="입고"/>
    <s v="작업완료"/>
    <s v="1005"/>
    <x v="2"/>
    <s v="2026-08-10 14:02:10"/>
    <s v="월수금"/>
    <x v="3"/>
  </r>
  <r>
    <d v="2026-08-10T14:03:59"/>
    <s v="19007224"/>
    <x v="1"/>
    <x v="1"/>
    <n v="12"/>
    <m/>
    <n v="12"/>
    <s v="20270330150000"/>
    <s v="디캔팅"/>
    <s v="입고"/>
    <s v="작업완료"/>
    <s v="1005"/>
    <x v="2"/>
    <s v="2026-08-10 14:02:15"/>
    <s v="월수금"/>
    <x v="3"/>
  </r>
  <r>
    <d v="2026-08-10T14:02:13"/>
    <s v="19013975"/>
    <x v="1"/>
    <x v="1"/>
    <n v="12"/>
    <m/>
    <n v="12"/>
    <s v="20270330150000"/>
    <s v="디캔팅"/>
    <s v="입고"/>
    <s v="작업완료"/>
    <s v="1005"/>
    <x v="2"/>
    <s v="2026-08-10 14:00:22"/>
    <s v="월수금"/>
    <x v="3"/>
  </r>
  <r>
    <d v="2026-08-10T13:59:17"/>
    <s v="19002562"/>
    <x v="1"/>
    <x v="1"/>
    <n v="12"/>
    <m/>
    <n v="12"/>
    <s v="20270330150000"/>
    <s v="디캔팅"/>
    <s v="입고"/>
    <s v="작업완료"/>
    <s v="1005"/>
    <x v="2"/>
    <s v="2026-08-10 13:56:58"/>
    <s v="월수금"/>
    <x v="3"/>
  </r>
  <r>
    <d v="2026-08-10T13:58:34"/>
    <s v="19005712"/>
    <x v="1"/>
    <x v="1"/>
    <n v="12"/>
    <m/>
    <n v="12"/>
    <s v="20270330150000"/>
    <s v="디캔팅"/>
    <s v="입고"/>
    <s v="작업완료"/>
    <s v="1005"/>
    <x v="2"/>
    <s v="2026-08-10 13:55:02"/>
    <s v="월수금"/>
    <x v="3"/>
  </r>
  <r>
    <d v="2026-08-10T13:55:01"/>
    <s v="19010213"/>
    <x v="1"/>
    <x v="1"/>
    <n v="12"/>
    <m/>
    <n v="12"/>
    <s v="20270330150000"/>
    <s v="디캔팅"/>
    <s v="입고"/>
    <s v="작업완료"/>
    <s v="1005"/>
    <x v="2"/>
    <s v="2026-08-10 13:53:12"/>
    <s v="월수금"/>
    <x v="3"/>
  </r>
  <r>
    <d v="2026-08-10T13:54:31"/>
    <s v="19022117"/>
    <x v="1"/>
    <x v="1"/>
    <n v="12"/>
    <m/>
    <n v="12"/>
    <s v="20270330150000"/>
    <s v="디캔팅"/>
    <s v="입고"/>
    <s v="작업완료"/>
    <s v="1005"/>
    <x v="2"/>
    <s v="2026-08-10 13:53:04"/>
    <s v="월수금"/>
    <x v="3"/>
  </r>
  <r>
    <d v="2026-08-10T13:52:47"/>
    <s v="19022211"/>
    <x v="1"/>
    <x v="1"/>
    <n v="12"/>
    <m/>
    <n v="12"/>
    <s v="20270330150000"/>
    <s v="디캔팅"/>
    <s v="입고"/>
    <s v="작업완료"/>
    <s v="1005"/>
    <x v="2"/>
    <s v="2026-08-10 13:51:07"/>
    <s v="월수금"/>
    <x v="3"/>
  </r>
  <r>
    <d v="2026-08-10T13:51:23"/>
    <s v="19021870"/>
    <x v="1"/>
    <x v="1"/>
    <n v="12"/>
    <m/>
    <n v="12"/>
    <s v="20270330150000"/>
    <s v="디캔팅"/>
    <s v="입고"/>
    <s v="작업완료"/>
    <s v="1005"/>
    <x v="2"/>
    <s v="2026-08-10 13:50:05"/>
    <s v="월수금"/>
    <x v="3"/>
  </r>
  <r>
    <d v="2026-08-10T13:50:39"/>
    <s v="19005104"/>
    <x v="1"/>
    <x v="1"/>
    <n v="12"/>
    <m/>
    <n v="12"/>
    <s v="20270330150000"/>
    <s v="디캔팅"/>
    <s v="입고"/>
    <s v="작업완료"/>
    <s v="1005"/>
    <x v="2"/>
    <s v="2026-08-10 13:49:02"/>
    <s v="월수금"/>
    <x v="3"/>
  </r>
  <r>
    <d v="2026-08-10T13:49:29"/>
    <s v="19007294"/>
    <x v="1"/>
    <x v="1"/>
    <n v="12"/>
    <m/>
    <n v="12"/>
    <s v="20270330150000"/>
    <s v="디캔팅"/>
    <s v="입고"/>
    <s v="작업완료"/>
    <s v="1005"/>
    <x v="2"/>
    <s v="2026-08-10 13:48:04"/>
    <s v="월수금"/>
    <x v="3"/>
  </r>
  <r>
    <d v="2026-08-10T13:46:55"/>
    <s v="19022110"/>
    <x v="1"/>
    <x v="1"/>
    <n v="12"/>
    <m/>
    <n v="12"/>
    <s v="20270330150000"/>
    <s v="디캔팅"/>
    <s v="입고"/>
    <s v="작업완료"/>
    <s v="1005"/>
    <x v="2"/>
    <s v="2026-08-10 13:45:12"/>
    <s v="월수금"/>
    <x v="3"/>
  </r>
  <r>
    <d v="2026-08-10T13:45:46"/>
    <s v="19020313"/>
    <x v="1"/>
    <x v="1"/>
    <n v="12"/>
    <m/>
    <n v="12"/>
    <s v="20270330150000"/>
    <s v="디캔팅"/>
    <s v="입고"/>
    <s v="작업완료"/>
    <s v="1005"/>
    <x v="2"/>
    <s v="2026-08-10 13:44:19"/>
    <s v="월수금"/>
    <x v="3"/>
  </r>
  <r>
    <d v="2026-08-10T13:45:04"/>
    <s v="19004072"/>
    <x v="1"/>
    <x v="1"/>
    <n v="12"/>
    <m/>
    <n v="12"/>
    <s v="20270330150000"/>
    <s v="디캔팅"/>
    <s v="입고"/>
    <s v="작업완료"/>
    <s v="1005"/>
    <x v="2"/>
    <s v="2026-08-10 13:43:19"/>
    <s v="월수금"/>
    <x v="3"/>
  </r>
  <r>
    <d v="2026-08-10T13:43:26"/>
    <s v="19017140"/>
    <x v="1"/>
    <x v="1"/>
    <n v="12"/>
    <m/>
    <n v="12"/>
    <s v="20270330150000"/>
    <s v="디캔팅"/>
    <s v="입고"/>
    <s v="작업완료"/>
    <s v="1005"/>
    <x v="2"/>
    <s v="2026-08-10 13:41:58"/>
    <s v="월수금"/>
    <x v="3"/>
  </r>
  <r>
    <d v="2026-08-10T13:42:57"/>
    <s v="19004381"/>
    <x v="1"/>
    <x v="1"/>
    <n v="12"/>
    <m/>
    <n v="12"/>
    <s v="20270330150000"/>
    <s v="디캔팅"/>
    <s v="입고"/>
    <s v="작업완료"/>
    <s v="1005"/>
    <x v="2"/>
    <s v="2026-08-10 13:41:03"/>
    <s v="월수금"/>
    <x v="3"/>
  </r>
  <r>
    <d v="2026-08-10T13:42:06"/>
    <s v="19016946"/>
    <x v="1"/>
    <x v="1"/>
    <n v="12"/>
    <m/>
    <n v="12"/>
    <s v="20270330150000"/>
    <s v="디캔팅"/>
    <s v="입고"/>
    <s v="작업완료"/>
    <s v="1005"/>
    <x v="2"/>
    <s v="2026-08-10 13:40:08"/>
    <s v="월수금"/>
    <x v="3"/>
  </r>
  <r>
    <d v="2026-08-10T13:38:47"/>
    <s v="19016414"/>
    <x v="1"/>
    <x v="1"/>
    <n v="12"/>
    <m/>
    <n v="12"/>
    <s v="20270330150000"/>
    <s v="디캔팅"/>
    <s v="입고"/>
    <s v="작업완료"/>
    <s v="1005"/>
    <x v="2"/>
    <s v="2026-08-10 13:36:45"/>
    <s v="월수금"/>
    <x v="3"/>
  </r>
  <r>
    <d v="2026-08-10T13:37:16"/>
    <s v="19002431"/>
    <x v="1"/>
    <x v="1"/>
    <n v="12"/>
    <m/>
    <n v="12"/>
    <s v="20270330150000"/>
    <s v="디캔팅"/>
    <s v="입고"/>
    <s v="작업완료"/>
    <s v="1005"/>
    <x v="2"/>
    <s v="2026-08-10 13:35:32"/>
    <s v="월수금"/>
    <x v="3"/>
  </r>
  <r>
    <d v="2026-08-10T13:36:26"/>
    <s v="19001226"/>
    <x v="1"/>
    <x v="1"/>
    <n v="12"/>
    <m/>
    <n v="12"/>
    <s v="20270330150000"/>
    <s v="디캔팅"/>
    <s v="입고"/>
    <s v="작업완료"/>
    <s v="1005"/>
    <x v="2"/>
    <s v="2026-08-10 13:34:39"/>
    <s v="월수금"/>
    <x v="3"/>
  </r>
  <r>
    <d v="2026-08-10T13:34:20"/>
    <s v="19030133"/>
    <x v="1"/>
    <x v="1"/>
    <n v="12"/>
    <m/>
    <n v="12"/>
    <s v="20270330150000"/>
    <s v="디캔팅"/>
    <s v="입고"/>
    <s v="작업완료"/>
    <s v="1005"/>
    <x v="2"/>
    <s v="2026-08-10 13:32:42"/>
    <s v="월수금"/>
    <x v="3"/>
  </r>
  <r>
    <d v="2026-08-10T13:33:31"/>
    <s v="19027090"/>
    <x v="1"/>
    <x v="1"/>
    <n v="12"/>
    <m/>
    <n v="12"/>
    <s v="20270330150000"/>
    <s v="디캔팅"/>
    <s v="입고"/>
    <s v="작업완료"/>
    <s v="1005"/>
    <x v="2"/>
    <s v="2026-08-10 13:31:35"/>
    <s v="월수금"/>
    <x v="3"/>
  </r>
  <r>
    <d v="2026-08-10T13:31:19"/>
    <s v="19014152"/>
    <x v="1"/>
    <x v="1"/>
    <n v="12"/>
    <m/>
    <n v="12"/>
    <s v="20270330150000"/>
    <s v="디캔팅"/>
    <s v="입고"/>
    <s v="작업완료"/>
    <s v="1005"/>
    <x v="2"/>
    <s v="2026-08-10 13:29:44"/>
    <s v="월수금"/>
    <x v="3"/>
  </r>
  <r>
    <d v="2026-08-10T13:30:41"/>
    <s v="19009927"/>
    <x v="1"/>
    <x v="1"/>
    <n v="12"/>
    <m/>
    <n v="12"/>
    <s v="20270330150000"/>
    <s v="디캔팅"/>
    <s v="입고"/>
    <s v="작업완료"/>
    <s v="1005"/>
    <x v="2"/>
    <s v="2026-08-10 13:28:46"/>
    <s v="월수금"/>
    <x v="3"/>
  </r>
  <r>
    <d v="2026-08-10T13:28:47"/>
    <s v="19002749"/>
    <x v="1"/>
    <x v="1"/>
    <n v="12"/>
    <m/>
    <n v="12"/>
    <s v="20270330150000"/>
    <s v="디캔팅"/>
    <s v="입고"/>
    <s v="작업완료"/>
    <s v="1005"/>
    <x v="2"/>
    <s v="2026-08-10 13:27:11"/>
    <s v="월수금"/>
    <x v="3"/>
  </r>
  <r>
    <d v="2026-08-10T13:28:22"/>
    <s v="19009263"/>
    <x v="1"/>
    <x v="1"/>
    <n v="12"/>
    <m/>
    <n v="12"/>
    <s v="20270330150000"/>
    <s v="디캔팅"/>
    <s v="입고"/>
    <s v="작업완료"/>
    <s v="1005"/>
    <x v="2"/>
    <s v="2026-08-10 13:26:28"/>
    <s v="월수금"/>
    <x v="3"/>
  </r>
  <r>
    <d v="2026-08-10T13:26:35"/>
    <s v="19001460"/>
    <x v="1"/>
    <x v="1"/>
    <n v="12"/>
    <m/>
    <n v="12"/>
    <s v="20270330150000"/>
    <s v="디캔팅"/>
    <s v="입고"/>
    <s v="작업완료"/>
    <s v="1005"/>
    <x v="2"/>
    <s v="2026-08-10 13:24:51"/>
    <s v="월수금"/>
    <x v="3"/>
  </r>
  <r>
    <d v="2026-08-10T13:24:38"/>
    <s v="19008797"/>
    <x v="1"/>
    <x v="1"/>
    <n v="12"/>
    <m/>
    <n v="12"/>
    <s v="20270330150000"/>
    <s v="디캔팅"/>
    <s v="입고"/>
    <s v="작업완료"/>
    <s v="1005"/>
    <x v="2"/>
    <s v="2026-08-10 13:22:48"/>
    <s v="월수금"/>
    <x v="3"/>
  </r>
  <r>
    <d v="2026-08-10T13:23:20"/>
    <s v="19012171"/>
    <x v="1"/>
    <x v="1"/>
    <n v="12"/>
    <m/>
    <n v="12"/>
    <s v="20270330150000"/>
    <s v="디캔팅"/>
    <s v="입고"/>
    <s v="작업완료"/>
    <s v="1005"/>
    <x v="2"/>
    <s v="2026-08-10 13:21:42"/>
    <s v="월수금"/>
    <x v="3"/>
  </r>
  <r>
    <d v="2026-08-10T13:21:54"/>
    <s v="19001655"/>
    <x v="1"/>
    <x v="1"/>
    <n v="12"/>
    <m/>
    <n v="12"/>
    <s v="20270330150000"/>
    <s v="디캔팅"/>
    <s v="입고"/>
    <s v="작업완료"/>
    <s v="1005"/>
    <x v="2"/>
    <s v="2026-08-10 13:20:03"/>
    <s v="월수금"/>
    <x v="3"/>
  </r>
  <r>
    <d v="2026-08-10T13:19:43"/>
    <s v="19002901"/>
    <x v="1"/>
    <x v="1"/>
    <n v="12"/>
    <m/>
    <n v="12"/>
    <s v="20270330150000"/>
    <s v="디캔팅"/>
    <s v="입고"/>
    <s v="작업완료"/>
    <s v="1005"/>
    <x v="2"/>
    <s v="2026-08-10 13:18:12"/>
    <s v="월수금"/>
    <x v="3"/>
  </r>
  <r>
    <d v="2026-08-10T13:19:16"/>
    <s v="19014906"/>
    <x v="1"/>
    <x v="1"/>
    <n v="12"/>
    <m/>
    <n v="12"/>
    <s v="20270330150000"/>
    <s v="디캔팅"/>
    <s v="입고"/>
    <s v="작업완료"/>
    <s v="1005"/>
    <x v="2"/>
    <s v="2026-08-10 13:17:04"/>
    <s v="월수금"/>
    <x v="3"/>
  </r>
  <r>
    <d v="2026-08-10T13:17:32"/>
    <s v="19002057"/>
    <x v="1"/>
    <x v="1"/>
    <n v="12"/>
    <m/>
    <n v="12"/>
    <s v="20270330150000"/>
    <s v="디캔팅"/>
    <s v="입고"/>
    <s v="작업완료"/>
    <s v="1005"/>
    <x v="2"/>
    <s v="2026-08-10 13:15:48"/>
    <s v="월수금"/>
    <x v="3"/>
  </r>
  <r>
    <d v="2026-08-10T13:15:54"/>
    <s v="19014951"/>
    <x v="1"/>
    <x v="1"/>
    <n v="12"/>
    <m/>
    <n v="12"/>
    <s v="20270330150000"/>
    <s v="디캔팅"/>
    <s v="입고"/>
    <s v="작업완료"/>
    <s v="1005"/>
    <x v="2"/>
    <s v="2026-08-10 13:14:03"/>
    <s v="월수금"/>
    <x v="3"/>
  </r>
  <r>
    <d v="2026-08-10T13:14:03"/>
    <s v="19000397"/>
    <x v="1"/>
    <x v="1"/>
    <n v="12"/>
    <m/>
    <n v="12"/>
    <s v="20270330150000"/>
    <s v="디캔팅"/>
    <s v="입고"/>
    <s v="작업완료"/>
    <s v="1005"/>
    <x v="2"/>
    <s v="2026-08-10 13:12:23"/>
    <s v="월수금"/>
    <x v="3"/>
  </r>
  <r>
    <d v="2026-08-15T16:25:40"/>
    <s v="19013298"/>
    <x v="2"/>
    <x v="2"/>
    <n v="14"/>
    <m/>
    <n v="14"/>
    <s v="20271207150000"/>
    <s v="디캔팅"/>
    <s v="입고"/>
    <s v="작업완료"/>
    <s v="1006"/>
    <x v="6"/>
    <s v="2026-08-15 16:16:42"/>
    <s v="월수금"/>
    <x v="0"/>
  </r>
  <r>
    <d v="2026-08-15T16:18:41"/>
    <s v="19004598"/>
    <x v="2"/>
    <x v="2"/>
    <n v="12"/>
    <m/>
    <n v="12"/>
    <s v="20271207150000"/>
    <s v="디캔팅"/>
    <s v="입고"/>
    <s v="작업완료"/>
    <s v="1006"/>
    <x v="6"/>
    <s v="2026-08-15 16:16:47"/>
    <s v="월수금"/>
    <x v="0"/>
  </r>
  <r>
    <d v="2026-08-15T16:18:23"/>
    <s v="19012468"/>
    <x v="2"/>
    <x v="2"/>
    <n v="14"/>
    <m/>
    <n v="14"/>
    <s v="20271207150000"/>
    <s v="디캔팅"/>
    <s v="입고"/>
    <s v="작업완료"/>
    <s v="1006"/>
    <x v="6"/>
    <s v="2026-08-15 16:16:39"/>
    <s v="월수금"/>
    <x v="0"/>
  </r>
  <r>
    <d v="2026-08-15T16:17:19"/>
    <s v="19001880"/>
    <x v="2"/>
    <x v="2"/>
    <n v="14"/>
    <m/>
    <n v="14"/>
    <s v="20271207150000"/>
    <s v="디캔팅"/>
    <s v="입고"/>
    <s v="작업완료"/>
    <s v="1006"/>
    <x v="6"/>
    <s v="2026-08-15 16:15:19"/>
    <s v="월수금"/>
    <x v="0"/>
  </r>
  <r>
    <d v="2026-08-15T16:17:14"/>
    <s v="19009934"/>
    <x v="2"/>
    <x v="2"/>
    <n v="14"/>
    <m/>
    <n v="14"/>
    <s v="20271207150000"/>
    <s v="디캔팅"/>
    <s v="입고"/>
    <s v="작업완료"/>
    <s v="1006"/>
    <x v="6"/>
    <s v="2026-08-15 16:15:22"/>
    <s v="월수금"/>
    <x v="0"/>
  </r>
  <r>
    <d v="2026-08-15T16:16:26"/>
    <s v="19007212"/>
    <x v="2"/>
    <x v="2"/>
    <n v="14"/>
    <m/>
    <n v="14"/>
    <s v="20271207150000"/>
    <s v="디캔팅"/>
    <s v="입고"/>
    <s v="작업완료"/>
    <s v="1006"/>
    <x v="6"/>
    <s v="2026-08-15 16:14:09"/>
    <s v="월수금"/>
    <x v="0"/>
  </r>
  <r>
    <d v="2026-08-15T16:15:46"/>
    <s v="19016595"/>
    <x v="2"/>
    <x v="2"/>
    <n v="14"/>
    <m/>
    <n v="14"/>
    <s v="20271207150000"/>
    <s v="디캔팅"/>
    <s v="입고"/>
    <s v="작업완료"/>
    <s v="1006"/>
    <x v="6"/>
    <s v="2026-08-15 16:14:06"/>
    <s v="월수금"/>
    <x v="0"/>
  </r>
  <r>
    <d v="2026-08-15T16:14:31"/>
    <s v="19009317"/>
    <x v="2"/>
    <x v="2"/>
    <n v="14"/>
    <m/>
    <n v="14"/>
    <s v="20271207150000"/>
    <s v="디캔팅"/>
    <s v="입고"/>
    <s v="작업완료"/>
    <s v="1006"/>
    <x v="6"/>
    <s v="2026-08-15 16:12:34"/>
    <s v="월수금"/>
    <x v="0"/>
  </r>
  <r>
    <d v="2026-08-15T16:14:25"/>
    <s v="19004491"/>
    <x v="2"/>
    <x v="2"/>
    <n v="14"/>
    <m/>
    <n v="14"/>
    <s v="20271207150000"/>
    <s v="디캔팅"/>
    <s v="입고"/>
    <s v="작업완료"/>
    <s v="1006"/>
    <x v="6"/>
    <s v="2026-08-15 16:12:39"/>
    <s v="월수금"/>
    <x v="0"/>
  </r>
  <r>
    <d v="2026-08-15T16:13:01"/>
    <s v="19001719"/>
    <x v="2"/>
    <x v="2"/>
    <n v="14"/>
    <m/>
    <n v="14"/>
    <s v="20271207150000"/>
    <s v="디캔팅"/>
    <s v="입고"/>
    <s v="작업완료"/>
    <s v="1006"/>
    <x v="6"/>
    <s v="2026-08-15 16:11:23"/>
    <s v="월수금"/>
    <x v="0"/>
  </r>
  <r>
    <d v="2026-08-15T16:12:47"/>
    <s v="19002373"/>
    <x v="2"/>
    <x v="2"/>
    <n v="14"/>
    <m/>
    <n v="14"/>
    <s v="20271207150000"/>
    <s v="디캔팅"/>
    <s v="입고"/>
    <s v="작업완료"/>
    <s v="1006"/>
    <x v="6"/>
    <s v="2026-08-15 16:11:20"/>
    <s v="월수금"/>
    <x v="0"/>
  </r>
  <r>
    <d v="2026-08-15T16:11:52"/>
    <s v="19002235"/>
    <x v="2"/>
    <x v="2"/>
    <n v="14"/>
    <m/>
    <n v="14"/>
    <s v="20271207150000"/>
    <s v="디캔팅"/>
    <s v="입고"/>
    <s v="작업완료"/>
    <s v="1006"/>
    <x v="6"/>
    <s v="2026-08-15 16:10:02"/>
    <s v="월수금"/>
    <x v="0"/>
  </r>
  <r>
    <d v="2026-08-15T16:11:33"/>
    <s v="19011377"/>
    <x v="2"/>
    <x v="2"/>
    <n v="14"/>
    <m/>
    <n v="14"/>
    <s v="20271207150000"/>
    <s v="디캔팅"/>
    <s v="입고"/>
    <s v="작업완료"/>
    <s v="1006"/>
    <x v="6"/>
    <s v="2026-08-15 16:10:05"/>
    <s v="월수금"/>
    <x v="0"/>
  </r>
  <r>
    <d v="2026-08-15T16:10:11"/>
    <s v="19019351"/>
    <x v="2"/>
    <x v="2"/>
    <n v="14"/>
    <m/>
    <n v="14"/>
    <s v="20271207150000"/>
    <s v="디캔팅"/>
    <s v="입고"/>
    <s v="작업완료"/>
    <s v="1006"/>
    <x v="6"/>
    <s v="2026-08-15 16:08:21"/>
    <s v="월수금"/>
    <x v="0"/>
  </r>
  <r>
    <d v="2026-08-15T16:10:05"/>
    <s v="19002103"/>
    <x v="2"/>
    <x v="2"/>
    <n v="14"/>
    <m/>
    <n v="14"/>
    <s v="20271207150000"/>
    <s v="디캔팅"/>
    <s v="입고"/>
    <s v="작업완료"/>
    <s v="1006"/>
    <x v="6"/>
    <s v="2026-08-15 16:08:24"/>
    <s v="월수금"/>
    <x v="0"/>
  </r>
  <r>
    <d v="2026-08-15T16:09:00"/>
    <s v="19000888"/>
    <x v="2"/>
    <x v="2"/>
    <n v="14"/>
    <m/>
    <n v="14"/>
    <s v="20271207150000"/>
    <s v="디캔팅"/>
    <s v="입고"/>
    <s v="작업완료"/>
    <s v="1006"/>
    <x v="6"/>
    <s v="2026-08-15 16:06:28"/>
    <s v="월수금"/>
    <x v="0"/>
  </r>
  <r>
    <d v="2026-08-15T16:08:17"/>
    <s v="19002223"/>
    <x v="2"/>
    <x v="2"/>
    <n v="14"/>
    <m/>
    <n v="14"/>
    <s v="20271207150000"/>
    <s v="디캔팅"/>
    <s v="입고"/>
    <s v="작업완료"/>
    <s v="1006"/>
    <x v="6"/>
    <s v="2026-08-15 16:06:24"/>
    <s v="월수금"/>
    <x v="0"/>
  </r>
  <r>
    <d v="2026-08-15T16:08:15"/>
    <s v="19025236"/>
    <x v="2"/>
    <x v="2"/>
    <n v="14"/>
    <m/>
    <n v="14"/>
    <s v="20271207150000"/>
    <s v="디캔팅"/>
    <s v="입고"/>
    <s v="작업완료"/>
    <s v="1006"/>
    <x v="6"/>
    <s v="2026-08-15 16:06:21"/>
    <s v="월수금"/>
    <x v="0"/>
  </r>
  <r>
    <d v="2026-08-15T16:07:19"/>
    <s v="19002328"/>
    <x v="2"/>
    <x v="2"/>
    <n v="13"/>
    <m/>
    <n v="13"/>
    <s v="20271207150000"/>
    <s v="디캔팅"/>
    <s v="입고"/>
    <s v="작업완료"/>
    <s v="1006"/>
    <x v="6"/>
    <s v="2026-08-15 16:04:47"/>
    <s v="월수금"/>
    <x v="0"/>
  </r>
  <r>
    <d v="2026-08-15T16:04:13"/>
    <s v="19000798"/>
    <x v="2"/>
    <x v="2"/>
    <n v="14"/>
    <m/>
    <n v="14"/>
    <s v="20271207150000"/>
    <s v="디캔팅"/>
    <s v="입고"/>
    <s v="작업완료"/>
    <s v="1006"/>
    <x v="6"/>
    <s v="2026-08-15 16:02:28"/>
    <s v="월수금"/>
    <x v="0"/>
  </r>
  <r>
    <d v="2026-08-15T16:04:12"/>
    <s v="19002754"/>
    <x v="2"/>
    <x v="2"/>
    <n v="14"/>
    <m/>
    <n v="14"/>
    <s v="20271207150000"/>
    <s v="디캔팅"/>
    <s v="입고"/>
    <s v="작업완료"/>
    <s v="1006"/>
    <x v="6"/>
    <s v="2026-08-15 16:02:31"/>
    <s v="월수금"/>
    <x v="0"/>
  </r>
  <r>
    <d v="2026-08-15T16:03:11"/>
    <s v="19003682"/>
    <x v="2"/>
    <x v="2"/>
    <n v="14"/>
    <m/>
    <n v="14"/>
    <s v="20271207150000"/>
    <s v="디캔팅"/>
    <s v="입고"/>
    <s v="작업완료"/>
    <s v="1006"/>
    <x v="6"/>
    <s v="2026-08-15 16:01:02"/>
    <s v="월수금"/>
    <x v="0"/>
  </r>
  <r>
    <d v="2026-08-15T16:02:59"/>
    <s v="19001824"/>
    <x v="2"/>
    <x v="2"/>
    <n v="14"/>
    <m/>
    <n v="14"/>
    <s v="20271207150000"/>
    <s v="디캔팅"/>
    <s v="입고"/>
    <s v="작업완료"/>
    <s v="1006"/>
    <x v="6"/>
    <s v="2026-08-15 16:01:05"/>
    <s v="월수금"/>
    <x v="0"/>
  </r>
  <r>
    <d v="2026-08-14T15:47:31"/>
    <s v="19006563"/>
    <x v="2"/>
    <x v="2"/>
    <n v="12"/>
    <m/>
    <n v="12"/>
    <s v="20271207150000"/>
    <s v="디캔팅"/>
    <s v="입고"/>
    <s v="작업완료"/>
    <s v="1013"/>
    <x v="1"/>
    <s v="2026-08-14 15:42:40"/>
    <s v="월수금"/>
    <x v="1"/>
  </r>
  <r>
    <d v="2026-08-14T15:46:59"/>
    <s v="19001130"/>
    <x v="2"/>
    <x v="2"/>
    <n v="14"/>
    <m/>
    <n v="14"/>
    <s v="20271207150000"/>
    <s v="디캔팅"/>
    <s v="입고"/>
    <s v="작업완료"/>
    <s v="1013"/>
    <x v="1"/>
    <s v="2026-08-14 15:41:04"/>
    <s v="월수금"/>
    <x v="1"/>
  </r>
  <r>
    <d v="2026-08-14T15:46:46"/>
    <s v="19006541"/>
    <x v="2"/>
    <x v="2"/>
    <n v="14"/>
    <m/>
    <n v="14"/>
    <s v="20271207150000"/>
    <s v="디캔팅"/>
    <s v="입고"/>
    <s v="작업완료"/>
    <s v="1013"/>
    <x v="1"/>
    <s v="2026-08-14 15:40:59"/>
    <s v="월수금"/>
    <x v="1"/>
  </r>
  <r>
    <d v="2026-08-14T15:44:52"/>
    <s v="19014293"/>
    <x v="2"/>
    <x v="2"/>
    <n v="14"/>
    <m/>
    <n v="14"/>
    <s v="20271207150000"/>
    <s v="디캔팅"/>
    <s v="입고"/>
    <s v="작업완료"/>
    <s v="1013"/>
    <x v="1"/>
    <s v="2026-08-14 15:38:42"/>
    <s v="월수금"/>
    <x v="1"/>
  </r>
  <r>
    <d v="2026-08-14T15:41:15"/>
    <s v="19024191"/>
    <x v="2"/>
    <x v="2"/>
    <n v="14"/>
    <m/>
    <n v="14"/>
    <s v="20271207150000"/>
    <s v="디캔팅"/>
    <s v="입고"/>
    <s v="작업완료"/>
    <s v="1013"/>
    <x v="1"/>
    <s v="2026-08-14 15:38:37"/>
    <s v="월수금"/>
    <x v="1"/>
  </r>
  <r>
    <d v="2026-08-14T15:39:31"/>
    <s v="19002103"/>
    <x v="2"/>
    <x v="2"/>
    <n v="14"/>
    <m/>
    <n v="14"/>
    <s v="20271207150000"/>
    <s v="디캔팅"/>
    <s v="입고"/>
    <s v="작업완료"/>
    <s v="1013"/>
    <x v="1"/>
    <s v="2026-08-14 15:37:23"/>
    <s v="월수금"/>
    <x v="1"/>
  </r>
  <r>
    <d v="2026-08-14T15:39:20"/>
    <s v="19006698"/>
    <x v="2"/>
    <x v="2"/>
    <n v="14"/>
    <m/>
    <n v="14"/>
    <s v="20271207150000"/>
    <s v="디캔팅"/>
    <s v="입고"/>
    <s v="작업완료"/>
    <s v="1013"/>
    <x v="1"/>
    <s v="2026-08-14 15:37:27"/>
    <s v="월수금"/>
    <x v="1"/>
  </r>
  <r>
    <d v="2026-08-14T15:37:48"/>
    <s v="19001729"/>
    <x v="2"/>
    <x v="2"/>
    <n v="14"/>
    <m/>
    <n v="14"/>
    <s v="20271207150000"/>
    <s v="디캔팅"/>
    <s v="입고"/>
    <s v="작업완료"/>
    <s v="1013"/>
    <x v="1"/>
    <s v="2026-08-14 15:35:29"/>
    <s v="월수금"/>
    <x v="1"/>
  </r>
  <r>
    <d v="2026-08-14T15:37:33"/>
    <s v="19014350"/>
    <x v="2"/>
    <x v="2"/>
    <n v="14"/>
    <m/>
    <n v="14"/>
    <s v="20271207150000"/>
    <s v="디캔팅"/>
    <s v="입고"/>
    <s v="작업완료"/>
    <s v="1013"/>
    <x v="1"/>
    <s v="2026-08-14 15:35:24"/>
    <s v="월수금"/>
    <x v="1"/>
  </r>
  <r>
    <d v="2026-08-14T15:36:17"/>
    <s v="19018197"/>
    <x v="2"/>
    <x v="2"/>
    <n v="14"/>
    <m/>
    <n v="14"/>
    <s v="20271207150000"/>
    <s v="디캔팅"/>
    <s v="입고"/>
    <s v="작업완료"/>
    <s v="1013"/>
    <x v="1"/>
    <s v="2026-08-14 15:34:16"/>
    <s v="월수금"/>
    <x v="1"/>
  </r>
  <r>
    <d v="2026-08-14T15:36:09"/>
    <s v="19001918"/>
    <x v="2"/>
    <x v="2"/>
    <n v="14"/>
    <m/>
    <n v="14"/>
    <s v="20271207150000"/>
    <s v="디캔팅"/>
    <s v="입고"/>
    <s v="작업완료"/>
    <s v="1013"/>
    <x v="1"/>
    <s v="2026-08-14 15:34:21"/>
    <s v="월수금"/>
    <x v="1"/>
  </r>
  <r>
    <d v="2026-08-14T15:36:04"/>
    <s v="19000374"/>
    <x v="2"/>
    <x v="2"/>
    <n v="14"/>
    <m/>
    <n v="14"/>
    <s v="20271207150000"/>
    <s v="디캔팅"/>
    <s v="입고"/>
    <s v="작업완료"/>
    <s v="1013"/>
    <x v="1"/>
    <s v="2026-08-14 15:32:52"/>
    <s v="월수금"/>
    <x v="1"/>
  </r>
  <r>
    <d v="2026-08-14T15:35:17"/>
    <s v="19010766"/>
    <x v="2"/>
    <x v="2"/>
    <n v="14"/>
    <m/>
    <n v="14"/>
    <s v="20271207150000"/>
    <s v="디캔팅"/>
    <s v="입고"/>
    <s v="작업완료"/>
    <s v="1013"/>
    <x v="1"/>
    <s v="2026-08-14 15:32:56"/>
    <s v="월수금"/>
    <x v="1"/>
  </r>
  <r>
    <d v="2026-08-14T15:33:26"/>
    <s v="19012177"/>
    <x v="2"/>
    <x v="2"/>
    <n v="14"/>
    <m/>
    <n v="14"/>
    <s v="20271207150000"/>
    <s v="디캔팅"/>
    <s v="입고"/>
    <s v="작업완료"/>
    <s v="1013"/>
    <x v="1"/>
    <s v="2026-08-14 15:31:13"/>
    <s v="월수금"/>
    <x v="1"/>
  </r>
  <r>
    <d v="2026-08-14T15:33:07"/>
    <s v="19002775"/>
    <x v="2"/>
    <x v="2"/>
    <n v="14"/>
    <m/>
    <n v="14"/>
    <s v="20271207150000"/>
    <s v="디캔팅"/>
    <s v="입고"/>
    <s v="작업완료"/>
    <s v="1013"/>
    <x v="1"/>
    <s v="2026-08-14 15:31:09"/>
    <s v="월수금"/>
    <x v="1"/>
  </r>
  <r>
    <d v="2026-08-14T15:31:47"/>
    <s v="19005949"/>
    <x v="2"/>
    <x v="2"/>
    <n v="14"/>
    <m/>
    <n v="14"/>
    <s v="20271207150000"/>
    <s v="디캔팅"/>
    <s v="입고"/>
    <s v="작업완료"/>
    <s v="1013"/>
    <x v="1"/>
    <s v="2026-08-14 15:29:48"/>
    <s v="월수금"/>
    <x v="1"/>
  </r>
  <r>
    <d v="2026-08-14T15:31:42"/>
    <s v="19010295"/>
    <x v="2"/>
    <x v="2"/>
    <n v="14"/>
    <m/>
    <n v="14"/>
    <s v="20271207150000"/>
    <s v="디캔팅"/>
    <s v="입고"/>
    <s v="작업완료"/>
    <s v="1013"/>
    <x v="1"/>
    <s v="2026-08-14 15:29:52"/>
    <s v="월수금"/>
    <x v="1"/>
  </r>
  <r>
    <d v="2026-08-14T15:30:48"/>
    <s v="19011332"/>
    <x v="2"/>
    <x v="2"/>
    <n v="14"/>
    <m/>
    <n v="14"/>
    <s v="20271207150000"/>
    <s v="디캔팅"/>
    <s v="입고"/>
    <s v="작업완료"/>
    <s v="1013"/>
    <x v="1"/>
    <s v="2026-08-14 15:28:14"/>
    <s v="월수금"/>
    <x v="1"/>
  </r>
  <r>
    <d v="2026-08-14T15:30:03"/>
    <s v="19001971"/>
    <x v="2"/>
    <x v="2"/>
    <n v="14"/>
    <m/>
    <n v="14"/>
    <s v="20271207150000"/>
    <s v="디캔팅"/>
    <s v="입고"/>
    <s v="작업완료"/>
    <s v="1013"/>
    <x v="1"/>
    <s v="2026-08-14 15:28:19"/>
    <s v="월수금"/>
    <x v="1"/>
  </r>
  <r>
    <d v="2026-08-14T15:29:08"/>
    <s v="19001608"/>
    <x v="2"/>
    <x v="2"/>
    <n v="14"/>
    <m/>
    <n v="14"/>
    <s v="20271207150000"/>
    <s v="디캔팅"/>
    <s v="입고"/>
    <s v="작업완료"/>
    <s v="1013"/>
    <x v="1"/>
    <s v="2026-08-14 15:27:06"/>
    <s v="월수금"/>
    <x v="1"/>
  </r>
  <r>
    <d v="2026-08-14T15:28:59"/>
    <s v="19003123"/>
    <x v="2"/>
    <x v="2"/>
    <n v="14"/>
    <m/>
    <n v="14"/>
    <s v="20271207150000"/>
    <s v="디캔팅"/>
    <s v="입고"/>
    <s v="작업완료"/>
    <s v="1013"/>
    <x v="1"/>
    <s v="2026-08-14 15:27:10"/>
    <s v="월수금"/>
    <x v="1"/>
  </r>
  <r>
    <d v="2026-08-14T15:27:16"/>
    <s v="19002679"/>
    <x v="2"/>
    <x v="2"/>
    <n v="14"/>
    <m/>
    <n v="14"/>
    <s v="20271207150000"/>
    <s v="디캔팅"/>
    <s v="입고"/>
    <s v="작업완료"/>
    <s v="1013"/>
    <x v="1"/>
    <s v="2026-08-14 15:25:15"/>
    <s v="월수금"/>
    <x v="1"/>
  </r>
  <r>
    <d v="2026-08-14T15:27:07"/>
    <s v="19001751"/>
    <x v="2"/>
    <x v="2"/>
    <n v="14"/>
    <m/>
    <n v="14"/>
    <s v="20271207150000"/>
    <s v="디캔팅"/>
    <s v="입고"/>
    <s v="작업완료"/>
    <s v="1013"/>
    <x v="1"/>
    <s v="2026-08-14 15:25:11"/>
    <s v="월수금"/>
    <x v="1"/>
  </r>
  <r>
    <d v="2026-08-14T10:28:11"/>
    <s v="19001598"/>
    <x v="2"/>
    <x v="2"/>
    <n v="14"/>
    <m/>
    <n v="14"/>
    <s v="20271207150000"/>
    <s v="디캔팅"/>
    <s v="입고"/>
    <s v="작업완료"/>
    <s v="1010"/>
    <x v="7"/>
    <s v="2026-08-14 10:26:07"/>
    <s v="월수금"/>
    <x v="1"/>
  </r>
  <r>
    <d v="2026-08-14T10:28:08"/>
    <s v="19001265"/>
    <x v="2"/>
    <x v="2"/>
    <n v="12"/>
    <m/>
    <n v="12"/>
    <s v="20271207150000"/>
    <s v="디캔팅"/>
    <s v="입고"/>
    <s v="작업완료"/>
    <s v="1010"/>
    <x v="7"/>
    <s v="2026-08-14 10:26:15"/>
    <s v="월수금"/>
    <x v="1"/>
  </r>
  <r>
    <d v="2026-08-14T10:26:48"/>
    <s v="19014575"/>
    <x v="2"/>
    <x v="2"/>
    <n v="14"/>
    <m/>
    <n v="14"/>
    <s v="20271207150000"/>
    <s v="디캔팅"/>
    <s v="입고"/>
    <s v="작업완료"/>
    <s v="1010"/>
    <x v="7"/>
    <s v="2026-08-14 10:24:43"/>
    <s v="월수금"/>
    <x v="1"/>
  </r>
  <r>
    <d v="2026-08-14T10:26:43"/>
    <s v="19001825"/>
    <x v="2"/>
    <x v="2"/>
    <n v="14"/>
    <m/>
    <n v="14"/>
    <s v="20271207150000"/>
    <s v="디캔팅"/>
    <s v="입고"/>
    <s v="작업완료"/>
    <s v="1010"/>
    <x v="7"/>
    <s v="2026-08-14 10:24:53"/>
    <s v="월수금"/>
    <x v="1"/>
  </r>
  <r>
    <d v="2026-08-14T10:26:32"/>
    <s v="19002581"/>
    <x v="2"/>
    <x v="2"/>
    <n v="14"/>
    <m/>
    <n v="14"/>
    <s v="20271207150000"/>
    <s v="디캔팅"/>
    <s v="입고"/>
    <s v="작업완료"/>
    <s v="1010"/>
    <x v="7"/>
    <s v="2026-08-14 10:24:48"/>
    <s v="월수금"/>
    <x v="1"/>
  </r>
  <r>
    <d v="2026-08-14T10:25:01"/>
    <s v="19011768"/>
    <x v="2"/>
    <x v="2"/>
    <n v="14"/>
    <m/>
    <n v="14"/>
    <s v="20271207150000"/>
    <s v="디캔팅"/>
    <s v="입고"/>
    <s v="작업완료"/>
    <s v="1010"/>
    <x v="7"/>
    <s v="2026-08-14 10:23:14"/>
    <s v="월수금"/>
    <x v="1"/>
  </r>
  <r>
    <d v="2026-08-14T10:24:51"/>
    <s v="19022040"/>
    <x v="2"/>
    <x v="2"/>
    <n v="14"/>
    <m/>
    <n v="14"/>
    <s v="20271207150000"/>
    <s v="디캔팅"/>
    <s v="입고"/>
    <s v="작업완료"/>
    <s v="1010"/>
    <x v="7"/>
    <s v="2026-08-14 10:23:09"/>
    <s v="월수금"/>
    <x v="1"/>
  </r>
  <r>
    <d v="2026-08-14T10:22:54"/>
    <s v="19003499"/>
    <x v="2"/>
    <x v="2"/>
    <n v="14"/>
    <m/>
    <n v="14"/>
    <s v="20271207150000"/>
    <s v="디캔팅"/>
    <s v="입고"/>
    <s v="작업완료"/>
    <s v="1010"/>
    <x v="7"/>
    <s v="2026-08-14 10:20:29"/>
    <s v="월수금"/>
    <x v="1"/>
  </r>
  <r>
    <d v="2026-08-14T10:22:26"/>
    <s v="19018946"/>
    <x v="2"/>
    <x v="2"/>
    <n v="14"/>
    <m/>
    <n v="14"/>
    <s v="20271207150000"/>
    <s v="디캔팅"/>
    <s v="입고"/>
    <s v="작업완료"/>
    <s v="1010"/>
    <x v="7"/>
    <s v="2026-08-14 10:20:22"/>
    <s v="월수금"/>
    <x v="1"/>
  </r>
  <r>
    <d v="2026-08-14T10:21:59"/>
    <s v="19004617"/>
    <x v="2"/>
    <x v="2"/>
    <n v="14"/>
    <m/>
    <n v="14"/>
    <s v="20271207150000"/>
    <s v="디캔팅"/>
    <s v="입고"/>
    <s v="작업완료"/>
    <s v="1010"/>
    <x v="7"/>
    <s v="2026-08-14 10:20:16"/>
    <s v="월수금"/>
    <x v="1"/>
  </r>
  <r>
    <d v="2026-08-14T10:20:11"/>
    <s v="19014666"/>
    <x v="2"/>
    <x v="2"/>
    <n v="14"/>
    <m/>
    <n v="14"/>
    <s v="20271207150000"/>
    <s v="디캔팅"/>
    <s v="입고"/>
    <s v="작업완료"/>
    <s v="1010"/>
    <x v="7"/>
    <s v="2026-08-14 10:18:12"/>
    <s v="월수금"/>
    <x v="1"/>
  </r>
  <r>
    <d v="2026-08-14T10:20:08"/>
    <s v="19013473"/>
    <x v="2"/>
    <x v="2"/>
    <n v="14"/>
    <m/>
    <n v="14"/>
    <s v="20271207150000"/>
    <s v="디캔팅"/>
    <s v="입고"/>
    <s v="작업완료"/>
    <s v="1010"/>
    <x v="7"/>
    <s v="2026-08-14 10:18:06"/>
    <s v="월수금"/>
    <x v="1"/>
  </r>
  <r>
    <d v="2026-08-14T10:19:46"/>
    <s v="19015786"/>
    <x v="2"/>
    <x v="2"/>
    <n v="14"/>
    <m/>
    <n v="14"/>
    <s v="20271207150000"/>
    <s v="디캔팅"/>
    <s v="입고"/>
    <s v="작업완료"/>
    <s v="1010"/>
    <x v="7"/>
    <s v="2026-08-14 10:18:01"/>
    <s v="월수금"/>
    <x v="1"/>
  </r>
  <r>
    <d v="2026-08-14T09:56:56"/>
    <s v="19018476"/>
    <x v="2"/>
    <x v="2"/>
    <n v="14"/>
    <m/>
    <n v="14"/>
    <s v="20271207150000"/>
    <s v="디캔팅"/>
    <s v="입고"/>
    <s v="작업완료"/>
    <s v="1010"/>
    <x v="7"/>
    <s v="2026-08-14 09:55:10"/>
    <s v="월수금"/>
    <x v="1"/>
  </r>
  <r>
    <d v="2026-08-14T09:56:51"/>
    <s v="19022128"/>
    <x v="2"/>
    <x v="2"/>
    <n v="14"/>
    <m/>
    <n v="14"/>
    <s v="20271207150000"/>
    <s v="디캔팅"/>
    <s v="입고"/>
    <s v="작업완료"/>
    <s v="1010"/>
    <x v="7"/>
    <s v="2026-08-14 09:55:05"/>
    <s v="월수금"/>
    <x v="1"/>
  </r>
  <r>
    <d v="2026-08-14T09:55:01"/>
    <s v="19012172"/>
    <x v="2"/>
    <x v="2"/>
    <n v="14"/>
    <m/>
    <n v="14"/>
    <s v="20271207150000"/>
    <s v="디캔팅"/>
    <s v="입고"/>
    <s v="작업완료"/>
    <s v="1010"/>
    <x v="7"/>
    <s v="2026-08-14 09:52:54"/>
    <s v="월수금"/>
    <x v="1"/>
  </r>
  <r>
    <d v="2026-08-14T09:54:42"/>
    <s v="19011142"/>
    <x v="2"/>
    <x v="2"/>
    <n v="14"/>
    <m/>
    <n v="14"/>
    <s v="20271207150000"/>
    <s v="디캔팅"/>
    <s v="입고"/>
    <s v="작업완료"/>
    <s v="1010"/>
    <x v="7"/>
    <s v="2026-08-14 09:52:47"/>
    <s v="월수금"/>
    <x v="1"/>
  </r>
  <r>
    <d v="2026-08-14T09:54:26"/>
    <s v="19015725"/>
    <x v="2"/>
    <x v="2"/>
    <n v="14"/>
    <m/>
    <n v="14"/>
    <s v="20271207150000"/>
    <s v="디캔팅"/>
    <s v="입고"/>
    <s v="작업완료"/>
    <s v="1010"/>
    <x v="7"/>
    <s v="2026-08-14 09:52:42"/>
    <s v="월수금"/>
    <x v="1"/>
  </r>
  <r>
    <d v="2026-08-14T09:52:24"/>
    <s v="19017057"/>
    <x v="2"/>
    <x v="2"/>
    <n v="14"/>
    <m/>
    <n v="14"/>
    <s v="20271207150000"/>
    <s v="디캔팅"/>
    <s v="입고"/>
    <s v="작업완료"/>
    <s v="1010"/>
    <x v="7"/>
    <s v="2026-08-14 09:50:17"/>
    <s v="월수금"/>
    <x v="1"/>
  </r>
  <r>
    <d v="2026-08-14T09:52:18"/>
    <s v="19018910"/>
    <x v="2"/>
    <x v="2"/>
    <n v="14"/>
    <m/>
    <n v="14"/>
    <s v="20271207150000"/>
    <s v="디캔팅"/>
    <s v="입고"/>
    <s v="작업완료"/>
    <s v="1003"/>
    <x v="5"/>
    <s v="2026-08-14 08:28:51"/>
    <s v="월수금"/>
    <x v="1"/>
  </r>
  <r>
    <d v="2026-08-14T09:52:13"/>
    <s v="19023262"/>
    <x v="2"/>
    <x v="2"/>
    <n v="14"/>
    <m/>
    <n v="14"/>
    <s v="20271207150000"/>
    <s v="디캔팅"/>
    <s v="입고"/>
    <s v="작업완료"/>
    <s v="1010"/>
    <x v="7"/>
    <s v="2026-08-14 09:50:05"/>
    <s v="월수금"/>
    <x v="1"/>
  </r>
  <r>
    <d v="2026-08-14T09:52:02"/>
    <s v="19026617"/>
    <x v="2"/>
    <x v="2"/>
    <n v="14"/>
    <m/>
    <n v="14"/>
    <s v="20271207150000"/>
    <s v="디캔팅"/>
    <s v="입고"/>
    <s v="작업완료"/>
    <s v="1010"/>
    <x v="7"/>
    <s v="2026-08-14 09:50:11"/>
    <s v="월수금"/>
    <x v="1"/>
  </r>
  <r>
    <d v="2026-08-14T09:50:37"/>
    <s v="19006189"/>
    <x v="2"/>
    <x v="2"/>
    <n v="14"/>
    <m/>
    <n v="14"/>
    <s v="20271207150000"/>
    <s v="디캔팅"/>
    <s v="입고"/>
    <s v="작업완료"/>
    <s v="1010"/>
    <x v="7"/>
    <s v="2026-08-14 09:48:18"/>
    <s v="월수금"/>
    <x v="1"/>
  </r>
  <r>
    <d v="2026-08-14T09:50:11"/>
    <s v="19012788"/>
    <x v="2"/>
    <x v="2"/>
    <n v="14"/>
    <m/>
    <n v="14"/>
    <s v="20271207150000"/>
    <s v="디캔팅"/>
    <s v="입고"/>
    <s v="작업완료"/>
    <s v="1010"/>
    <x v="7"/>
    <s v="2026-08-14 09:48:10"/>
    <s v="월수금"/>
    <x v="1"/>
  </r>
  <r>
    <d v="2026-08-14T08:47:57"/>
    <s v="19023792"/>
    <x v="2"/>
    <x v="2"/>
    <n v="12"/>
    <m/>
    <n v="12"/>
    <s v="20271207150000"/>
    <s v="디캔팅"/>
    <s v="입고"/>
    <s v="작업완료"/>
    <s v="1003"/>
    <x v="5"/>
    <s v="2026-08-14 08:46:10"/>
    <s v="월수금"/>
    <x v="1"/>
  </r>
  <r>
    <d v="2026-08-14T08:47:46"/>
    <s v="19011162"/>
    <x v="2"/>
    <x v="2"/>
    <n v="14"/>
    <m/>
    <n v="14"/>
    <s v="20271207150000"/>
    <s v="디캔팅"/>
    <s v="입고"/>
    <s v="작업완료"/>
    <s v="1003"/>
    <x v="5"/>
    <s v="2026-08-14 08:46:01"/>
    <s v="월수금"/>
    <x v="1"/>
  </r>
  <r>
    <d v="2026-08-14T08:47:45"/>
    <s v="19018841"/>
    <x v="2"/>
    <x v="2"/>
    <n v="14"/>
    <m/>
    <n v="14"/>
    <s v="20271207150000"/>
    <s v="디캔팅"/>
    <s v="입고"/>
    <s v="작업완료"/>
    <s v="1003"/>
    <x v="5"/>
    <s v="2026-08-14 08:45:57"/>
    <s v="월수금"/>
    <x v="1"/>
  </r>
  <r>
    <d v="2026-08-14T08:45:51"/>
    <s v="19014061"/>
    <x v="2"/>
    <x v="2"/>
    <n v="14"/>
    <m/>
    <n v="14"/>
    <s v="20271207150000"/>
    <s v="디캔팅"/>
    <s v="입고"/>
    <s v="작업완료"/>
    <s v="1003"/>
    <x v="5"/>
    <s v="2026-08-14 08:43:49"/>
    <s v="월수금"/>
    <x v="1"/>
  </r>
  <r>
    <d v="2026-08-14T08:45:34"/>
    <s v="19007617"/>
    <x v="2"/>
    <x v="2"/>
    <n v="14"/>
    <m/>
    <n v="14"/>
    <s v="20271207150000"/>
    <s v="디캔팅"/>
    <s v="입고"/>
    <s v="작업완료"/>
    <s v="1003"/>
    <x v="5"/>
    <s v="2026-08-14 08:43:44"/>
    <s v="월수금"/>
    <x v="1"/>
  </r>
  <r>
    <d v="2026-08-14T08:43:12"/>
    <s v="19009898"/>
    <x v="2"/>
    <x v="2"/>
    <n v="14"/>
    <m/>
    <n v="14"/>
    <s v="20271207150000"/>
    <s v="디캔팅"/>
    <s v="입고"/>
    <s v="작업완료"/>
    <s v="1003"/>
    <x v="5"/>
    <s v="2026-08-14 08:41:25"/>
    <s v="월수금"/>
    <x v="1"/>
  </r>
  <r>
    <d v="2026-08-14T08:42:58"/>
    <s v="19021345"/>
    <x v="2"/>
    <x v="2"/>
    <n v="14"/>
    <m/>
    <n v="14"/>
    <s v="20271207150000"/>
    <s v="디캔팅"/>
    <s v="입고"/>
    <s v="작업완료"/>
    <s v="1003"/>
    <x v="5"/>
    <s v="2026-08-14 08:41:21"/>
    <s v="월수금"/>
    <x v="1"/>
  </r>
  <r>
    <d v="2026-08-14T08:40:55"/>
    <s v="19021241"/>
    <x v="2"/>
    <x v="2"/>
    <n v="14"/>
    <m/>
    <n v="14"/>
    <s v="20271207150000"/>
    <s v="디캔팅"/>
    <s v="입고"/>
    <s v="작업완료"/>
    <s v="1003"/>
    <x v="5"/>
    <s v="2026-08-14 08:39:07"/>
    <s v="월수금"/>
    <x v="1"/>
  </r>
  <r>
    <d v="2026-08-14T08:40:37"/>
    <s v="19022185"/>
    <x v="2"/>
    <x v="2"/>
    <n v="14"/>
    <m/>
    <n v="14"/>
    <s v="20271207150000"/>
    <s v="디캔팅"/>
    <s v="입고"/>
    <s v="작업완료"/>
    <s v="1003"/>
    <x v="5"/>
    <s v="2026-08-14 08:39:02"/>
    <s v="월수금"/>
    <x v="1"/>
  </r>
  <r>
    <d v="2026-08-14T08:39:52"/>
    <s v="19014778"/>
    <x v="2"/>
    <x v="2"/>
    <n v="14"/>
    <m/>
    <n v="14"/>
    <s v="20271207150000"/>
    <s v="디캔팅"/>
    <s v="입고"/>
    <s v="작업완료"/>
    <s v="1003"/>
    <x v="5"/>
    <s v="2026-08-14 08:37:46"/>
    <s v="월수금"/>
    <x v="1"/>
  </r>
  <r>
    <d v="2026-08-14T08:39:00"/>
    <s v="19028278"/>
    <x v="2"/>
    <x v="2"/>
    <n v="14"/>
    <m/>
    <n v="14"/>
    <s v="20271207150000"/>
    <s v="디캔팅"/>
    <s v="입고"/>
    <s v="작업완료"/>
    <s v="1003"/>
    <x v="5"/>
    <s v="2026-08-14 08:37:43"/>
    <s v="월수금"/>
    <x v="1"/>
  </r>
  <r>
    <d v="2026-08-14T08:37:35"/>
    <s v="19000452"/>
    <x v="2"/>
    <x v="2"/>
    <n v="14"/>
    <m/>
    <n v="14"/>
    <s v="20271207150000"/>
    <s v="디캔팅"/>
    <s v="입고"/>
    <s v="작업완료"/>
    <s v="1003"/>
    <x v="5"/>
    <s v="2026-08-14 08:35:59"/>
    <s v="월수금"/>
    <x v="1"/>
  </r>
  <r>
    <d v="2026-08-14T08:37:25"/>
    <s v="19010316"/>
    <x v="2"/>
    <x v="2"/>
    <n v="14"/>
    <m/>
    <n v="14"/>
    <s v="20271207150000"/>
    <s v="디캔팅"/>
    <s v="입고"/>
    <s v="작업완료"/>
    <s v="1003"/>
    <x v="5"/>
    <s v="2026-08-14 08:35:51"/>
    <s v="월수금"/>
    <x v="1"/>
  </r>
  <r>
    <d v="2026-08-14T08:34:27"/>
    <s v="19000108"/>
    <x v="2"/>
    <x v="2"/>
    <n v="14"/>
    <m/>
    <n v="14"/>
    <s v="20271207150000"/>
    <s v="디캔팅"/>
    <s v="입고"/>
    <s v="작업완료"/>
    <s v="1003"/>
    <x v="5"/>
    <s v="2026-08-14 08:32:40"/>
    <s v="월수금"/>
    <x v="1"/>
  </r>
  <r>
    <d v="2026-08-14T08:34:08"/>
    <s v="19005392"/>
    <x v="2"/>
    <x v="2"/>
    <n v="14"/>
    <m/>
    <n v="14"/>
    <s v="20271207150000"/>
    <s v="디캔팅"/>
    <s v="입고"/>
    <s v="작업완료"/>
    <s v="1003"/>
    <x v="5"/>
    <s v="2026-08-14 08:32:37"/>
    <s v="월수금"/>
    <x v="1"/>
  </r>
  <r>
    <d v="2026-08-14T08:34:00"/>
    <s v="19024632"/>
    <x v="2"/>
    <x v="2"/>
    <n v="14"/>
    <m/>
    <n v="14"/>
    <s v="20271207150000"/>
    <s v="디캔팅"/>
    <s v="입고"/>
    <s v="작업완료"/>
    <s v="1003"/>
    <x v="5"/>
    <s v="2026-08-14 08:26:23"/>
    <s v="월수금"/>
    <x v="1"/>
  </r>
  <r>
    <d v="2026-08-14T08:32:49"/>
    <s v="19023867"/>
    <x v="2"/>
    <x v="2"/>
    <n v="14"/>
    <m/>
    <n v="14"/>
    <s v="20271207150000"/>
    <s v="디캔팅"/>
    <s v="입고"/>
    <s v="작업완료"/>
    <s v="1003"/>
    <x v="5"/>
    <s v="2026-08-14 08:31:02"/>
    <s v="월수금"/>
    <x v="1"/>
  </r>
  <r>
    <d v="2026-08-14T08:32:42"/>
    <s v="19000635"/>
    <x v="2"/>
    <x v="2"/>
    <n v="14"/>
    <m/>
    <n v="14"/>
    <s v="20271207150000"/>
    <s v="디캔팅"/>
    <s v="입고"/>
    <s v="작업완료"/>
    <s v="1003"/>
    <x v="5"/>
    <s v="2026-08-14 08:30:58"/>
    <s v="월수금"/>
    <x v="1"/>
  </r>
  <r>
    <d v="2026-08-14T08:30:54"/>
    <s v="19013035"/>
    <x v="2"/>
    <x v="2"/>
    <n v="14"/>
    <m/>
    <n v="14"/>
    <s v="20271207150000"/>
    <s v="디캔팅"/>
    <s v="입고"/>
    <s v="작업완료"/>
    <s v="1003"/>
    <x v="5"/>
    <s v="2026-08-14 08:28:54"/>
    <s v="월수금"/>
    <x v="1"/>
  </r>
  <r>
    <d v="2026-08-14T08:28:08"/>
    <s v="19005034"/>
    <x v="2"/>
    <x v="2"/>
    <n v="14"/>
    <m/>
    <n v="14"/>
    <s v="20271207150000"/>
    <s v="디캔팅"/>
    <s v="입고"/>
    <s v="작업완료"/>
    <s v="1003"/>
    <x v="5"/>
    <s v="2026-08-14 08:26:28"/>
    <s v="월수금"/>
    <x v="1"/>
  </r>
  <r>
    <d v="2026-08-14T08:27:00"/>
    <s v="19004956"/>
    <x v="2"/>
    <x v="2"/>
    <n v="14"/>
    <m/>
    <n v="14"/>
    <s v="20271207150000"/>
    <s v="디캔팅"/>
    <s v="입고"/>
    <s v="작업완료"/>
    <s v="1003"/>
    <x v="5"/>
    <s v="2026-08-14 08:24:58"/>
    <s v="월수금"/>
    <x v="1"/>
  </r>
  <r>
    <d v="2026-08-14T08:26:15"/>
    <s v="19016522"/>
    <x v="2"/>
    <x v="2"/>
    <n v="14"/>
    <m/>
    <n v="14"/>
    <s v="20271207150000"/>
    <s v="디캔팅"/>
    <s v="입고"/>
    <s v="작업완료"/>
    <s v="1003"/>
    <x v="5"/>
    <s v="2026-08-14 08:24:48"/>
    <s v="월수금"/>
    <x v="1"/>
  </r>
  <r>
    <d v="2026-08-13T17:22:41"/>
    <s v="19003701"/>
    <x v="2"/>
    <x v="2"/>
    <n v="12"/>
    <m/>
    <n v="12"/>
    <s v="20271207150000"/>
    <s v="디캔팅"/>
    <s v="입고"/>
    <s v="작업완료"/>
    <s v="1013"/>
    <x v="1"/>
    <s v="2026-08-13 17:20:31"/>
    <s v="월수금"/>
    <x v="4"/>
  </r>
  <r>
    <d v="2026-08-13T17:22:40"/>
    <s v="19000767"/>
    <x v="2"/>
    <x v="2"/>
    <n v="14"/>
    <m/>
    <n v="14"/>
    <s v="20271207150000"/>
    <s v="디캔팅"/>
    <s v="입고"/>
    <s v="작업완료"/>
    <s v="1013"/>
    <x v="1"/>
    <s v="2026-08-13 17:20:25"/>
    <s v="월수금"/>
    <x v="4"/>
  </r>
  <r>
    <d v="2026-08-13T17:22:34"/>
    <s v="19000192"/>
    <x v="2"/>
    <x v="2"/>
    <n v="14"/>
    <m/>
    <n v="14"/>
    <s v="20271207150000"/>
    <s v="디캔팅"/>
    <s v="입고"/>
    <s v="작업완료"/>
    <s v="1013"/>
    <x v="1"/>
    <s v="2026-08-13 17:20:21"/>
    <s v="월수금"/>
    <x v="4"/>
  </r>
  <r>
    <d v="2026-08-13T16:55:55"/>
    <s v="19025168"/>
    <x v="2"/>
    <x v="2"/>
    <n v="14"/>
    <m/>
    <n v="14"/>
    <s v="20271207150000"/>
    <s v="디캔팅"/>
    <s v="입고"/>
    <s v="작업완료"/>
    <s v="1013"/>
    <x v="1"/>
    <s v="2026-08-13 16:53:12"/>
    <s v="월수금"/>
    <x v="4"/>
  </r>
  <r>
    <d v="2026-08-13T16:55:04"/>
    <s v="19008435"/>
    <x v="2"/>
    <x v="2"/>
    <n v="14"/>
    <m/>
    <n v="14"/>
    <s v="20271207150000"/>
    <s v="디캔팅"/>
    <s v="입고"/>
    <s v="작업완료"/>
    <s v="1013"/>
    <x v="1"/>
    <s v="2026-08-13 16:53:09"/>
    <s v="월수금"/>
    <x v="4"/>
  </r>
  <r>
    <d v="2026-08-13T16:53:53"/>
    <s v="19006203"/>
    <x v="2"/>
    <x v="2"/>
    <n v="14"/>
    <m/>
    <n v="14"/>
    <s v="20271207150000"/>
    <s v="디캔팅"/>
    <s v="입고"/>
    <s v="작업완료"/>
    <s v="1013"/>
    <x v="1"/>
    <s v="2026-08-13 16:51:44"/>
    <s v="월수금"/>
    <x v="4"/>
  </r>
  <r>
    <d v="2026-08-13T16:53:43"/>
    <s v="19002915"/>
    <x v="2"/>
    <x v="2"/>
    <n v="14"/>
    <m/>
    <n v="14"/>
    <s v="20271207150000"/>
    <s v="디캔팅"/>
    <s v="입고"/>
    <s v="작업완료"/>
    <s v="1013"/>
    <x v="1"/>
    <s v="2026-08-13 16:51:39"/>
    <s v="월수금"/>
    <x v="4"/>
  </r>
  <r>
    <d v="2026-08-13T16:52:25"/>
    <s v="19004193"/>
    <x v="2"/>
    <x v="2"/>
    <n v="14"/>
    <m/>
    <n v="14"/>
    <s v="20271207150000"/>
    <s v="디캔팅"/>
    <s v="입고"/>
    <s v="작업완료"/>
    <s v="1013"/>
    <x v="1"/>
    <s v="2026-08-13 16:50:08"/>
    <s v="월수금"/>
    <x v="4"/>
  </r>
  <r>
    <d v="2026-08-13T16:52:02"/>
    <s v="19004382"/>
    <x v="2"/>
    <x v="2"/>
    <n v="14"/>
    <m/>
    <n v="14"/>
    <s v="20271207150000"/>
    <s v="디캔팅"/>
    <s v="입고"/>
    <s v="작업완료"/>
    <s v="1013"/>
    <x v="1"/>
    <s v="2026-08-13 16:50:03"/>
    <s v="월수금"/>
    <x v="4"/>
  </r>
  <r>
    <d v="2026-08-13T16:50:19"/>
    <s v="19000663"/>
    <x v="2"/>
    <x v="2"/>
    <n v="14"/>
    <m/>
    <n v="14"/>
    <s v="20271207150000"/>
    <s v="디캔팅"/>
    <s v="입고"/>
    <s v="작업완료"/>
    <s v="1013"/>
    <x v="1"/>
    <s v="2026-08-13 16:48:20"/>
    <s v="월수금"/>
    <x v="4"/>
  </r>
  <r>
    <d v="2026-08-13T16:50:07"/>
    <s v="19008875"/>
    <x v="2"/>
    <x v="2"/>
    <n v="14"/>
    <m/>
    <n v="14"/>
    <s v="20271207150000"/>
    <s v="디캔팅"/>
    <s v="입고"/>
    <s v="작업완료"/>
    <s v="1013"/>
    <x v="1"/>
    <s v="2026-08-13 16:46:44"/>
    <s v="월수금"/>
    <x v="4"/>
  </r>
  <r>
    <d v="2026-08-13T16:49:57"/>
    <s v="19005878"/>
    <x v="2"/>
    <x v="2"/>
    <n v="14"/>
    <m/>
    <n v="14"/>
    <s v="20271207150000"/>
    <s v="디캔팅"/>
    <s v="입고"/>
    <s v="작업완료"/>
    <s v="1013"/>
    <x v="1"/>
    <s v="2026-08-13 16:48:16"/>
    <s v="월수금"/>
    <x v="4"/>
  </r>
  <r>
    <d v="2026-08-13T16:49:02"/>
    <s v="19002232"/>
    <x v="2"/>
    <x v="2"/>
    <n v="14"/>
    <m/>
    <n v="14"/>
    <s v="20271207150000"/>
    <s v="디캔팅"/>
    <s v="입고"/>
    <s v="작업완료"/>
    <s v="1013"/>
    <x v="1"/>
    <s v="2026-08-13 16:46:48"/>
    <s v="월수금"/>
    <x v="4"/>
  </r>
  <r>
    <d v="2026-08-13T16:48:03"/>
    <s v="19014908"/>
    <x v="2"/>
    <x v="2"/>
    <n v="14"/>
    <m/>
    <n v="14"/>
    <s v="20271207150000"/>
    <s v="디캔팅"/>
    <s v="입고"/>
    <s v="작업완료"/>
    <s v="1013"/>
    <x v="1"/>
    <s v="2026-08-13 16:45:14"/>
    <s v="월수금"/>
    <x v="4"/>
  </r>
  <r>
    <d v="2026-08-13T16:47:47"/>
    <s v="19010527"/>
    <x v="2"/>
    <x v="2"/>
    <n v="14"/>
    <m/>
    <n v="14"/>
    <s v="20271207150000"/>
    <s v="디캔팅"/>
    <s v="입고"/>
    <s v="작업완료"/>
    <s v="1013"/>
    <x v="1"/>
    <s v="2026-08-13 16:45:18"/>
    <s v="월수금"/>
    <x v="4"/>
  </r>
  <r>
    <d v="2026-08-13T16:46:09"/>
    <s v="19005143"/>
    <x v="2"/>
    <x v="2"/>
    <n v="14"/>
    <m/>
    <n v="14"/>
    <s v="20271207150000"/>
    <s v="디캔팅"/>
    <s v="입고"/>
    <s v="작업완료"/>
    <s v="1013"/>
    <x v="1"/>
    <s v="2026-08-13 16:43:25"/>
    <s v="월수금"/>
    <x v="4"/>
  </r>
  <r>
    <d v="2026-08-13T16:45:48"/>
    <s v="19001729"/>
    <x v="2"/>
    <x v="2"/>
    <n v="14"/>
    <m/>
    <n v="14"/>
    <s v="20271207150000"/>
    <s v="디캔팅"/>
    <s v="입고"/>
    <s v="작업완료"/>
    <s v="1013"/>
    <x v="1"/>
    <s v="2026-08-13 16:43:21"/>
    <s v="월수금"/>
    <x v="4"/>
  </r>
  <r>
    <d v="2026-08-13T16:43:59"/>
    <s v="19006130"/>
    <x v="2"/>
    <x v="2"/>
    <n v="14"/>
    <m/>
    <n v="14"/>
    <s v="20271207150000"/>
    <s v="디캔팅"/>
    <s v="입고"/>
    <s v="작업완료"/>
    <s v="1013"/>
    <x v="1"/>
    <s v="2026-08-13 16:41:51"/>
    <s v="월수금"/>
    <x v="4"/>
  </r>
  <r>
    <d v="2026-08-13T16:43:25"/>
    <s v="19002274"/>
    <x v="2"/>
    <x v="2"/>
    <n v="14"/>
    <m/>
    <n v="14"/>
    <s v="20271207150000"/>
    <s v="디캔팅"/>
    <s v="입고"/>
    <s v="작업완료"/>
    <s v="1013"/>
    <x v="1"/>
    <s v="2026-08-13 16:41:39"/>
    <s v="월수금"/>
    <x v="4"/>
  </r>
  <r>
    <d v="2026-08-13T16:41:40"/>
    <s v="19019663"/>
    <x v="2"/>
    <x v="2"/>
    <n v="14"/>
    <m/>
    <n v="14"/>
    <s v="20271207150000"/>
    <s v="디캔팅"/>
    <s v="입고"/>
    <s v="작업완료"/>
    <s v="1013"/>
    <x v="1"/>
    <s v="2026-08-13 16:39:45"/>
    <s v="월수금"/>
    <x v="4"/>
  </r>
  <r>
    <d v="2026-08-13T16:41:33"/>
    <s v="19001658"/>
    <x v="2"/>
    <x v="2"/>
    <n v="14"/>
    <m/>
    <n v="14"/>
    <s v="20271207150000"/>
    <s v="디캔팅"/>
    <s v="입고"/>
    <s v="작업완료"/>
    <s v="1013"/>
    <x v="1"/>
    <s v="2026-08-13 16:39:41"/>
    <s v="월수금"/>
    <x v="4"/>
  </r>
  <r>
    <d v="2026-08-13T16:41:15"/>
    <s v="19003803"/>
    <x v="2"/>
    <x v="2"/>
    <n v="14"/>
    <m/>
    <n v="14"/>
    <s v="20271207150000"/>
    <s v="디캔팅"/>
    <s v="입고"/>
    <s v="작업완료"/>
    <s v="1013"/>
    <x v="1"/>
    <s v="2026-08-13 16:38:17"/>
    <s v="월수금"/>
    <x v="4"/>
  </r>
  <r>
    <d v="2026-08-13T16:40:14"/>
    <s v="19005556"/>
    <x v="2"/>
    <x v="2"/>
    <n v="14"/>
    <m/>
    <n v="14"/>
    <s v="20271207150000"/>
    <s v="디캔팅"/>
    <s v="입고"/>
    <s v="작업완료"/>
    <s v="1013"/>
    <x v="1"/>
    <s v="2026-08-13 16:38:13"/>
    <s v="월수금"/>
    <x v="4"/>
  </r>
  <r>
    <d v="2026-08-12T15:32:07"/>
    <s v="19007369"/>
    <x v="2"/>
    <x v="2"/>
    <n v="14"/>
    <m/>
    <n v="14"/>
    <s v="20271207150000"/>
    <s v="디캔팅"/>
    <s v="입고"/>
    <s v="작업완료"/>
    <s v="1006"/>
    <x v="6"/>
    <s v="2026-08-12 15:28:59"/>
    <s v="월수금"/>
    <x v="2"/>
  </r>
  <r>
    <d v="2026-08-12T15:32:01"/>
    <s v="19001018"/>
    <x v="2"/>
    <x v="2"/>
    <n v="12"/>
    <m/>
    <n v="12"/>
    <s v="20271207150000"/>
    <s v="디캔팅"/>
    <s v="입고"/>
    <s v="작업완료"/>
    <s v="1006"/>
    <x v="6"/>
    <s v="2026-08-12 15:29:03"/>
    <s v="월수금"/>
    <x v="2"/>
  </r>
  <r>
    <d v="2026-08-12T15:30:28"/>
    <s v="19001065"/>
    <x v="2"/>
    <x v="2"/>
    <n v="14"/>
    <m/>
    <n v="14"/>
    <s v="20271207150000"/>
    <s v="디캔팅"/>
    <s v="입고"/>
    <s v="작업완료"/>
    <s v="1006"/>
    <x v="6"/>
    <s v="2026-08-12 15:26:39"/>
    <s v="월수금"/>
    <x v="2"/>
  </r>
  <r>
    <d v="2026-08-12T15:30:26"/>
    <s v="19000179"/>
    <x v="2"/>
    <x v="2"/>
    <n v="14"/>
    <m/>
    <n v="14"/>
    <s v="20271207150000"/>
    <s v="디캔팅"/>
    <s v="입고"/>
    <s v="작업완료"/>
    <s v="1006"/>
    <x v="6"/>
    <s v="2026-08-12 15:26:41"/>
    <s v="월수금"/>
    <x v="2"/>
  </r>
  <r>
    <d v="2026-08-12T15:30:21"/>
    <s v="19002861"/>
    <x v="2"/>
    <x v="2"/>
    <n v="14"/>
    <m/>
    <n v="14"/>
    <s v="20271207150000"/>
    <s v="디캔팅"/>
    <s v="입고"/>
    <s v="작업완료"/>
    <s v="1006"/>
    <x v="6"/>
    <s v="2026-08-12 15:26:43"/>
    <s v="월수금"/>
    <x v="2"/>
  </r>
  <r>
    <d v="2026-08-12T15:30:07"/>
    <s v="19013645"/>
    <x v="2"/>
    <x v="2"/>
    <n v="14"/>
    <m/>
    <n v="14"/>
    <s v="20271207150000"/>
    <s v="디캔팅"/>
    <s v="입고"/>
    <s v="작업완료"/>
    <s v="1006"/>
    <x v="6"/>
    <s v="2026-08-12 15:25:29"/>
    <s v="월수금"/>
    <x v="2"/>
  </r>
  <r>
    <d v="2026-08-12T15:30:05"/>
    <s v="19002583"/>
    <x v="2"/>
    <x v="2"/>
    <n v="14"/>
    <m/>
    <n v="14"/>
    <s v="20271207150000"/>
    <s v="디캔팅"/>
    <s v="입고"/>
    <s v="작업완료"/>
    <s v="1006"/>
    <x v="6"/>
    <s v="2026-08-12 15:25:27"/>
    <s v="월수금"/>
    <x v="2"/>
  </r>
  <r>
    <d v="2026-08-12T15:25:56"/>
    <s v="19011035"/>
    <x v="2"/>
    <x v="2"/>
    <n v="14"/>
    <m/>
    <n v="14"/>
    <s v="20271207150000"/>
    <s v="디캔팅"/>
    <s v="입고"/>
    <s v="작업완료"/>
    <s v="1006"/>
    <x v="6"/>
    <s v="2026-08-12 15:23:16"/>
    <s v="월수금"/>
    <x v="2"/>
  </r>
  <r>
    <d v="2026-08-12T15:25:10"/>
    <s v="19010775"/>
    <x v="2"/>
    <x v="2"/>
    <n v="14"/>
    <m/>
    <n v="14"/>
    <s v="20271207150000"/>
    <s v="디캔팅"/>
    <s v="입고"/>
    <s v="작업완료"/>
    <s v="1006"/>
    <x v="6"/>
    <s v="2026-08-12 15:23:14"/>
    <s v="월수금"/>
    <x v="2"/>
  </r>
  <r>
    <d v="2026-08-12T15:24:49"/>
    <s v="19002713"/>
    <x v="2"/>
    <x v="2"/>
    <n v="14"/>
    <m/>
    <n v="14"/>
    <s v="20271207150000"/>
    <s v="디캔팅"/>
    <s v="입고"/>
    <s v="작업완료"/>
    <s v="1006"/>
    <x v="6"/>
    <s v="2026-08-12 15:23:19"/>
    <s v="월수금"/>
    <x v="2"/>
  </r>
  <r>
    <d v="2026-08-12T15:23:35"/>
    <s v="19013987"/>
    <x v="2"/>
    <x v="2"/>
    <n v="14"/>
    <m/>
    <n v="14"/>
    <s v="20271207150000"/>
    <s v="디캔팅"/>
    <s v="입고"/>
    <s v="작업완료"/>
    <s v="1006"/>
    <x v="6"/>
    <s v="2026-08-12 15:21:27"/>
    <s v="월수금"/>
    <x v="2"/>
  </r>
  <r>
    <d v="2026-08-12T15:23:21"/>
    <s v="19002022"/>
    <x v="2"/>
    <x v="2"/>
    <n v="14"/>
    <m/>
    <n v="14"/>
    <s v="20271207150000"/>
    <s v="디캔팅"/>
    <s v="입고"/>
    <s v="작업완료"/>
    <s v="1006"/>
    <x v="6"/>
    <s v="2026-08-12 15:21:30"/>
    <s v="월수금"/>
    <x v="2"/>
  </r>
  <r>
    <d v="2026-08-12T15:23:15"/>
    <s v="19000471"/>
    <x v="2"/>
    <x v="2"/>
    <n v="14"/>
    <m/>
    <n v="14"/>
    <s v="20271207150000"/>
    <s v="디캔팅"/>
    <s v="입고"/>
    <s v="작업완료"/>
    <s v="1006"/>
    <x v="6"/>
    <s v="2026-08-12 15:21:33"/>
    <s v="월수금"/>
    <x v="2"/>
  </r>
  <r>
    <d v="2026-08-12T15:21:53"/>
    <s v="19027424"/>
    <x v="2"/>
    <x v="2"/>
    <n v="14"/>
    <m/>
    <n v="14"/>
    <s v="20271207150000"/>
    <s v="디캔팅"/>
    <s v="입고"/>
    <s v="작업완료"/>
    <s v="1006"/>
    <x v="6"/>
    <s v="2026-08-12 15:19:59"/>
    <s v="월수금"/>
    <x v="2"/>
  </r>
  <r>
    <d v="2026-08-12T15:21:50"/>
    <s v="19001265"/>
    <x v="2"/>
    <x v="2"/>
    <n v="14"/>
    <m/>
    <n v="14"/>
    <s v="20271207150000"/>
    <s v="디캔팅"/>
    <s v="입고"/>
    <s v="작업완료"/>
    <s v="1006"/>
    <x v="6"/>
    <s v="2026-08-12 15:19:57"/>
    <s v="월수금"/>
    <x v="2"/>
  </r>
  <r>
    <d v="2026-08-12T15:21:07"/>
    <s v="19018034"/>
    <x v="2"/>
    <x v="2"/>
    <n v="14"/>
    <m/>
    <n v="14"/>
    <s v="20271207150000"/>
    <s v="디캔팅"/>
    <s v="입고"/>
    <s v="작업완료"/>
    <s v="1006"/>
    <x v="6"/>
    <s v="2026-08-12 15:18:06"/>
    <s v="월수금"/>
    <x v="2"/>
  </r>
  <r>
    <d v="2026-08-12T15:20:44"/>
    <s v="19005107"/>
    <x v="2"/>
    <x v="2"/>
    <n v="14"/>
    <m/>
    <n v="14"/>
    <s v="20271207150000"/>
    <s v="디캔팅"/>
    <s v="입고"/>
    <s v="작업완료"/>
    <s v="1006"/>
    <x v="6"/>
    <s v="2026-08-12 15:18:11"/>
    <s v="월수금"/>
    <x v="2"/>
  </r>
  <r>
    <d v="2026-08-12T15:19:40"/>
    <s v="19024647"/>
    <x v="2"/>
    <x v="2"/>
    <n v="14"/>
    <m/>
    <n v="14"/>
    <s v="20271207150000"/>
    <s v="디캔팅"/>
    <s v="입고"/>
    <s v="작업완료"/>
    <s v="1006"/>
    <x v="6"/>
    <s v="2026-08-12 15:18:08"/>
    <s v="월수금"/>
    <x v="2"/>
  </r>
  <r>
    <d v="2026-08-12T15:19:11"/>
    <s v="19008586"/>
    <x v="2"/>
    <x v="2"/>
    <n v="14"/>
    <m/>
    <n v="14"/>
    <s v="20271207150000"/>
    <s v="디캔팅"/>
    <s v="입고"/>
    <s v="작업완료"/>
    <s v="1006"/>
    <x v="6"/>
    <s v="2026-08-12 15:16:12"/>
    <s v="월수금"/>
    <x v="2"/>
  </r>
  <r>
    <d v="2026-08-12T15:18:22"/>
    <s v="19005050"/>
    <x v="2"/>
    <x v="2"/>
    <n v="14"/>
    <m/>
    <n v="14"/>
    <s v="20271207150000"/>
    <s v="디캔팅"/>
    <s v="입고"/>
    <s v="작업완료"/>
    <s v="1006"/>
    <x v="6"/>
    <s v="2026-08-12 15:16:14"/>
    <s v="월수금"/>
    <x v="2"/>
  </r>
  <r>
    <d v="2026-08-12T15:18:13"/>
    <s v="19009964"/>
    <x v="2"/>
    <x v="2"/>
    <n v="14"/>
    <m/>
    <n v="14"/>
    <s v="20271207150000"/>
    <s v="디캔팅"/>
    <s v="입고"/>
    <s v="작업완료"/>
    <s v="1006"/>
    <x v="6"/>
    <s v="2026-08-12 15:16:17"/>
    <s v="월수금"/>
    <x v="2"/>
  </r>
  <r>
    <d v="2026-08-12T15:15:56"/>
    <s v="19023031"/>
    <x v="2"/>
    <x v="2"/>
    <n v="14"/>
    <m/>
    <n v="14"/>
    <s v="20271207150000"/>
    <s v="디캔팅"/>
    <s v="입고"/>
    <s v="작업완료"/>
    <s v="1006"/>
    <x v="6"/>
    <s v="2026-08-12 15:14:12"/>
    <s v="월수금"/>
    <x v="2"/>
  </r>
  <r>
    <d v="2026-08-12T15:15:56"/>
    <s v="19023781"/>
    <x v="2"/>
    <x v="2"/>
    <n v="14"/>
    <m/>
    <n v="14"/>
    <s v="20271207150000"/>
    <s v="디캔팅"/>
    <s v="입고"/>
    <s v="작업완료"/>
    <s v="1006"/>
    <x v="6"/>
    <s v="2026-08-12 15:14:14"/>
    <s v="월수금"/>
    <x v="2"/>
  </r>
  <r>
    <d v="2026-08-12T14:01:33"/>
    <s v="19024717"/>
    <x v="2"/>
    <x v="2"/>
    <n v="14"/>
    <m/>
    <n v="14"/>
    <s v="20271207150000"/>
    <s v="디캔팅"/>
    <s v="입고"/>
    <s v="작업완료"/>
    <s v="1003"/>
    <x v="5"/>
    <s v="2026-08-12 13:59:38"/>
    <s v="월수금"/>
    <x v="2"/>
  </r>
  <r>
    <d v="2026-08-12T14:01:32"/>
    <s v="19024223"/>
    <x v="2"/>
    <x v="2"/>
    <n v="12"/>
    <m/>
    <n v="12"/>
    <s v="20271207150000"/>
    <s v="디캔팅"/>
    <s v="입고"/>
    <s v="작업완료"/>
    <s v="1003"/>
    <x v="5"/>
    <s v="2026-08-12 13:59:49"/>
    <s v="월수금"/>
    <x v="2"/>
  </r>
  <r>
    <d v="2026-08-12T14:01:23"/>
    <s v="19001699"/>
    <x v="2"/>
    <x v="2"/>
    <n v="14"/>
    <m/>
    <n v="14"/>
    <s v="20271207150000"/>
    <s v="디캔팅"/>
    <s v="입고"/>
    <s v="작업완료"/>
    <s v="1003"/>
    <x v="5"/>
    <s v="2026-08-12 13:59:34"/>
    <s v="월수금"/>
    <x v="2"/>
  </r>
  <r>
    <d v="2026-08-12T14:00:07"/>
    <s v="19012232"/>
    <x v="2"/>
    <x v="2"/>
    <n v="14"/>
    <m/>
    <n v="14"/>
    <s v="20271207150000"/>
    <s v="디캔팅"/>
    <s v="입고"/>
    <s v="작업완료"/>
    <s v="1003"/>
    <x v="5"/>
    <s v="2026-08-12 13:58:10"/>
    <s v="월수금"/>
    <x v="2"/>
  </r>
  <r>
    <d v="2026-08-12T13:59:59"/>
    <s v="19005337"/>
    <x v="2"/>
    <x v="2"/>
    <n v="14"/>
    <m/>
    <n v="14"/>
    <s v="20271207150000"/>
    <s v="디캔팅"/>
    <s v="입고"/>
    <s v="작업완료"/>
    <s v="1003"/>
    <x v="5"/>
    <s v="2026-08-12 13:58:06"/>
    <s v="월수금"/>
    <x v="2"/>
  </r>
  <r>
    <d v="2026-08-12T13:58:28"/>
    <s v="19018867"/>
    <x v="2"/>
    <x v="2"/>
    <n v="14"/>
    <m/>
    <n v="14"/>
    <s v="20271207150000"/>
    <s v="디캔팅"/>
    <s v="입고"/>
    <s v="작업완료"/>
    <s v="1003"/>
    <x v="5"/>
    <s v="2026-08-12 13:56:50"/>
    <s v="월수금"/>
    <x v="2"/>
  </r>
  <r>
    <d v="2026-08-12T13:58:27"/>
    <s v="19010875"/>
    <x v="2"/>
    <x v="2"/>
    <n v="14"/>
    <m/>
    <n v="14"/>
    <s v="20271207150000"/>
    <s v="디캔팅"/>
    <s v="입고"/>
    <s v="작업완료"/>
    <s v="1003"/>
    <x v="5"/>
    <s v="2026-08-12 13:56:45"/>
    <s v="월수금"/>
    <x v="2"/>
  </r>
  <r>
    <d v="2026-08-12T13:56:49"/>
    <s v="19001011"/>
    <x v="2"/>
    <x v="2"/>
    <n v="14"/>
    <m/>
    <n v="14"/>
    <s v="20271207150000"/>
    <s v="디캔팅"/>
    <s v="입고"/>
    <s v="작업완료"/>
    <s v="1003"/>
    <x v="5"/>
    <s v="2026-08-12 13:55:13"/>
    <s v="월수금"/>
    <x v="2"/>
  </r>
  <r>
    <d v="2026-08-12T13:56:44"/>
    <s v="19005221"/>
    <x v="2"/>
    <x v="2"/>
    <n v="14"/>
    <m/>
    <n v="14"/>
    <s v="20271207150000"/>
    <s v="디캔팅"/>
    <s v="입고"/>
    <s v="작업완료"/>
    <s v="1003"/>
    <x v="5"/>
    <s v="2026-08-12 13:55:09"/>
    <s v="월수금"/>
    <x v="2"/>
  </r>
  <r>
    <d v="2026-08-12T13:55:53"/>
    <s v="19008438"/>
    <x v="2"/>
    <x v="2"/>
    <n v="14"/>
    <m/>
    <n v="14"/>
    <s v="20271207150000"/>
    <s v="디캔팅"/>
    <s v="입고"/>
    <s v="작업완료"/>
    <s v="1003"/>
    <x v="5"/>
    <s v="2026-08-12 13:54:16"/>
    <s v="월수금"/>
    <x v="2"/>
  </r>
  <r>
    <d v="2026-08-12T13:55:48"/>
    <s v="19004382"/>
    <x v="2"/>
    <x v="2"/>
    <n v="14"/>
    <m/>
    <n v="14"/>
    <s v="20271207150000"/>
    <s v="디캔팅"/>
    <s v="입고"/>
    <s v="작업완료"/>
    <s v="1003"/>
    <x v="5"/>
    <s v="2026-08-12 13:54:12"/>
    <s v="월수금"/>
    <x v="2"/>
  </r>
  <r>
    <d v="2026-08-12T13:54:06"/>
    <s v="19002975"/>
    <x v="2"/>
    <x v="2"/>
    <n v="14"/>
    <m/>
    <n v="14"/>
    <s v="20271207150000"/>
    <s v="디캔팅"/>
    <s v="입고"/>
    <s v="작업완료"/>
    <s v="1003"/>
    <x v="5"/>
    <s v="2026-08-12 13:52:39"/>
    <s v="월수금"/>
    <x v="2"/>
  </r>
  <r>
    <d v="2026-08-12T13:54:03"/>
    <s v="19006461"/>
    <x v="2"/>
    <x v="2"/>
    <n v="14"/>
    <m/>
    <n v="14"/>
    <s v="20271207150000"/>
    <s v="디캔팅"/>
    <s v="입고"/>
    <s v="작업완료"/>
    <s v="1003"/>
    <x v="5"/>
    <s v="2026-08-12 13:52:42"/>
    <s v="월수금"/>
    <x v="2"/>
  </r>
  <r>
    <d v="2026-08-12T13:53:09"/>
    <s v="19000752"/>
    <x v="2"/>
    <x v="2"/>
    <n v="14"/>
    <m/>
    <n v="14"/>
    <s v="20271207150000"/>
    <s v="디캔팅"/>
    <s v="입고"/>
    <s v="작업완료"/>
    <s v="1003"/>
    <x v="5"/>
    <s v="2026-08-12 13:51:28"/>
    <s v="월수금"/>
    <x v="2"/>
  </r>
  <r>
    <d v="2026-08-12T13:52:57"/>
    <s v="19001658"/>
    <x v="2"/>
    <x v="2"/>
    <n v="14"/>
    <m/>
    <n v="14"/>
    <s v="20271207150000"/>
    <s v="디캔팅"/>
    <s v="입고"/>
    <s v="작업완료"/>
    <s v="1003"/>
    <x v="5"/>
    <s v="2026-08-12 13:51:19"/>
    <s v="월수금"/>
    <x v="2"/>
  </r>
  <r>
    <d v="2026-08-12T13:51:20"/>
    <s v="19000365"/>
    <x v="2"/>
    <x v="2"/>
    <n v="14"/>
    <m/>
    <n v="14"/>
    <s v="20271207150000"/>
    <s v="디캔팅"/>
    <s v="입고"/>
    <s v="작업완료"/>
    <s v="1003"/>
    <x v="5"/>
    <s v="2026-08-12 13:49:40"/>
    <s v="월수금"/>
    <x v="2"/>
  </r>
  <r>
    <d v="2026-08-12T13:51:16"/>
    <s v="19023134"/>
    <x v="2"/>
    <x v="2"/>
    <n v="14"/>
    <m/>
    <n v="14"/>
    <s v="20271207150000"/>
    <s v="디캔팅"/>
    <s v="입고"/>
    <s v="작업완료"/>
    <s v="1003"/>
    <x v="5"/>
    <s v="2026-08-12 13:49:45"/>
    <s v="월수금"/>
    <x v="2"/>
  </r>
  <r>
    <d v="2026-08-12T13:50:23"/>
    <s v="19019878"/>
    <x v="2"/>
    <x v="2"/>
    <n v="14"/>
    <m/>
    <n v="14"/>
    <s v="20271207150000"/>
    <s v="디캔팅"/>
    <s v="입고"/>
    <s v="작업완료"/>
    <s v="1003"/>
    <x v="5"/>
    <s v="2026-08-12 13:48:16"/>
    <s v="월수금"/>
    <x v="2"/>
  </r>
  <r>
    <d v="2026-08-12T13:50:04"/>
    <s v="19005477"/>
    <x v="2"/>
    <x v="2"/>
    <n v="14"/>
    <m/>
    <n v="14"/>
    <s v="20271207150000"/>
    <s v="디캔팅"/>
    <s v="입고"/>
    <s v="작업완료"/>
    <s v="1003"/>
    <x v="5"/>
    <s v="2026-08-12 13:48:14"/>
    <s v="월수금"/>
    <x v="2"/>
  </r>
  <r>
    <d v="2026-08-12T13:48:32"/>
    <s v="19026209"/>
    <x v="2"/>
    <x v="2"/>
    <n v="14"/>
    <m/>
    <n v="14"/>
    <s v="20271207150000"/>
    <s v="디캔팅"/>
    <s v="입고"/>
    <s v="작업완료"/>
    <s v="1003"/>
    <x v="5"/>
    <s v="2026-08-12 13:46:27"/>
    <s v="월수금"/>
    <x v="2"/>
  </r>
  <r>
    <d v="2026-08-12T13:47:58"/>
    <s v="19023446"/>
    <x v="2"/>
    <x v="2"/>
    <n v="14"/>
    <m/>
    <n v="14"/>
    <s v="20271207150000"/>
    <s v="디캔팅"/>
    <s v="입고"/>
    <s v="작업완료"/>
    <s v="1003"/>
    <x v="5"/>
    <s v="2026-08-12 13:46:30"/>
    <s v="월수금"/>
    <x v="2"/>
  </r>
  <r>
    <d v="2026-08-12T13:46:41"/>
    <s v="19029197"/>
    <x v="2"/>
    <x v="2"/>
    <n v="14"/>
    <m/>
    <n v="14"/>
    <s v="20271207150000"/>
    <s v="디캔팅"/>
    <s v="입고"/>
    <s v="작업완료"/>
    <s v="1003"/>
    <x v="5"/>
    <s v="2026-08-12 13:45:11"/>
    <s v="월수금"/>
    <x v="2"/>
  </r>
  <r>
    <d v="2026-08-12T13:46:28"/>
    <s v="19013807"/>
    <x v="2"/>
    <x v="2"/>
    <n v="14"/>
    <m/>
    <n v="14"/>
    <s v="20271207150000"/>
    <s v="디캔팅"/>
    <s v="입고"/>
    <s v="작업완료"/>
    <s v="1003"/>
    <x v="5"/>
    <s v="2026-08-12 13:45:08"/>
    <s v="월수금"/>
    <x v="2"/>
  </r>
  <r>
    <d v="2026-08-12T09:21:44"/>
    <s v="19002651"/>
    <x v="2"/>
    <x v="2"/>
    <n v="12"/>
    <m/>
    <n v="12"/>
    <s v="20271208000000"/>
    <s v="디캔팅"/>
    <s v="입고"/>
    <s v="작업완료"/>
    <s v="1005"/>
    <x v="2"/>
    <s v="2026-08-12 09:19:48"/>
    <s v="월수금"/>
    <x v="2"/>
  </r>
  <r>
    <d v="2026-08-12T09:21:25"/>
    <s v="19027894"/>
    <x v="2"/>
    <x v="2"/>
    <n v="14"/>
    <m/>
    <n v="14"/>
    <s v="20271208000000"/>
    <s v="디캔팅"/>
    <s v="입고"/>
    <s v="작업완료"/>
    <s v="1005"/>
    <x v="2"/>
    <s v="2026-08-12 09:19:40"/>
    <s v="월수금"/>
    <x v="2"/>
  </r>
  <r>
    <d v="2026-08-12T09:21:06"/>
    <s v="19018139"/>
    <x v="2"/>
    <x v="2"/>
    <n v="14"/>
    <m/>
    <n v="14"/>
    <s v="20271208000000"/>
    <s v="디캔팅"/>
    <s v="입고"/>
    <s v="작업완료"/>
    <s v="1005"/>
    <x v="2"/>
    <s v="2026-08-12 09:19:35"/>
    <s v="월수금"/>
    <x v="2"/>
  </r>
  <r>
    <d v="2026-08-12T09:19:57"/>
    <s v="19014253"/>
    <x v="2"/>
    <x v="2"/>
    <n v="14"/>
    <m/>
    <n v="14"/>
    <s v="20271208000000"/>
    <s v="디캔팅"/>
    <s v="입고"/>
    <s v="작업완료"/>
    <s v="1005"/>
    <x v="2"/>
    <s v="2026-08-12 09:17:59"/>
    <s v="월수금"/>
    <x v="2"/>
  </r>
  <r>
    <d v="2026-08-12T09:19:49"/>
    <s v="19003501"/>
    <x v="2"/>
    <x v="2"/>
    <n v="14"/>
    <m/>
    <n v="14"/>
    <s v="20271208000000"/>
    <s v="디캔팅"/>
    <s v="입고"/>
    <s v="작업완료"/>
    <s v="1005"/>
    <x v="2"/>
    <s v="2026-08-12 09:17:54"/>
    <s v="월수금"/>
    <x v="2"/>
  </r>
  <r>
    <d v="2026-08-12T09:17:25"/>
    <s v="19002030"/>
    <x v="2"/>
    <x v="2"/>
    <n v="14"/>
    <m/>
    <n v="14"/>
    <s v="20271208000000"/>
    <s v="디캔팅"/>
    <s v="입고"/>
    <s v="작업완료"/>
    <s v="1005"/>
    <x v="2"/>
    <s v="2026-08-12 09:15:27"/>
    <s v="월수금"/>
    <x v="2"/>
  </r>
  <r>
    <d v="2026-08-12T09:17:15"/>
    <s v="19004876"/>
    <x v="2"/>
    <x v="2"/>
    <n v="14"/>
    <m/>
    <n v="14"/>
    <s v="20271208000000"/>
    <s v="디캔팅"/>
    <s v="입고"/>
    <s v="작업완료"/>
    <s v="1005"/>
    <x v="2"/>
    <s v="2026-08-12 09:15:34"/>
    <s v="월수금"/>
    <x v="2"/>
  </r>
  <r>
    <d v="2026-08-12T09:16:04"/>
    <s v="19015857"/>
    <x v="2"/>
    <x v="2"/>
    <n v="14"/>
    <m/>
    <n v="14"/>
    <s v="20271208000000"/>
    <s v="디캔팅"/>
    <s v="입고"/>
    <s v="작업완료"/>
    <s v="1005"/>
    <x v="2"/>
    <s v="2026-08-12 09:13:34"/>
    <s v="월수금"/>
    <x v="2"/>
  </r>
  <r>
    <d v="2026-08-12T09:15:19"/>
    <s v="19002694"/>
    <x v="2"/>
    <x v="2"/>
    <n v="14"/>
    <m/>
    <n v="14"/>
    <s v="20271208000000"/>
    <s v="디캔팅"/>
    <s v="입고"/>
    <s v="작업완료"/>
    <s v="1005"/>
    <x v="2"/>
    <s v="2026-08-12 09:13:29"/>
    <s v="월수금"/>
    <x v="2"/>
  </r>
  <r>
    <d v="2026-08-12T09:15:10"/>
    <s v="19009767"/>
    <x v="2"/>
    <x v="2"/>
    <n v="14"/>
    <m/>
    <n v="14"/>
    <s v="20271208000000"/>
    <s v="디캔팅"/>
    <s v="입고"/>
    <s v="작업완료"/>
    <s v="1005"/>
    <x v="2"/>
    <s v="2026-08-12 09:12:38"/>
    <s v="월수금"/>
    <x v="2"/>
  </r>
  <r>
    <d v="2026-08-12T09:14:22"/>
    <s v="19017693"/>
    <x v="2"/>
    <x v="2"/>
    <n v="14"/>
    <m/>
    <n v="14"/>
    <s v="20271208000000"/>
    <s v="디캔팅"/>
    <s v="입고"/>
    <s v="작업완료"/>
    <s v="1005"/>
    <x v="2"/>
    <s v="2026-08-12 09:12:33"/>
    <s v="월수금"/>
    <x v="2"/>
  </r>
  <r>
    <d v="2026-08-12T09:10:54"/>
    <s v="19007135"/>
    <x v="2"/>
    <x v="2"/>
    <n v="14"/>
    <m/>
    <n v="14"/>
    <s v="20271208000000"/>
    <s v="디캔팅"/>
    <s v="입고"/>
    <s v="작업완료"/>
    <s v="1005"/>
    <x v="2"/>
    <s v="2026-08-12 09:09:00"/>
    <s v="월수금"/>
    <x v="2"/>
  </r>
  <r>
    <d v="2026-08-12T09:10:47"/>
    <s v="19010732"/>
    <x v="2"/>
    <x v="2"/>
    <n v="14"/>
    <m/>
    <n v="14"/>
    <s v="20271208000000"/>
    <s v="디캔팅"/>
    <s v="입고"/>
    <s v="작업완료"/>
    <s v="1005"/>
    <x v="2"/>
    <s v="2026-08-12 09:09:05"/>
    <s v="월수금"/>
    <x v="2"/>
  </r>
  <r>
    <d v="2026-08-12T09:10:05"/>
    <s v="19007670"/>
    <x v="2"/>
    <x v="2"/>
    <n v="14"/>
    <m/>
    <n v="14"/>
    <s v="20271208000000"/>
    <s v="디캔팅"/>
    <s v="입고"/>
    <s v="작업완료"/>
    <s v="1005"/>
    <x v="2"/>
    <s v="2026-08-12 09:08:19"/>
    <s v="월수금"/>
    <x v="2"/>
  </r>
  <r>
    <d v="2026-08-12T09:10:04"/>
    <s v="19007336"/>
    <x v="2"/>
    <x v="2"/>
    <n v="14"/>
    <m/>
    <n v="14"/>
    <s v="20271208000000"/>
    <s v="디캔팅"/>
    <s v="입고"/>
    <s v="작업완료"/>
    <s v="1005"/>
    <x v="2"/>
    <s v="2026-08-12 09:08:14"/>
    <s v="월수금"/>
    <x v="2"/>
  </r>
  <r>
    <d v="2026-08-12T09:06:16"/>
    <s v="19007392"/>
    <x v="2"/>
    <x v="2"/>
    <n v="14"/>
    <m/>
    <n v="14"/>
    <s v="20271208000000"/>
    <s v="디캔팅"/>
    <s v="입고"/>
    <s v="작업완료"/>
    <s v="1005"/>
    <x v="2"/>
    <s v="2026-08-12 09:04:27"/>
    <s v="월수금"/>
    <x v="2"/>
  </r>
  <r>
    <d v="2026-08-12T09:06:14"/>
    <s v="19002621"/>
    <x v="2"/>
    <x v="2"/>
    <n v="14"/>
    <m/>
    <n v="14"/>
    <s v="20271208000000"/>
    <s v="디캔팅"/>
    <s v="입고"/>
    <s v="작업완료"/>
    <s v="1005"/>
    <x v="2"/>
    <s v="2026-08-12 09:04:22"/>
    <s v="월수금"/>
    <x v="2"/>
  </r>
  <r>
    <d v="2026-08-12T09:05:35"/>
    <s v="19028966"/>
    <x v="2"/>
    <x v="2"/>
    <n v="14"/>
    <m/>
    <n v="14"/>
    <s v="20271208000000"/>
    <s v="디캔팅"/>
    <s v="입고"/>
    <s v="작업완료"/>
    <s v="1005"/>
    <x v="2"/>
    <s v="2026-08-12 09:03:46"/>
    <s v="월수금"/>
    <x v="2"/>
  </r>
  <r>
    <d v="2026-08-12T09:05:22"/>
    <s v="19002838"/>
    <x v="2"/>
    <x v="2"/>
    <n v="14"/>
    <m/>
    <n v="14"/>
    <s v="20271208000000"/>
    <s v="디캔팅"/>
    <s v="입고"/>
    <s v="작업완료"/>
    <s v="1005"/>
    <x v="2"/>
    <s v="2026-08-12 09:03:41"/>
    <s v="월수금"/>
    <x v="2"/>
  </r>
  <r>
    <d v="2026-08-12T09:02:49"/>
    <s v="19013889"/>
    <x v="2"/>
    <x v="2"/>
    <n v="14"/>
    <m/>
    <n v="14"/>
    <s v="20271208000000"/>
    <s v="디캔팅"/>
    <s v="입고"/>
    <s v="작업완료"/>
    <s v="1005"/>
    <x v="2"/>
    <s v="2026-08-12 09:00:32"/>
    <s v="월수금"/>
    <x v="2"/>
  </r>
  <r>
    <d v="2026-08-12T09:02:03"/>
    <s v="19010463"/>
    <x v="2"/>
    <x v="2"/>
    <n v="14"/>
    <m/>
    <n v="14"/>
    <s v="20271208000000"/>
    <s v="디캔팅"/>
    <s v="입고"/>
    <s v="작업완료"/>
    <s v="1005"/>
    <x v="2"/>
    <s v="2026-08-12 09:00:26"/>
    <s v="월수금"/>
    <x v="2"/>
  </r>
  <r>
    <d v="2026-08-12T09:01:23"/>
    <s v="19010038"/>
    <x v="2"/>
    <x v="2"/>
    <n v="14"/>
    <m/>
    <n v="14"/>
    <s v="20271208000000"/>
    <s v="디캔팅"/>
    <s v="입고"/>
    <s v="작업완료"/>
    <s v="1005"/>
    <x v="2"/>
    <s v="2026-08-12 08:59:46"/>
    <s v="월수금"/>
    <x v="2"/>
  </r>
  <r>
    <d v="2026-08-12T09:01:21"/>
    <s v="19002389"/>
    <x v="2"/>
    <x v="2"/>
    <n v="14"/>
    <m/>
    <n v="14"/>
    <s v="20271208000000"/>
    <s v="디캔팅"/>
    <s v="입고"/>
    <s v="작업완료"/>
    <s v="1005"/>
    <x v="2"/>
    <s v="2026-08-12 08:59:42"/>
    <s v="월수금"/>
    <x v="2"/>
  </r>
  <r>
    <d v="2026-08-10T23:55:57"/>
    <s v="19001509"/>
    <x v="2"/>
    <x v="2"/>
    <n v="12"/>
    <m/>
    <n v="12"/>
    <s v="20271207150000"/>
    <s v="디캔팅"/>
    <s v="입고"/>
    <s v="작업완료"/>
    <s v="1005"/>
    <x v="2"/>
    <s v="2026-08-10 23:53:52"/>
    <s v="월수금"/>
    <x v="3"/>
  </r>
  <r>
    <d v="2026-08-10T23:55:34"/>
    <s v="19021669"/>
    <x v="2"/>
    <x v="2"/>
    <n v="14"/>
    <m/>
    <n v="14"/>
    <s v="20271207150000"/>
    <s v="디캔팅"/>
    <s v="입고"/>
    <s v="작업완료"/>
    <s v="1005"/>
    <x v="2"/>
    <s v="2026-08-10 23:53:46"/>
    <s v="월수금"/>
    <x v="3"/>
  </r>
  <r>
    <d v="2026-08-10T23:55:13"/>
    <s v="19005482"/>
    <x v="2"/>
    <x v="2"/>
    <n v="14"/>
    <m/>
    <n v="14"/>
    <s v="20271207150000"/>
    <s v="디캔팅"/>
    <s v="입고"/>
    <s v="작업완료"/>
    <s v="1005"/>
    <x v="2"/>
    <s v="2026-08-10 23:53:43"/>
    <s v="월수금"/>
    <x v="3"/>
  </r>
  <r>
    <d v="2026-08-10T23:54:00"/>
    <s v="19006574"/>
    <x v="2"/>
    <x v="2"/>
    <n v="14"/>
    <m/>
    <n v="14"/>
    <s v="20271207150000"/>
    <s v="디캔팅"/>
    <s v="입고"/>
    <s v="작업완료"/>
    <s v="1005"/>
    <x v="2"/>
    <s v="2026-08-10 23:52:04"/>
    <s v="월수금"/>
    <x v="3"/>
  </r>
  <r>
    <d v="2026-08-10T23:53:44"/>
    <s v="19004125"/>
    <x v="2"/>
    <x v="2"/>
    <n v="14"/>
    <m/>
    <n v="14"/>
    <s v="20271207150000"/>
    <s v="디캔팅"/>
    <s v="입고"/>
    <s v="작업완료"/>
    <s v="1005"/>
    <x v="2"/>
    <s v="2026-08-10 23:52:00"/>
    <s v="월수금"/>
    <x v="3"/>
  </r>
  <r>
    <d v="2026-08-10T23:53:23"/>
    <s v="19024308"/>
    <x v="2"/>
    <x v="2"/>
    <n v="14"/>
    <m/>
    <n v="14"/>
    <s v="20271207150000"/>
    <s v="디캔팅"/>
    <s v="입고"/>
    <s v="작업완료"/>
    <s v="1005"/>
    <x v="2"/>
    <s v="2026-08-10 23:51:19"/>
    <s v="월수금"/>
    <x v="3"/>
  </r>
  <r>
    <d v="2026-08-10T23:53:16"/>
    <s v="19005949"/>
    <x v="2"/>
    <x v="2"/>
    <n v="14"/>
    <m/>
    <n v="14"/>
    <s v="20271207150000"/>
    <s v="디캔팅"/>
    <s v="입고"/>
    <s v="작업완료"/>
    <s v="1005"/>
    <x v="2"/>
    <s v="2026-08-10 23:51:15"/>
    <s v="월수금"/>
    <x v="3"/>
  </r>
  <r>
    <d v="2026-08-10T23:36:34"/>
    <s v="19014817"/>
    <x v="2"/>
    <x v="2"/>
    <n v="14"/>
    <m/>
    <n v="14"/>
    <s v="20271207150000"/>
    <s v="디캔팅"/>
    <s v="입고"/>
    <s v="작업완료"/>
    <s v="1005"/>
    <x v="2"/>
    <s v="2026-08-10 23:34:56"/>
    <s v="월수금"/>
    <x v="3"/>
  </r>
  <r>
    <d v="2026-08-10T23:36:32"/>
    <s v="19007164"/>
    <x v="2"/>
    <x v="2"/>
    <n v="14"/>
    <m/>
    <n v="14"/>
    <s v="20271207150000"/>
    <s v="디캔팅"/>
    <s v="입고"/>
    <s v="작업완료"/>
    <s v="1005"/>
    <x v="2"/>
    <s v="2026-08-10 23:35:00"/>
    <s v="월수금"/>
    <x v="3"/>
  </r>
  <r>
    <d v="2026-08-10T23:35:55"/>
    <s v="19001549"/>
    <x v="2"/>
    <x v="2"/>
    <n v="14"/>
    <m/>
    <n v="14"/>
    <s v="20271207150000"/>
    <s v="디캔팅"/>
    <s v="입고"/>
    <s v="작업완료"/>
    <s v="1005"/>
    <x v="2"/>
    <s v="2026-08-10 23:34:11"/>
    <s v="월수금"/>
    <x v="3"/>
  </r>
  <r>
    <d v="2026-08-10T23:35:50"/>
    <s v="19013044"/>
    <x v="2"/>
    <x v="2"/>
    <n v="14"/>
    <m/>
    <n v="14"/>
    <s v="20271207150000"/>
    <s v="디캔팅"/>
    <s v="입고"/>
    <s v="작업완료"/>
    <s v="1005"/>
    <x v="2"/>
    <s v="2026-08-10 23:34:07"/>
    <s v="월수금"/>
    <x v="3"/>
  </r>
  <r>
    <d v="2026-08-10T23:34:06"/>
    <s v="19011092"/>
    <x v="2"/>
    <x v="2"/>
    <n v="14"/>
    <m/>
    <n v="14"/>
    <s v="20271207150000"/>
    <s v="디캔팅"/>
    <s v="입고"/>
    <s v="작업완료"/>
    <s v="1005"/>
    <x v="2"/>
    <s v="2026-08-10 23:32:15"/>
    <s v="월수금"/>
    <x v="3"/>
  </r>
  <r>
    <d v="2026-08-10T23:33:53"/>
    <s v="19008042"/>
    <x v="2"/>
    <x v="2"/>
    <n v="14"/>
    <m/>
    <n v="14"/>
    <s v="20271207150000"/>
    <s v="디캔팅"/>
    <s v="입고"/>
    <s v="작업완료"/>
    <s v="1005"/>
    <x v="2"/>
    <s v="2026-08-10 23:32:18"/>
    <s v="월수금"/>
    <x v="3"/>
  </r>
  <r>
    <d v="2026-08-10T23:33:44"/>
    <s v="19015332"/>
    <x v="2"/>
    <x v="2"/>
    <n v="14"/>
    <m/>
    <n v="14"/>
    <s v="20271207150000"/>
    <s v="디캔팅"/>
    <s v="입고"/>
    <s v="작업완료"/>
    <s v="1005"/>
    <x v="2"/>
    <s v="2026-08-10 23:31:26"/>
    <s v="월수금"/>
    <x v="3"/>
  </r>
  <r>
    <d v="2026-08-10T23:33:41"/>
    <s v="19013301"/>
    <x v="2"/>
    <x v="2"/>
    <n v="14"/>
    <m/>
    <n v="14"/>
    <s v="20271207150000"/>
    <s v="디캔팅"/>
    <s v="입고"/>
    <s v="작업완료"/>
    <s v="1005"/>
    <x v="2"/>
    <s v="2026-08-10 23:31:23"/>
    <s v="월수금"/>
    <x v="3"/>
  </r>
  <r>
    <d v="2026-08-10T23:30:59"/>
    <s v="19004296"/>
    <x v="2"/>
    <x v="2"/>
    <n v="14"/>
    <m/>
    <n v="14"/>
    <s v="20271207150000"/>
    <s v="디캔팅"/>
    <s v="입고"/>
    <s v="작업완료"/>
    <s v="1005"/>
    <x v="2"/>
    <s v="2026-08-10 23:29:10"/>
    <s v="월수금"/>
    <x v="3"/>
  </r>
  <r>
    <d v="2026-08-10T23:30:46"/>
    <s v="19015462"/>
    <x v="2"/>
    <x v="2"/>
    <n v="14"/>
    <m/>
    <n v="14"/>
    <s v="20271207150000"/>
    <s v="디캔팅"/>
    <s v="입고"/>
    <s v="작업완료"/>
    <s v="1005"/>
    <x v="2"/>
    <s v="2026-08-10 23:28:14"/>
    <s v="월수금"/>
    <x v="3"/>
  </r>
  <r>
    <d v="2026-08-10T23:30:38"/>
    <s v="19029496"/>
    <x v="2"/>
    <x v="2"/>
    <n v="14"/>
    <m/>
    <n v="14"/>
    <s v="20271207150000"/>
    <s v="디캔팅"/>
    <s v="입고"/>
    <s v="작업완료"/>
    <s v="1005"/>
    <x v="2"/>
    <s v="2026-08-10 23:29:13"/>
    <s v="월수금"/>
    <x v="3"/>
  </r>
  <r>
    <d v="2026-08-10T23:30:09"/>
    <s v="19009915"/>
    <x v="2"/>
    <x v="2"/>
    <n v="14"/>
    <m/>
    <n v="14"/>
    <s v="20271207150000"/>
    <s v="디캔팅"/>
    <s v="입고"/>
    <s v="작업완료"/>
    <s v="1005"/>
    <x v="2"/>
    <s v="2026-08-10 23:28:11"/>
    <s v="월수금"/>
    <x v="3"/>
  </r>
  <r>
    <d v="2026-08-10T23:28:13"/>
    <s v="19011265"/>
    <x v="2"/>
    <x v="2"/>
    <n v="14"/>
    <m/>
    <n v="14"/>
    <s v="20271207150000"/>
    <s v="디캔팅"/>
    <s v="입고"/>
    <s v="작업완료"/>
    <s v="1005"/>
    <x v="2"/>
    <s v="2026-08-10 23:26:23"/>
    <s v="월수금"/>
    <x v="3"/>
  </r>
  <r>
    <d v="2026-08-10T23:28:02"/>
    <s v="19024184"/>
    <x v="2"/>
    <x v="2"/>
    <n v="14"/>
    <m/>
    <n v="14"/>
    <s v="20271207150000"/>
    <s v="디캔팅"/>
    <s v="입고"/>
    <s v="작업완료"/>
    <s v="1005"/>
    <x v="2"/>
    <s v="2026-08-10 23:26:26"/>
    <s v="월수금"/>
    <x v="3"/>
  </r>
  <r>
    <d v="2026-08-10T23:27:10"/>
    <s v="19013292"/>
    <x v="2"/>
    <x v="2"/>
    <n v="14"/>
    <m/>
    <n v="14"/>
    <s v="20271207150000"/>
    <s v="디캔팅"/>
    <s v="입고"/>
    <s v="작업완료"/>
    <s v="1005"/>
    <x v="2"/>
    <s v="2026-08-10 23:25:33"/>
    <s v="월수금"/>
    <x v="3"/>
  </r>
  <r>
    <d v="2026-08-10T23:27:01"/>
    <s v="19017841"/>
    <x v="2"/>
    <x v="2"/>
    <n v="14"/>
    <m/>
    <n v="14"/>
    <s v="20271207150000"/>
    <s v="디캔팅"/>
    <s v="입고"/>
    <s v="작업완료"/>
    <s v="1005"/>
    <x v="2"/>
    <s v="2026-08-10 23:25:29"/>
    <s v="월수금"/>
    <x v="3"/>
  </r>
  <r>
    <d v="2026-08-10T16:40:39"/>
    <s v="19004809"/>
    <x v="2"/>
    <x v="2"/>
    <n v="12"/>
    <m/>
    <n v="12"/>
    <s v="20271207150000"/>
    <s v="디캔팅"/>
    <s v="입고"/>
    <s v="작업완료"/>
    <s v="1005"/>
    <x v="2"/>
    <s v="2026-08-10 16:38:49"/>
    <s v="월수금"/>
    <x v="3"/>
  </r>
  <r>
    <d v="2026-08-10T16:40:37"/>
    <s v="19009499"/>
    <x v="2"/>
    <x v="2"/>
    <n v="14"/>
    <m/>
    <n v="14"/>
    <s v="20271207150000"/>
    <s v="디캔팅"/>
    <s v="입고"/>
    <s v="작업완료"/>
    <s v="1005"/>
    <x v="2"/>
    <s v="2026-08-10 16:38:26"/>
    <s v="월수금"/>
    <x v="3"/>
  </r>
  <r>
    <d v="2026-08-10T16:40:36"/>
    <s v="19001647"/>
    <x v="2"/>
    <x v="2"/>
    <n v="14"/>
    <m/>
    <n v="14"/>
    <s v="20271207150000"/>
    <s v="디캔팅"/>
    <s v="입고"/>
    <s v="작업완료"/>
    <s v="1005"/>
    <x v="2"/>
    <s v="2026-08-10 16:38:40"/>
    <s v="월수금"/>
    <x v="3"/>
  </r>
  <r>
    <d v="2026-08-10T16:37:50"/>
    <s v="19003421"/>
    <x v="2"/>
    <x v="2"/>
    <n v="14"/>
    <m/>
    <n v="14"/>
    <s v="20271207150000"/>
    <s v="디캔팅"/>
    <s v="입고"/>
    <s v="작업완료"/>
    <s v="1005"/>
    <x v="2"/>
    <s v="2026-08-10 16:35:57"/>
    <s v="월수금"/>
    <x v="3"/>
  </r>
  <r>
    <d v="2026-08-10T16:37:30"/>
    <s v="19011717"/>
    <x v="2"/>
    <x v="2"/>
    <n v="14"/>
    <m/>
    <n v="14"/>
    <s v="20271207150000"/>
    <s v="디캔팅"/>
    <s v="입고"/>
    <s v="작업완료"/>
    <s v="1005"/>
    <x v="2"/>
    <s v="2026-08-10 16:36:03"/>
    <s v="월수금"/>
    <x v="3"/>
  </r>
  <r>
    <d v="2026-08-10T16:37:19"/>
    <s v="19001377"/>
    <x v="2"/>
    <x v="2"/>
    <n v="14"/>
    <m/>
    <n v="14"/>
    <s v="20271207150000"/>
    <s v="디캔팅"/>
    <s v="입고"/>
    <s v="작업완료"/>
    <s v="1005"/>
    <x v="2"/>
    <s v="2026-08-10 16:35:53"/>
    <s v="월수금"/>
    <x v="3"/>
  </r>
  <r>
    <d v="2026-08-10T16:35:31"/>
    <s v="19000910"/>
    <x v="2"/>
    <x v="2"/>
    <n v="14"/>
    <m/>
    <n v="14"/>
    <s v="20271207150000"/>
    <s v="디캔팅"/>
    <s v="입고"/>
    <s v="작업완료"/>
    <s v="1005"/>
    <x v="2"/>
    <s v="2026-08-10 16:33:36"/>
    <s v="월수금"/>
    <x v="3"/>
  </r>
  <r>
    <d v="2026-08-10T16:35:21"/>
    <s v="19026266"/>
    <x v="2"/>
    <x v="2"/>
    <n v="14"/>
    <m/>
    <n v="14"/>
    <s v="20271207150000"/>
    <s v="디캔팅"/>
    <s v="입고"/>
    <s v="작업완료"/>
    <s v="1005"/>
    <x v="2"/>
    <s v="2026-08-10 16:33:45"/>
    <s v="월수금"/>
    <x v="3"/>
  </r>
  <r>
    <d v="2026-08-10T16:35:04"/>
    <s v="19007539"/>
    <x v="2"/>
    <x v="2"/>
    <n v="14"/>
    <m/>
    <n v="14"/>
    <s v="20271207150000"/>
    <s v="디캔팅"/>
    <s v="입고"/>
    <s v="작업완료"/>
    <s v="1005"/>
    <x v="2"/>
    <s v="2026-08-10 16:33:31"/>
    <s v="월수금"/>
    <x v="3"/>
  </r>
  <r>
    <d v="2026-08-10T16:34:54"/>
    <s v="19013374"/>
    <x v="2"/>
    <x v="2"/>
    <n v="14"/>
    <m/>
    <n v="14"/>
    <s v="20271207150000"/>
    <s v="디캔팅"/>
    <s v="입고"/>
    <s v="작업완료"/>
    <s v="1005"/>
    <x v="2"/>
    <s v="2026-08-10 16:31:29"/>
    <s v="월수금"/>
    <x v="3"/>
  </r>
  <r>
    <d v="2026-08-10T16:33:03"/>
    <s v="19010009"/>
    <x v="2"/>
    <x v="2"/>
    <n v="14"/>
    <m/>
    <n v="14"/>
    <s v="20271207150000"/>
    <s v="디캔팅"/>
    <s v="입고"/>
    <s v="작업완료"/>
    <s v="1005"/>
    <x v="2"/>
    <s v="2026-08-10 16:31:34"/>
    <s v="월수금"/>
    <x v="3"/>
  </r>
  <r>
    <d v="2026-08-10T16:30:47"/>
    <s v="19008026"/>
    <x v="2"/>
    <x v="2"/>
    <n v="14"/>
    <m/>
    <n v="14"/>
    <s v="20271207150000"/>
    <s v="디캔팅"/>
    <s v="입고"/>
    <s v="작업완료"/>
    <s v="1005"/>
    <x v="2"/>
    <s v="2026-08-10 16:28:23"/>
    <s v="월수금"/>
    <x v="3"/>
  </r>
  <r>
    <d v="2026-08-10T16:30:34"/>
    <s v="19000242"/>
    <x v="2"/>
    <x v="2"/>
    <n v="14"/>
    <m/>
    <n v="14"/>
    <s v="20271207150000"/>
    <s v="디캔팅"/>
    <s v="입고"/>
    <s v="작업완료"/>
    <s v="1005"/>
    <x v="2"/>
    <s v="2026-08-10 16:28:19"/>
    <s v="월수금"/>
    <x v="3"/>
  </r>
  <r>
    <d v="2026-08-10T16:30:00"/>
    <s v="19011010"/>
    <x v="2"/>
    <x v="2"/>
    <n v="14"/>
    <m/>
    <n v="14"/>
    <s v="20271207150000"/>
    <s v="디캔팅"/>
    <s v="입고"/>
    <s v="작업완료"/>
    <s v="1005"/>
    <x v="2"/>
    <s v="2026-08-10 16:28:13"/>
    <s v="월수금"/>
    <x v="3"/>
  </r>
  <r>
    <d v="2026-08-10T16:27:49"/>
    <s v="19002419"/>
    <x v="2"/>
    <x v="2"/>
    <n v="14"/>
    <m/>
    <n v="14"/>
    <s v="20271207150000"/>
    <s v="디캔팅"/>
    <s v="입고"/>
    <s v="작업완료"/>
    <s v="1005"/>
    <x v="2"/>
    <s v="2026-08-10 16:25:44"/>
    <s v="월수금"/>
    <x v="3"/>
  </r>
  <r>
    <d v="2026-08-10T16:27:20"/>
    <s v="19009482"/>
    <x v="2"/>
    <x v="2"/>
    <n v="14"/>
    <m/>
    <n v="14"/>
    <s v="20271207150000"/>
    <s v="디캔팅"/>
    <s v="입고"/>
    <s v="작업완료"/>
    <s v="1005"/>
    <x v="2"/>
    <s v="2026-08-10 16:25:33"/>
    <s v="월수금"/>
    <x v="3"/>
  </r>
  <r>
    <d v="2026-08-10T16:27:18"/>
    <s v="19014822"/>
    <x v="2"/>
    <x v="2"/>
    <n v="14"/>
    <m/>
    <n v="14"/>
    <s v="20271207150000"/>
    <s v="디캔팅"/>
    <s v="입고"/>
    <s v="작업완료"/>
    <s v="1005"/>
    <x v="2"/>
    <s v="2026-08-10 16:25:38"/>
    <s v="월수금"/>
    <x v="3"/>
  </r>
  <r>
    <d v="2026-08-10T16:25:32"/>
    <s v="19005795"/>
    <x v="2"/>
    <x v="2"/>
    <n v="14"/>
    <m/>
    <n v="14"/>
    <s v="20271207150000"/>
    <s v="디캔팅"/>
    <s v="입고"/>
    <s v="작업완료"/>
    <s v="1005"/>
    <x v="2"/>
    <s v="2026-08-10 16:23:47"/>
    <s v="월수금"/>
    <x v="3"/>
  </r>
  <r>
    <d v="2026-08-10T16:25:26"/>
    <s v="19024485"/>
    <x v="2"/>
    <x v="2"/>
    <n v="14"/>
    <m/>
    <n v="14"/>
    <s v="20271207150000"/>
    <s v="디캔팅"/>
    <s v="입고"/>
    <s v="작업완료"/>
    <s v="1005"/>
    <x v="2"/>
    <s v="2026-08-10 16:23:42"/>
    <s v="월수금"/>
    <x v="3"/>
  </r>
  <r>
    <d v="2026-08-10T16:24:07"/>
    <s v="19020273"/>
    <x v="2"/>
    <x v="2"/>
    <n v="14"/>
    <m/>
    <n v="14"/>
    <s v="20271207150000"/>
    <s v="디캔팅"/>
    <s v="입고"/>
    <s v="작업완료"/>
    <s v="1005"/>
    <x v="2"/>
    <s v="2026-08-10 16:21:55"/>
    <s v="월수금"/>
    <x v="3"/>
  </r>
  <r>
    <d v="2026-08-10T16:23:40"/>
    <s v="19017623"/>
    <x v="2"/>
    <x v="2"/>
    <n v="14"/>
    <m/>
    <n v="14"/>
    <s v="20271207150000"/>
    <s v="디캔팅"/>
    <s v="입고"/>
    <s v="작업완료"/>
    <s v="1005"/>
    <x v="2"/>
    <s v="2026-08-10 16:22:02"/>
    <s v="월수금"/>
    <x v="3"/>
  </r>
  <r>
    <d v="2026-08-10T16:22:28"/>
    <s v="19009300"/>
    <x v="2"/>
    <x v="2"/>
    <n v="14"/>
    <m/>
    <n v="14"/>
    <s v="20271207150000"/>
    <s v="디캔팅"/>
    <s v="입고"/>
    <s v="작업완료"/>
    <s v="1005"/>
    <x v="2"/>
    <s v="2026-08-10 16:19:45"/>
    <s v="월수금"/>
    <x v="3"/>
  </r>
  <r>
    <d v="2026-08-10T16:21:20"/>
    <s v="19021677"/>
    <x v="2"/>
    <x v="2"/>
    <n v="14"/>
    <m/>
    <n v="14"/>
    <s v="20271207150000"/>
    <s v="디캔팅"/>
    <s v="입고"/>
    <s v="작업완료"/>
    <s v="1005"/>
    <x v="2"/>
    <s v="2026-08-10 16:19:50"/>
    <s v="월수금"/>
    <x v="3"/>
  </r>
  <r>
    <d v="2026-08-10T15:46:01"/>
    <s v="19003182"/>
    <x v="2"/>
    <x v="2"/>
    <n v="12"/>
    <m/>
    <n v="12"/>
    <s v="20271207150000"/>
    <s v="디캔팅"/>
    <s v="입고"/>
    <s v="작업완료"/>
    <s v="1004"/>
    <x v="8"/>
    <s v="2026-08-10 15:44:10"/>
    <s v="월수금"/>
    <x v="3"/>
  </r>
  <r>
    <d v="2026-08-10T15:44:55"/>
    <s v="19028092"/>
    <x v="2"/>
    <x v="2"/>
    <n v="14"/>
    <m/>
    <n v="14"/>
    <s v="20271207150000"/>
    <s v="디캔팅"/>
    <s v="입고"/>
    <s v="작업완료"/>
    <s v="1004"/>
    <x v="8"/>
    <s v="2026-08-10 15:43:08"/>
    <s v="월수금"/>
    <x v="3"/>
  </r>
  <r>
    <d v="2026-08-10T15:44:51"/>
    <s v="19014887"/>
    <x v="2"/>
    <x v="2"/>
    <n v="14"/>
    <m/>
    <n v="14"/>
    <s v="20271207150000"/>
    <s v="디캔팅"/>
    <s v="입고"/>
    <s v="작업완료"/>
    <s v="1004"/>
    <x v="8"/>
    <s v="2026-08-10 15:43:14"/>
    <s v="월수금"/>
    <x v="3"/>
  </r>
  <r>
    <d v="2026-08-10T15:44:40"/>
    <s v="19001253"/>
    <x v="2"/>
    <x v="2"/>
    <n v="14"/>
    <m/>
    <n v="14"/>
    <s v="20271207150000"/>
    <s v="디캔팅"/>
    <s v="입고"/>
    <s v="작업완료"/>
    <s v="1004"/>
    <x v="8"/>
    <s v="2026-08-10 15:41:43"/>
    <s v="월수금"/>
    <x v="3"/>
  </r>
  <r>
    <d v="2026-08-10T15:42:50"/>
    <s v="19011092"/>
    <x v="2"/>
    <x v="2"/>
    <n v="14"/>
    <m/>
    <n v="14"/>
    <s v="20271207150000"/>
    <s v="디캔팅"/>
    <s v="입고"/>
    <s v="작업완료"/>
    <s v="1004"/>
    <x v="8"/>
    <s v="2026-08-10 15:41:37"/>
    <s v="월수금"/>
    <x v="3"/>
  </r>
  <r>
    <d v="2026-08-10T15:40:36"/>
    <s v="19001968"/>
    <x v="2"/>
    <x v="2"/>
    <n v="14"/>
    <m/>
    <n v="14"/>
    <s v="20271207150000"/>
    <s v="디캔팅"/>
    <s v="입고"/>
    <s v="작업완료"/>
    <s v="1004"/>
    <x v="8"/>
    <s v="2026-08-10 15:38:49"/>
    <s v="월수금"/>
    <x v="3"/>
  </r>
  <r>
    <d v="2026-08-10T15:40:16"/>
    <s v="19014754"/>
    <x v="2"/>
    <x v="2"/>
    <n v="14"/>
    <m/>
    <n v="14"/>
    <s v="20271207150000"/>
    <s v="디캔팅"/>
    <s v="입고"/>
    <s v="작업완료"/>
    <s v="1004"/>
    <x v="8"/>
    <s v="2026-08-10 15:38:40"/>
    <s v="월수금"/>
    <x v="3"/>
  </r>
  <r>
    <d v="2026-08-10T15:38:31"/>
    <s v="19002850"/>
    <x v="2"/>
    <x v="2"/>
    <n v="14"/>
    <m/>
    <n v="14"/>
    <s v="20271207150000"/>
    <s v="디캔팅"/>
    <s v="입고"/>
    <s v="작업완료"/>
    <s v="1004"/>
    <x v="8"/>
    <s v="2026-08-10 15:37:01"/>
    <s v="월수금"/>
    <x v="3"/>
  </r>
  <r>
    <d v="2026-08-10T15:38:31"/>
    <s v="19009488"/>
    <x v="2"/>
    <x v="2"/>
    <n v="14"/>
    <m/>
    <n v="14"/>
    <s v="20271207150000"/>
    <s v="디캔팅"/>
    <s v="입고"/>
    <s v="작업완료"/>
    <s v="1004"/>
    <x v="8"/>
    <s v="2026-08-10 15:36:54"/>
    <s v="월수금"/>
    <x v="3"/>
  </r>
  <r>
    <d v="2026-08-10T15:37:17"/>
    <s v="19016439"/>
    <x v="2"/>
    <x v="2"/>
    <n v="14"/>
    <m/>
    <n v="14"/>
    <s v="20271207150000"/>
    <s v="디캔팅"/>
    <s v="입고"/>
    <s v="작업완료"/>
    <s v="1004"/>
    <x v="8"/>
    <s v="2026-08-10 15:35:35"/>
    <s v="월수금"/>
    <x v="3"/>
  </r>
  <r>
    <d v="2026-08-10T15:37:16"/>
    <s v="19010222"/>
    <x v="2"/>
    <x v="2"/>
    <n v="14"/>
    <m/>
    <n v="14"/>
    <s v="20271207150000"/>
    <s v="디캔팅"/>
    <s v="입고"/>
    <s v="작업완료"/>
    <s v="1004"/>
    <x v="8"/>
    <s v="2026-08-10 15:35:24"/>
    <s v="월수금"/>
    <x v="3"/>
  </r>
  <r>
    <d v="2026-08-10T15:33:46"/>
    <s v="19015750"/>
    <x v="2"/>
    <x v="2"/>
    <n v="14"/>
    <m/>
    <n v="14"/>
    <s v="20271207150000"/>
    <s v="디캔팅"/>
    <s v="입고"/>
    <s v="작업완료"/>
    <s v="1004"/>
    <x v="8"/>
    <s v="2026-08-10 15:32:09"/>
    <s v="월수금"/>
    <x v="3"/>
  </r>
  <r>
    <d v="2026-08-10T15:33:42"/>
    <s v="19016864"/>
    <x v="2"/>
    <x v="2"/>
    <n v="14"/>
    <m/>
    <n v="14"/>
    <s v="20271207150000"/>
    <s v="디캔팅"/>
    <s v="입고"/>
    <s v="작업완료"/>
    <s v="1004"/>
    <x v="8"/>
    <s v="2026-08-10 15:32:00"/>
    <s v="월수금"/>
    <x v="3"/>
  </r>
  <r>
    <d v="2026-08-10T15:31:53"/>
    <s v="19010988"/>
    <x v="2"/>
    <x v="2"/>
    <n v="14"/>
    <m/>
    <n v="14"/>
    <s v="20271207150000"/>
    <s v="디캔팅"/>
    <s v="입고"/>
    <s v="작업완료"/>
    <s v="1004"/>
    <x v="8"/>
    <s v="2026-08-10 15:29:29"/>
    <s v="월수금"/>
    <x v="3"/>
  </r>
  <r>
    <d v="2026-08-10T15:31:45"/>
    <s v="19002766"/>
    <x v="2"/>
    <x v="2"/>
    <n v="14"/>
    <m/>
    <n v="14"/>
    <s v="20271207150000"/>
    <s v="디캔팅"/>
    <s v="입고"/>
    <s v="작업완료"/>
    <s v="1004"/>
    <x v="8"/>
    <s v="2026-08-10 15:29:37"/>
    <s v="월수금"/>
    <x v="3"/>
  </r>
  <r>
    <d v="2026-08-10T15:28:39"/>
    <s v="19011197"/>
    <x v="2"/>
    <x v="2"/>
    <n v="14"/>
    <m/>
    <n v="14"/>
    <s v="20271207150000"/>
    <s v="디캔팅"/>
    <s v="입고"/>
    <s v="작업완료"/>
    <s v="1004"/>
    <x v="8"/>
    <s v="2026-08-10 15:26:49"/>
    <s v="월수금"/>
    <x v="3"/>
  </r>
  <r>
    <d v="2026-08-10T15:28:38"/>
    <s v="19003994"/>
    <x v="2"/>
    <x v="2"/>
    <n v="14"/>
    <m/>
    <n v="14"/>
    <s v="20271207150000"/>
    <s v="디캔팅"/>
    <s v="입고"/>
    <s v="작업완료"/>
    <s v="1004"/>
    <x v="8"/>
    <s v="2026-08-10 15:27:10"/>
    <s v="월수금"/>
    <x v="3"/>
  </r>
  <r>
    <d v="2026-08-10T15:26:52"/>
    <s v="19009169"/>
    <x v="2"/>
    <x v="2"/>
    <n v="14"/>
    <m/>
    <n v="14"/>
    <s v="20271207150000"/>
    <s v="디캔팅"/>
    <s v="입고"/>
    <s v="작업완료"/>
    <s v="1004"/>
    <x v="8"/>
    <s v="2026-08-10 15:24:38"/>
    <s v="월수금"/>
    <x v="3"/>
  </r>
  <r>
    <d v="2026-08-10T15:26:46"/>
    <s v="19006707"/>
    <x v="2"/>
    <x v="2"/>
    <n v="14"/>
    <m/>
    <n v="14"/>
    <s v="20271207150000"/>
    <s v="디캔팅"/>
    <s v="입고"/>
    <s v="작업완료"/>
    <s v="1004"/>
    <x v="8"/>
    <s v="2026-08-10 15:24:24"/>
    <s v="월수금"/>
    <x v="3"/>
  </r>
  <r>
    <d v="2026-08-10T15:24:06"/>
    <s v="19014876"/>
    <x v="2"/>
    <x v="2"/>
    <n v="14"/>
    <m/>
    <n v="14"/>
    <s v="20271207150000"/>
    <s v="디캔팅"/>
    <s v="입고"/>
    <s v="작업완료"/>
    <s v="1004"/>
    <x v="8"/>
    <s v="2026-08-10 15:22:05"/>
    <s v="월수금"/>
    <x v="3"/>
  </r>
  <r>
    <d v="2026-08-10T15:23:57"/>
    <s v="19008119"/>
    <x v="2"/>
    <x v="2"/>
    <n v="14"/>
    <m/>
    <n v="14"/>
    <s v="20271207150000"/>
    <s v="디캔팅"/>
    <s v="입고"/>
    <s v="작업완료"/>
    <s v="1004"/>
    <x v="8"/>
    <s v="2026-08-10 15:21:59"/>
    <s v="월수금"/>
    <x v="3"/>
  </r>
  <r>
    <d v="2026-08-10T15:21:54"/>
    <s v="19021664"/>
    <x v="2"/>
    <x v="2"/>
    <n v="14"/>
    <m/>
    <n v="14"/>
    <s v="20271207150000"/>
    <s v="디캔팅"/>
    <s v="입고"/>
    <s v="작업완료"/>
    <s v="1004"/>
    <x v="8"/>
    <s v="2026-08-10 15:18:55"/>
    <s v="월수금"/>
    <x v="3"/>
  </r>
  <r>
    <d v="2026-08-10T15:20:37"/>
    <s v="19005303"/>
    <x v="2"/>
    <x v="2"/>
    <n v="14"/>
    <m/>
    <n v="14"/>
    <s v="20271207150000"/>
    <s v="디캔팅"/>
    <s v="입고"/>
    <s v="작업완료"/>
    <s v="1004"/>
    <x v="8"/>
    <s v="2026-08-10 15:18:51"/>
    <s v="월수금"/>
    <x v="3"/>
  </r>
  <r>
    <d v="2026-08-14T11:13:32"/>
    <s v="19007646"/>
    <x v="3"/>
    <x v="3"/>
    <n v="8"/>
    <m/>
    <n v="8"/>
    <s v="20270914150000"/>
    <s v="디캔팅"/>
    <s v="입고"/>
    <s v="작업완료"/>
    <s v="1004"/>
    <x v="8"/>
    <s v="2026-08-14 11:10:39"/>
    <s v="월수금"/>
    <x v="1"/>
  </r>
  <r>
    <d v="2026-08-14T11:12:08"/>
    <s v="19008795"/>
    <x v="3"/>
    <x v="3"/>
    <n v="16"/>
    <m/>
    <n v="16"/>
    <s v="20270914150000"/>
    <s v="디캔팅"/>
    <s v="입고"/>
    <s v="작업완료"/>
    <s v="1004"/>
    <x v="8"/>
    <s v="2026-08-14 11:10:28"/>
    <s v="월수금"/>
    <x v="1"/>
  </r>
  <r>
    <d v="2026-08-14T11:10:26"/>
    <s v="19009929"/>
    <x v="3"/>
    <x v="3"/>
    <n v="16"/>
    <m/>
    <n v="16"/>
    <s v="20270914150000"/>
    <s v="디캔팅"/>
    <s v="입고"/>
    <s v="작업완료"/>
    <s v="1004"/>
    <x v="8"/>
    <s v="2026-08-14 11:08:55"/>
    <s v="월수금"/>
    <x v="1"/>
  </r>
  <r>
    <d v="2026-08-14T11:10:20"/>
    <s v="19025320"/>
    <x v="3"/>
    <x v="3"/>
    <n v="16"/>
    <m/>
    <n v="16"/>
    <s v="20270914150000"/>
    <s v="디캔팅"/>
    <s v="입고"/>
    <s v="작업완료"/>
    <s v="1004"/>
    <x v="8"/>
    <s v="2026-08-14 11:08:47"/>
    <s v="월수금"/>
    <x v="1"/>
  </r>
  <r>
    <d v="2026-08-14T11:09:00"/>
    <s v="19008144"/>
    <x v="3"/>
    <x v="3"/>
    <n v="16"/>
    <m/>
    <n v="16"/>
    <s v="20270914150000"/>
    <s v="디캔팅"/>
    <s v="입고"/>
    <s v="작업완료"/>
    <s v="1004"/>
    <x v="8"/>
    <s v="2026-08-14 11:06:39"/>
    <s v="월수금"/>
    <x v="1"/>
  </r>
  <r>
    <d v="2026-08-14T11:08:10"/>
    <s v="19006356"/>
    <x v="3"/>
    <x v="3"/>
    <n v="16"/>
    <m/>
    <n v="16"/>
    <s v="20270914150000"/>
    <s v="디캔팅"/>
    <s v="입고"/>
    <s v="작업완료"/>
    <s v="1004"/>
    <x v="8"/>
    <s v="2026-08-14 11:06:32"/>
    <s v="월수금"/>
    <x v="1"/>
  </r>
  <r>
    <d v="2026-08-14T11:05:11"/>
    <s v="19009464"/>
    <x v="3"/>
    <x v="3"/>
    <n v="16"/>
    <m/>
    <n v="16"/>
    <s v="20270914150000"/>
    <s v="디캔팅"/>
    <s v="입고"/>
    <s v="작업완료"/>
    <s v="1004"/>
    <x v="8"/>
    <s v="2026-08-14 11:03:20"/>
    <s v="월수금"/>
    <x v="1"/>
  </r>
  <r>
    <d v="2026-08-14T11:04:57"/>
    <s v="19010343"/>
    <x v="3"/>
    <x v="3"/>
    <n v="16"/>
    <m/>
    <n v="16"/>
    <s v="20270914150000"/>
    <s v="디캔팅"/>
    <s v="입고"/>
    <s v="작업완료"/>
    <s v="1004"/>
    <x v="8"/>
    <s v="2026-08-14 11:03:26"/>
    <s v="월수금"/>
    <x v="1"/>
  </r>
  <r>
    <d v="2026-08-14T11:02:52"/>
    <s v="19001936"/>
    <x v="3"/>
    <x v="3"/>
    <n v="16"/>
    <m/>
    <n v="16"/>
    <s v="20270914150000"/>
    <s v="디캔팅"/>
    <s v="입고"/>
    <s v="작업완료"/>
    <s v="1004"/>
    <x v="8"/>
    <s v="2026-08-14 11:00:59"/>
    <s v="월수금"/>
    <x v="1"/>
  </r>
  <r>
    <d v="2026-08-14T11:02:35"/>
    <s v="19011833"/>
    <x v="3"/>
    <x v="3"/>
    <n v="16"/>
    <m/>
    <n v="16"/>
    <s v="20270914150000"/>
    <s v="디캔팅"/>
    <s v="입고"/>
    <s v="작업완료"/>
    <s v="1004"/>
    <x v="8"/>
    <s v="2026-08-14 11:00:54"/>
    <s v="월수금"/>
    <x v="1"/>
  </r>
  <r>
    <d v="2026-08-14T11:00:49"/>
    <s v="19004651"/>
    <x v="3"/>
    <x v="3"/>
    <n v="16"/>
    <m/>
    <n v="16"/>
    <s v="20270914150000"/>
    <s v="디캔팅"/>
    <s v="입고"/>
    <s v="작업완료"/>
    <s v="1004"/>
    <x v="8"/>
    <s v="2026-08-14 10:58:53"/>
    <s v="월수금"/>
    <x v="1"/>
  </r>
  <r>
    <d v="2026-08-14T11:00:15"/>
    <s v="19016962"/>
    <x v="3"/>
    <x v="3"/>
    <n v="16"/>
    <m/>
    <n v="16"/>
    <s v="20270914150000"/>
    <s v="디캔팅"/>
    <s v="입고"/>
    <s v="작업완료"/>
    <s v="1004"/>
    <x v="8"/>
    <s v="2026-08-14 10:58:48"/>
    <s v="월수금"/>
    <x v="1"/>
  </r>
  <r>
    <d v="2026-08-14T10:58:27"/>
    <s v="19013154"/>
    <x v="3"/>
    <x v="3"/>
    <n v="16"/>
    <m/>
    <n v="16"/>
    <s v="20270914150000"/>
    <s v="디캔팅"/>
    <s v="입고"/>
    <s v="작업완료"/>
    <s v="1004"/>
    <x v="8"/>
    <s v="2026-08-14 10:56:15"/>
    <s v="월수금"/>
    <x v="1"/>
  </r>
  <r>
    <d v="2026-08-14T10:57:59"/>
    <s v="19019565"/>
    <x v="3"/>
    <x v="3"/>
    <n v="16"/>
    <m/>
    <n v="16"/>
    <s v="20270914150000"/>
    <s v="디캔팅"/>
    <s v="입고"/>
    <s v="작업완료"/>
    <s v="1004"/>
    <x v="8"/>
    <s v="2026-08-14 10:56:08"/>
    <s v="월수금"/>
    <x v="1"/>
  </r>
  <r>
    <d v="2026-08-14T10:55:52"/>
    <s v="19021087"/>
    <x v="3"/>
    <x v="3"/>
    <n v="16"/>
    <m/>
    <n v="16"/>
    <s v="20270914150000"/>
    <s v="디캔팅"/>
    <s v="입고"/>
    <s v="작업완료"/>
    <s v="1004"/>
    <x v="8"/>
    <s v="2026-08-14 10:54:06"/>
    <s v="월수금"/>
    <x v="1"/>
  </r>
  <r>
    <d v="2026-08-14T10:55:30"/>
    <s v="19000616"/>
    <x v="3"/>
    <x v="3"/>
    <n v="16"/>
    <m/>
    <n v="16"/>
    <s v="20270914150000"/>
    <s v="디캔팅"/>
    <s v="입고"/>
    <s v="작업완료"/>
    <s v="1004"/>
    <x v="8"/>
    <s v="2026-08-14 10:53:59"/>
    <s v="월수금"/>
    <x v="1"/>
  </r>
  <r>
    <d v="2026-08-14T10:53:33"/>
    <s v="19009696"/>
    <x v="3"/>
    <x v="3"/>
    <n v="16"/>
    <m/>
    <n v="16"/>
    <s v="20270914150000"/>
    <s v="디캔팅"/>
    <s v="입고"/>
    <s v="작업완료"/>
    <s v="1004"/>
    <x v="8"/>
    <s v="2026-08-14 10:51:43"/>
    <s v="월수금"/>
    <x v="1"/>
  </r>
  <r>
    <d v="2026-08-14T10:53:27"/>
    <s v="19008213"/>
    <x v="3"/>
    <x v="3"/>
    <n v="16"/>
    <m/>
    <n v="16"/>
    <s v="20270914150000"/>
    <s v="디캔팅"/>
    <s v="입고"/>
    <s v="작업완료"/>
    <s v="1004"/>
    <x v="8"/>
    <s v="2026-08-14 10:51:48"/>
    <s v="월수금"/>
    <x v="1"/>
  </r>
  <r>
    <d v="2026-08-14T10:51:00"/>
    <s v="19021440"/>
    <x v="3"/>
    <x v="3"/>
    <n v="16"/>
    <m/>
    <n v="16"/>
    <s v="20270914150000"/>
    <s v="디캔팅"/>
    <s v="입고"/>
    <s v="작업완료"/>
    <s v="1004"/>
    <x v="8"/>
    <s v="2026-08-14 10:49:11"/>
    <s v="월수금"/>
    <x v="1"/>
  </r>
  <r>
    <d v="2026-08-14T10:50:50"/>
    <s v="19004711"/>
    <x v="3"/>
    <x v="3"/>
    <n v="16"/>
    <m/>
    <n v="16"/>
    <s v="20270914150000"/>
    <s v="디캔팅"/>
    <s v="입고"/>
    <s v="작업완료"/>
    <s v="1004"/>
    <x v="8"/>
    <s v="2026-08-14 10:49:17"/>
    <s v="월수금"/>
    <x v="1"/>
  </r>
  <r>
    <d v="2026-08-14T10:48:36"/>
    <s v="19025042"/>
    <x v="3"/>
    <x v="3"/>
    <n v="16"/>
    <m/>
    <n v="16"/>
    <s v="20270914150000"/>
    <s v="디캔팅"/>
    <s v="입고"/>
    <s v="작업완료"/>
    <s v="1004"/>
    <x v="8"/>
    <s v="2026-08-14 10:46:55"/>
    <s v="월수금"/>
    <x v="1"/>
  </r>
  <r>
    <d v="2026-08-14T10:48:34"/>
    <s v="19009602"/>
    <x v="3"/>
    <x v="3"/>
    <n v="16"/>
    <m/>
    <n v="16"/>
    <s v="20270914150000"/>
    <s v="디캔팅"/>
    <s v="입고"/>
    <s v="작업완료"/>
    <s v="1004"/>
    <x v="8"/>
    <s v="2026-08-14 10:46:47"/>
    <s v="월수금"/>
    <x v="1"/>
  </r>
  <r>
    <d v="2026-08-14T10:44:54"/>
    <s v="19006075"/>
    <x v="3"/>
    <x v="3"/>
    <n v="16"/>
    <m/>
    <n v="16"/>
    <s v="20270914150000"/>
    <s v="디캔팅"/>
    <s v="입고"/>
    <s v="작업완료"/>
    <s v="1004"/>
    <x v="8"/>
    <s v="2026-08-14 10:42:56"/>
    <s v="월수금"/>
    <x v="1"/>
  </r>
  <r>
    <d v="2026-08-14T10:44:23"/>
    <s v="19005940"/>
    <x v="3"/>
    <x v="3"/>
    <n v="16"/>
    <m/>
    <n v="16"/>
    <s v="20270914150000"/>
    <s v="디캔팅"/>
    <s v="입고"/>
    <s v="작업완료"/>
    <s v="1004"/>
    <x v="8"/>
    <s v="2026-08-14 10:42:49"/>
    <s v="월수금"/>
    <x v="1"/>
  </r>
  <r>
    <d v="2026-08-14T10:41:49"/>
    <s v="19007993"/>
    <x v="3"/>
    <x v="3"/>
    <n v="16"/>
    <m/>
    <n v="16"/>
    <s v="20270914150000"/>
    <s v="디캔팅"/>
    <s v="입고"/>
    <s v="작업완료"/>
    <s v="1004"/>
    <x v="8"/>
    <s v="2026-08-14 10:39:53"/>
    <s v="월수금"/>
    <x v="1"/>
  </r>
  <r>
    <d v="2026-08-14T10:41:12"/>
    <s v="19012775"/>
    <x v="3"/>
    <x v="3"/>
    <n v="16"/>
    <m/>
    <n v="16"/>
    <s v="20270914150000"/>
    <s v="디캔팅"/>
    <s v="입고"/>
    <s v="작업완료"/>
    <s v="1004"/>
    <x v="8"/>
    <s v="2026-08-14 10:39:48"/>
    <s v="월수금"/>
    <x v="1"/>
  </r>
  <r>
    <d v="2026-08-14T10:39:08"/>
    <s v="19020190"/>
    <x v="3"/>
    <x v="3"/>
    <n v="16"/>
    <m/>
    <n v="16"/>
    <s v="20270914150000"/>
    <s v="디캔팅"/>
    <s v="입고"/>
    <s v="작업완료"/>
    <s v="1004"/>
    <x v="8"/>
    <s v="2026-08-14 10:37:07"/>
    <s v="월수금"/>
    <x v="1"/>
  </r>
  <r>
    <d v="2026-08-14T10:38:44"/>
    <s v="19004217"/>
    <x v="3"/>
    <x v="3"/>
    <n v="16"/>
    <m/>
    <n v="16"/>
    <s v="20270914150000"/>
    <s v="디캔팅"/>
    <s v="입고"/>
    <s v="작업완료"/>
    <s v="1004"/>
    <x v="8"/>
    <s v="2026-08-14 10:37:02"/>
    <s v="월수금"/>
    <x v="1"/>
  </r>
  <r>
    <d v="2026-08-10T11:52:18"/>
    <s v="19014702"/>
    <x v="3"/>
    <x v="3"/>
    <n v="16"/>
    <m/>
    <n v="16"/>
    <s v="20271110000000"/>
    <s v="디캔팅"/>
    <s v="입고"/>
    <s v="작업완료"/>
    <s v="1010"/>
    <x v="7"/>
    <s v="2026-08-10 07:27:07"/>
    <s v="월수금"/>
    <x v="3"/>
  </r>
  <r>
    <d v="2026-08-10T10:32:02"/>
    <s v="19004179"/>
    <x v="3"/>
    <x v="3"/>
    <n v="16"/>
    <m/>
    <n v="16"/>
    <s v="20271110000000"/>
    <s v="디캔팅"/>
    <s v="입고"/>
    <s v="작업완료"/>
    <s v="1010"/>
    <x v="7"/>
    <s v="2026-08-10 07:19:03"/>
    <s v="월수금"/>
    <x v="3"/>
  </r>
  <r>
    <d v="2026-08-10T07:42:45"/>
    <s v="19012271"/>
    <x v="3"/>
    <x v="3"/>
    <n v="8"/>
    <m/>
    <n v="8"/>
    <s v="20271110000000"/>
    <s v="디캔팅"/>
    <s v="입고"/>
    <s v="작업완료"/>
    <s v="1010"/>
    <x v="7"/>
    <s v="2026-08-10 07:40:40"/>
    <s v="월수금"/>
    <x v="3"/>
  </r>
  <r>
    <d v="2026-08-10T07:42:16"/>
    <s v="19008086"/>
    <x v="3"/>
    <x v="3"/>
    <n v="16"/>
    <m/>
    <n v="16"/>
    <s v="20271110000000"/>
    <s v="디캔팅"/>
    <s v="입고"/>
    <s v="작업완료"/>
    <s v="1010"/>
    <x v="7"/>
    <s v="2026-08-10 07:40:32"/>
    <s v="월수금"/>
    <x v="3"/>
  </r>
  <r>
    <d v="2026-08-10T07:40:01"/>
    <s v="19020586"/>
    <x v="3"/>
    <x v="3"/>
    <n v="16"/>
    <m/>
    <n v="16"/>
    <s v="20271110000000"/>
    <s v="디캔팅"/>
    <s v="입고"/>
    <s v="작업완료"/>
    <s v="1010"/>
    <x v="7"/>
    <s v="2026-08-10 07:38:15"/>
    <s v="월수금"/>
    <x v="3"/>
  </r>
  <r>
    <d v="2026-08-10T07:40:00"/>
    <s v="19001136"/>
    <x v="3"/>
    <x v="3"/>
    <n v="16"/>
    <m/>
    <n v="16"/>
    <s v="20271110000000"/>
    <s v="디캔팅"/>
    <s v="입고"/>
    <s v="작업완료"/>
    <s v="1010"/>
    <x v="7"/>
    <s v="2026-08-10 07:38:20"/>
    <s v="월수금"/>
    <x v="3"/>
  </r>
  <r>
    <d v="2026-08-10T07:37:56"/>
    <s v="19017347"/>
    <x v="3"/>
    <x v="3"/>
    <n v="16"/>
    <m/>
    <n v="16"/>
    <s v="20271110000000"/>
    <s v="디캔팅"/>
    <s v="입고"/>
    <s v="작업완료"/>
    <s v="1010"/>
    <x v="7"/>
    <s v="2026-08-10 07:36:06"/>
    <s v="월수금"/>
    <x v="3"/>
  </r>
  <r>
    <d v="2026-08-10T07:37:50"/>
    <s v="19008933"/>
    <x v="3"/>
    <x v="3"/>
    <n v="16"/>
    <m/>
    <n v="16"/>
    <s v="20271110000000"/>
    <s v="디캔팅"/>
    <s v="입고"/>
    <s v="작업완료"/>
    <s v="1010"/>
    <x v="7"/>
    <s v="2026-08-10 07:35:57"/>
    <s v="월수금"/>
    <x v="3"/>
  </r>
  <r>
    <d v="2026-08-10T07:35:05"/>
    <s v="19008692"/>
    <x v="3"/>
    <x v="3"/>
    <n v="16"/>
    <m/>
    <n v="16"/>
    <s v="20271110000000"/>
    <s v="디캔팅"/>
    <s v="입고"/>
    <s v="작업완료"/>
    <s v="1010"/>
    <x v="7"/>
    <s v="2026-08-10 07:33:06"/>
    <s v="월수금"/>
    <x v="3"/>
  </r>
  <r>
    <d v="2026-08-10T07:34:42"/>
    <s v="19001887"/>
    <x v="3"/>
    <x v="3"/>
    <n v="16"/>
    <m/>
    <n v="16"/>
    <s v="20271110000000"/>
    <s v="디캔팅"/>
    <s v="입고"/>
    <s v="작업완료"/>
    <s v="1010"/>
    <x v="7"/>
    <s v="2026-08-10 07:32:52"/>
    <s v="월수금"/>
    <x v="3"/>
  </r>
  <r>
    <d v="2026-08-10T07:32:46"/>
    <s v="19013394"/>
    <x v="3"/>
    <x v="3"/>
    <n v="16"/>
    <m/>
    <n v="16"/>
    <s v="20271110000000"/>
    <s v="디캔팅"/>
    <s v="입고"/>
    <s v="작업완료"/>
    <s v="1010"/>
    <x v="7"/>
    <s v="2026-08-10 07:30:50"/>
    <s v="월수금"/>
    <x v="3"/>
  </r>
  <r>
    <d v="2026-08-10T07:32:44"/>
    <s v="19018735"/>
    <x v="3"/>
    <x v="3"/>
    <n v="16"/>
    <m/>
    <n v="16"/>
    <s v="20271110000000"/>
    <s v="디캔팅"/>
    <s v="입고"/>
    <s v="작업완료"/>
    <s v="1010"/>
    <x v="7"/>
    <s v="2026-08-10 07:30:57"/>
    <s v="월수금"/>
    <x v="3"/>
  </r>
  <r>
    <d v="2026-08-10T07:31:05"/>
    <s v="19014447"/>
    <x v="3"/>
    <x v="3"/>
    <n v="16"/>
    <m/>
    <n v="16"/>
    <s v="20271110000000"/>
    <s v="디캔팅"/>
    <s v="입고"/>
    <s v="작업완료"/>
    <s v="1010"/>
    <x v="7"/>
    <s v="2026-08-10 07:29:01"/>
    <s v="월수금"/>
    <x v="3"/>
  </r>
  <r>
    <d v="2026-08-10T07:30:37"/>
    <s v="19004694"/>
    <x v="3"/>
    <x v="3"/>
    <n v="16"/>
    <m/>
    <n v="16"/>
    <s v="20271110000000"/>
    <s v="디캔팅"/>
    <s v="입고"/>
    <s v="작업완료"/>
    <s v="1010"/>
    <x v="7"/>
    <s v="2026-08-10 07:28:53"/>
    <s v="월수금"/>
    <x v="3"/>
  </r>
  <r>
    <d v="2026-08-10T07:28:58"/>
    <s v="19015639"/>
    <x v="3"/>
    <x v="3"/>
    <n v="16"/>
    <m/>
    <n v="16"/>
    <s v="20271110000000"/>
    <s v="디캔팅"/>
    <s v="입고"/>
    <s v="작업완료"/>
    <s v="1010"/>
    <x v="7"/>
    <s v="2026-08-10 07:27:02"/>
    <s v="월수금"/>
    <x v="3"/>
  </r>
  <r>
    <d v="2026-08-10T07:26:50"/>
    <s v="19013159"/>
    <x v="3"/>
    <x v="3"/>
    <n v="16"/>
    <m/>
    <n v="16"/>
    <s v="20271110000000"/>
    <s v="디캔팅"/>
    <s v="입고"/>
    <s v="작업완료"/>
    <s v="1010"/>
    <x v="7"/>
    <s v="2026-08-10 07:24:49"/>
    <s v="월수금"/>
    <x v="3"/>
  </r>
  <r>
    <d v="2026-08-10T07:26:18"/>
    <s v="19016080"/>
    <x v="3"/>
    <x v="3"/>
    <n v="16"/>
    <m/>
    <n v="16"/>
    <s v="20271110000000"/>
    <s v="디캔팅"/>
    <s v="입고"/>
    <s v="작업완료"/>
    <s v="1010"/>
    <x v="7"/>
    <s v="2026-08-10 07:24:43"/>
    <s v="월수금"/>
    <x v="3"/>
  </r>
  <r>
    <d v="2026-08-10T07:24:48"/>
    <s v="19005417"/>
    <x v="3"/>
    <x v="3"/>
    <n v="16"/>
    <m/>
    <n v="16"/>
    <s v="20271110000000"/>
    <s v="디캔팅"/>
    <s v="입고"/>
    <s v="작업완료"/>
    <s v="1010"/>
    <x v="7"/>
    <s v="2026-08-10 07:22:49"/>
    <s v="월수금"/>
    <x v="3"/>
  </r>
  <r>
    <d v="2026-08-10T07:24:31"/>
    <s v="19010600"/>
    <x v="3"/>
    <x v="3"/>
    <n v="16"/>
    <m/>
    <n v="16"/>
    <s v="20271110000000"/>
    <s v="디캔팅"/>
    <s v="입고"/>
    <s v="작업완료"/>
    <s v="1010"/>
    <x v="7"/>
    <s v="2026-08-10 07:22:43"/>
    <s v="월수금"/>
    <x v="3"/>
  </r>
  <r>
    <d v="2026-08-10T07:21:24"/>
    <s v="19002700"/>
    <x v="3"/>
    <x v="3"/>
    <n v="16"/>
    <m/>
    <n v="16"/>
    <s v="20271110000000"/>
    <s v="디캔팅"/>
    <s v="입고"/>
    <s v="작업완료"/>
    <s v="1010"/>
    <x v="7"/>
    <s v="2026-08-10 07:19:09"/>
    <s v="월수금"/>
    <x v="3"/>
  </r>
  <r>
    <d v="2026-08-10T07:19:10"/>
    <s v="19015367"/>
    <x v="3"/>
    <x v="3"/>
    <n v="16"/>
    <m/>
    <n v="16"/>
    <s v="20271110000000"/>
    <s v="디캔팅"/>
    <s v="입고"/>
    <s v="작업완료"/>
    <s v="1010"/>
    <x v="7"/>
    <s v="2026-08-10 07:16:58"/>
    <s v="월수금"/>
    <x v="3"/>
  </r>
  <r>
    <d v="2026-08-10T07:18:50"/>
    <s v="19010230"/>
    <x v="3"/>
    <x v="3"/>
    <n v="16"/>
    <m/>
    <n v="16"/>
    <s v="20271110000000"/>
    <s v="디캔팅"/>
    <s v="입고"/>
    <s v="작업완료"/>
    <s v="1010"/>
    <x v="7"/>
    <s v="2026-08-10 07:17:09"/>
    <s v="월수금"/>
    <x v="3"/>
  </r>
  <r>
    <d v="2026-08-10T07:16:26"/>
    <s v="19004088"/>
    <x v="3"/>
    <x v="3"/>
    <n v="16"/>
    <m/>
    <n v="16"/>
    <s v="20271110000000"/>
    <s v="디캔팅"/>
    <s v="입고"/>
    <s v="작업완료"/>
    <s v="1010"/>
    <x v="7"/>
    <s v="2026-08-10 07:14:28"/>
    <s v="월수금"/>
    <x v="3"/>
  </r>
  <r>
    <d v="2026-08-10T07:16:14"/>
    <s v="19001149"/>
    <x v="3"/>
    <x v="3"/>
    <n v="16"/>
    <m/>
    <n v="16"/>
    <s v="20271110000000"/>
    <s v="디캔팅"/>
    <s v="입고"/>
    <s v="작업완료"/>
    <s v="1010"/>
    <x v="7"/>
    <s v="2026-08-10 07:14:20"/>
    <s v="월수금"/>
    <x v="3"/>
  </r>
  <r>
    <d v="2026-08-10T07:15:23"/>
    <s v="19004329"/>
    <x v="3"/>
    <x v="3"/>
    <n v="16"/>
    <m/>
    <n v="16"/>
    <s v="20271110000000"/>
    <s v="디캔팅"/>
    <s v="입고"/>
    <s v="작업완료"/>
    <s v="1010"/>
    <x v="7"/>
    <s v="2026-08-10 07:13:27"/>
    <s v="월수금"/>
    <x v="3"/>
  </r>
  <r>
    <d v="2026-08-10T07:11:46"/>
    <s v="19005948"/>
    <x v="3"/>
    <x v="3"/>
    <n v="16"/>
    <m/>
    <n v="16"/>
    <s v="20271110000000"/>
    <s v="디캔팅"/>
    <s v="입고"/>
    <s v="작업완료"/>
    <s v="1010"/>
    <x v="7"/>
    <s v="2026-08-10 07:09:43"/>
    <s v="월수금"/>
    <x v="3"/>
  </r>
  <r>
    <d v="2026-08-10T07:11:33"/>
    <s v="19026649"/>
    <x v="3"/>
    <x v="3"/>
    <n v="16"/>
    <m/>
    <n v="16"/>
    <s v="20271110000000"/>
    <s v="디캔팅"/>
    <s v="입고"/>
    <s v="작업완료"/>
    <s v="1010"/>
    <x v="7"/>
    <s v="2026-08-10 07:09:28"/>
    <s v="월수금"/>
    <x v="3"/>
  </r>
  <r>
    <d v="2026-08-10T07:11:25"/>
    <s v="19004721"/>
    <x v="3"/>
    <x v="3"/>
    <n v="16"/>
    <m/>
    <n v="16"/>
    <s v="20271110000000"/>
    <s v="디캔팅"/>
    <s v="입고"/>
    <s v="작업완료"/>
    <s v="1010"/>
    <x v="7"/>
    <s v="2026-08-10 07:09:36"/>
    <s v="월수금"/>
    <x v="3"/>
  </r>
  <r>
    <d v="2026-08-14T11:17:41"/>
    <s v="19002354"/>
    <x v="4"/>
    <x v="4"/>
    <n v="9"/>
    <m/>
    <n v="9"/>
    <s v="20280517150000"/>
    <s v="디캔팅"/>
    <s v="입고"/>
    <s v="작업완료"/>
    <s v="1008"/>
    <x v="3"/>
    <s v="2026-08-14 11:15:58"/>
    <s v="월수금"/>
    <x v="1"/>
  </r>
  <r>
    <d v="2026-08-14T11:17:39"/>
    <s v="19012409"/>
    <x v="4"/>
    <x v="4"/>
    <n v="9"/>
    <m/>
    <n v="9"/>
    <s v="20280517150000"/>
    <s v="디캔팅"/>
    <s v="입고"/>
    <s v="작업완료"/>
    <s v="1008"/>
    <x v="3"/>
    <s v="2026-08-14 11:15:52"/>
    <s v="월수금"/>
    <x v="1"/>
  </r>
  <r>
    <d v="2026-08-14T11:17:30"/>
    <s v="19000983"/>
    <x v="4"/>
    <x v="4"/>
    <n v="9"/>
    <m/>
    <n v="9"/>
    <s v="20280517150000"/>
    <s v="디캔팅"/>
    <s v="입고"/>
    <s v="작업완료"/>
    <s v="1008"/>
    <x v="3"/>
    <s v="2026-08-14 11:15:55"/>
    <s v="월수금"/>
    <x v="1"/>
  </r>
  <r>
    <d v="2026-08-14T11:16:32"/>
    <s v="19014869"/>
    <x v="4"/>
    <x v="4"/>
    <n v="9"/>
    <m/>
    <n v="9"/>
    <s v="20280517150000"/>
    <s v="디캔팅"/>
    <s v="입고"/>
    <s v="작업완료"/>
    <s v="1008"/>
    <x v="3"/>
    <s v="2026-08-14 11:14:04"/>
    <s v="월수금"/>
    <x v="1"/>
  </r>
  <r>
    <d v="2026-08-14T11:16:22"/>
    <s v="19004283"/>
    <x v="4"/>
    <x v="4"/>
    <n v="9"/>
    <m/>
    <n v="9"/>
    <s v="20280517150000"/>
    <s v="디캔팅"/>
    <s v="입고"/>
    <s v="작업완료"/>
    <s v="1008"/>
    <x v="3"/>
    <s v="2026-08-14 11:14:11"/>
    <s v="월수금"/>
    <x v="1"/>
  </r>
  <r>
    <d v="2026-08-14T11:15:52"/>
    <s v="19020523"/>
    <x v="4"/>
    <x v="4"/>
    <n v="9"/>
    <m/>
    <n v="9"/>
    <s v="20280517150000"/>
    <s v="디캔팅"/>
    <s v="입고"/>
    <s v="작업완료"/>
    <s v="1008"/>
    <x v="3"/>
    <s v="2026-08-14 11:14:02"/>
    <s v="월수금"/>
    <x v="1"/>
  </r>
  <r>
    <d v="2026-08-14T11:14:53"/>
    <s v="19010640"/>
    <x v="4"/>
    <x v="4"/>
    <n v="9"/>
    <m/>
    <n v="9"/>
    <s v="20280517150000"/>
    <s v="디캔팅"/>
    <s v="입고"/>
    <s v="작업완료"/>
    <s v="1008"/>
    <x v="3"/>
    <s v="2026-08-14 11:12:57"/>
    <s v="월수금"/>
    <x v="1"/>
  </r>
  <r>
    <d v="2026-08-14T11:14:45"/>
    <s v="19026000"/>
    <x v="4"/>
    <x v="4"/>
    <n v="9"/>
    <m/>
    <n v="9"/>
    <s v="20280517150000"/>
    <s v="디캔팅"/>
    <s v="입고"/>
    <s v="작업완료"/>
    <s v="1008"/>
    <x v="3"/>
    <s v="2026-08-14 11:12:53"/>
    <s v="월수금"/>
    <x v="1"/>
  </r>
  <r>
    <d v="2026-08-14T11:14:23"/>
    <s v="19007693"/>
    <x v="4"/>
    <x v="4"/>
    <n v="9"/>
    <m/>
    <n v="9"/>
    <s v="20280517150000"/>
    <s v="디캔팅"/>
    <s v="입고"/>
    <s v="작업완료"/>
    <s v="1008"/>
    <x v="3"/>
    <s v="2026-08-14 11:12:50"/>
    <s v="월수금"/>
    <x v="1"/>
  </r>
  <r>
    <d v="2026-08-14T11:13:23"/>
    <s v="19006518"/>
    <x v="4"/>
    <x v="4"/>
    <n v="9"/>
    <m/>
    <n v="9"/>
    <s v="20280517150000"/>
    <s v="디캔팅"/>
    <s v="입고"/>
    <s v="작업완료"/>
    <s v="1008"/>
    <x v="3"/>
    <s v="2026-08-14 11:11:25"/>
    <s v="월수금"/>
    <x v="1"/>
  </r>
  <r>
    <d v="2026-08-14T11:13:03"/>
    <s v="19018330"/>
    <x v="4"/>
    <x v="4"/>
    <n v="9"/>
    <m/>
    <n v="9"/>
    <s v="20280517150000"/>
    <s v="디캔팅"/>
    <s v="입고"/>
    <s v="작업완료"/>
    <s v="1008"/>
    <x v="3"/>
    <s v="2026-08-14 11:11:28"/>
    <s v="월수금"/>
    <x v="1"/>
  </r>
  <r>
    <d v="2026-08-14T11:12:18"/>
    <s v="19009988"/>
    <x v="4"/>
    <x v="4"/>
    <n v="9"/>
    <m/>
    <n v="9"/>
    <s v="20280517150000"/>
    <s v="디캔팅"/>
    <s v="입고"/>
    <s v="작업완료"/>
    <s v="1008"/>
    <x v="3"/>
    <s v="2026-08-14 11:10:30"/>
    <s v="월수금"/>
    <x v="1"/>
  </r>
  <r>
    <d v="2026-08-14T11:12:14"/>
    <s v="19013157"/>
    <x v="4"/>
    <x v="4"/>
    <n v="9"/>
    <m/>
    <n v="9"/>
    <s v="20280517150000"/>
    <s v="디캔팅"/>
    <s v="입고"/>
    <s v="작업완료"/>
    <s v="1008"/>
    <x v="3"/>
    <s v="2026-08-14 11:10:26"/>
    <s v="월수금"/>
    <x v="1"/>
  </r>
  <r>
    <d v="2026-08-14T11:11:34"/>
    <s v="19003707"/>
    <x v="4"/>
    <x v="4"/>
    <n v="9"/>
    <m/>
    <n v="9"/>
    <s v="20280517150000"/>
    <s v="디캔팅"/>
    <s v="입고"/>
    <s v="작업완료"/>
    <s v="1008"/>
    <x v="3"/>
    <s v="2026-08-14 11:09:48"/>
    <s v="월수금"/>
    <x v="1"/>
  </r>
  <r>
    <d v="2026-08-14T11:11:14"/>
    <s v="19010130"/>
    <x v="4"/>
    <x v="4"/>
    <n v="9"/>
    <m/>
    <n v="9"/>
    <s v="20280517150000"/>
    <s v="디캔팅"/>
    <s v="입고"/>
    <s v="작업완료"/>
    <s v="1008"/>
    <x v="3"/>
    <s v="2026-08-14 11:09:45"/>
    <s v="월수금"/>
    <x v="1"/>
  </r>
  <r>
    <d v="2026-08-14T11:10:25"/>
    <s v="19003016"/>
    <x v="4"/>
    <x v="4"/>
    <n v="9"/>
    <m/>
    <n v="9"/>
    <s v="20280517150000"/>
    <s v="디캔팅"/>
    <s v="입고"/>
    <s v="작업완료"/>
    <s v="1008"/>
    <x v="3"/>
    <s v="2026-08-14 11:08:39"/>
    <s v="월수금"/>
    <x v="1"/>
  </r>
  <r>
    <d v="2026-08-14T11:10:13"/>
    <s v="19004440"/>
    <x v="4"/>
    <x v="4"/>
    <n v="9"/>
    <m/>
    <n v="9"/>
    <s v="20280517150000"/>
    <s v="디캔팅"/>
    <s v="입고"/>
    <s v="작업완료"/>
    <s v="1008"/>
    <x v="3"/>
    <s v="2026-08-14 11:08:30"/>
    <s v="월수금"/>
    <x v="1"/>
  </r>
  <r>
    <d v="2026-08-14T11:09:29"/>
    <s v="19010227"/>
    <x v="4"/>
    <x v="4"/>
    <n v="9"/>
    <m/>
    <n v="9"/>
    <s v="20280517150000"/>
    <s v="디캔팅"/>
    <s v="입고"/>
    <s v="작업완료"/>
    <s v="1008"/>
    <x v="3"/>
    <s v="2026-08-14 11:07:39"/>
    <s v="월수금"/>
    <x v="1"/>
  </r>
  <r>
    <d v="2026-08-14T11:09:14"/>
    <s v="19005278"/>
    <x v="4"/>
    <x v="4"/>
    <n v="9"/>
    <m/>
    <n v="9"/>
    <s v="20280517150000"/>
    <s v="디캔팅"/>
    <s v="입고"/>
    <s v="작업완료"/>
    <s v="1008"/>
    <x v="3"/>
    <s v="2026-08-14 11:07:36"/>
    <s v="월수금"/>
    <x v="1"/>
  </r>
  <r>
    <d v="2026-08-14T11:09:11"/>
    <s v="19005036"/>
    <x v="4"/>
    <x v="4"/>
    <n v="9"/>
    <m/>
    <n v="9"/>
    <s v="20280517150000"/>
    <s v="디캔팅"/>
    <s v="입고"/>
    <s v="작업완료"/>
    <s v="1008"/>
    <x v="3"/>
    <s v="2026-08-14 11:07:34"/>
    <s v="월수금"/>
    <x v="1"/>
  </r>
  <r>
    <d v="2026-08-14T11:07:54"/>
    <s v="19016311"/>
    <x v="4"/>
    <x v="4"/>
    <n v="9"/>
    <m/>
    <n v="9"/>
    <s v="20280517150000"/>
    <s v="디캔팅"/>
    <s v="입고"/>
    <s v="작업완료"/>
    <s v="1008"/>
    <x v="3"/>
    <s v="2026-08-14 11:06:24"/>
    <s v="월수금"/>
    <x v="1"/>
  </r>
  <r>
    <d v="2026-08-14T11:07:48"/>
    <s v="19019744"/>
    <x v="4"/>
    <x v="4"/>
    <n v="9"/>
    <m/>
    <n v="9"/>
    <s v="20280517150000"/>
    <s v="디캔팅"/>
    <s v="입고"/>
    <s v="작업완료"/>
    <s v="1008"/>
    <x v="3"/>
    <s v="2026-08-14 11:06:20"/>
    <s v="월수금"/>
    <x v="1"/>
  </r>
  <r>
    <d v="2026-08-14T11:06:49"/>
    <s v="19003278"/>
    <x v="4"/>
    <x v="4"/>
    <n v="9"/>
    <m/>
    <n v="9"/>
    <s v="20280517150000"/>
    <s v="디캔팅"/>
    <s v="입고"/>
    <s v="작업완료"/>
    <s v="1008"/>
    <x v="3"/>
    <s v="2026-08-14 11:05:17"/>
    <s v="월수금"/>
    <x v="1"/>
  </r>
  <r>
    <d v="2026-08-14T11:06:46"/>
    <s v="19001709"/>
    <x v="4"/>
    <x v="4"/>
    <n v="9"/>
    <m/>
    <n v="9"/>
    <s v="20280517150000"/>
    <s v="디캔팅"/>
    <s v="입고"/>
    <s v="작업완료"/>
    <s v="1008"/>
    <x v="3"/>
    <s v="2026-08-14 11:05:21"/>
    <s v="월수금"/>
    <x v="1"/>
  </r>
  <r>
    <d v="2026-08-14T11:06:13"/>
    <s v="19013901"/>
    <x v="4"/>
    <x v="4"/>
    <n v="9"/>
    <m/>
    <n v="9"/>
    <s v="20280517150000"/>
    <s v="디캔팅"/>
    <s v="입고"/>
    <s v="작업완료"/>
    <s v="1008"/>
    <x v="3"/>
    <s v="2026-08-14 11:04:36"/>
    <s v="월수금"/>
    <x v="1"/>
  </r>
  <r>
    <d v="2026-08-14T11:06:11"/>
    <s v="19005260"/>
    <x v="4"/>
    <x v="4"/>
    <n v="9"/>
    <m/>
    <n v="9"/>
    <s v="20280517150000"/>
    <s v="디캔팅"/>
    <s v="입고"/>
    <s v="작업완료"/>
    <s v="1008"/>
    <x v="3"/>
    <s v="2026-08-14 11:04:32"/>
    <s v="월수금"/>
    <x v="1"/>
  </r>
  <r>
    <d v="2026-08-12T10:30:55"/>
    <s v="19010736"/>
    <x v="4"/>
    <x v="4"/>
    <n v="9"/>
    <m/>
    <n v="9"/>
    <s v="20280517150000"/>
    <s v="디캔팅"/>
    <s v="입고"/>
    <s v="작업완료"/>
    <s v="1006"/>
    <x v="6"/>
    <s v="2026-08-12 10:29:21"/>
    <s v="월수금"/>
    <x v="2"/>
  </r>
  <r>
    <d v="2026-08-11T21:53:21"/>
    <s v="19025315"/>
    <x v="4"/>
    <x v="4"/>
    <n v="9"/>
    <m/>
    <n v="9"/>
    <s v="20280517150000"/>
    <s v="디캔팅"/>
    <s v="입고"/>
    <s v="작업완료"/>
    <s v="1010"/>
    <x v="7"/>
    <s v="2026-08-11 21:51:28"/>
    <s v="월수금"/>
    <x v="5"/>
  </r>
  <r>
    <d v="2026-08-11T21:53:17"/>
    <s v="19011054"/>
    <x v="4"/>
    <x v="4"/>
    <n v="9"/>
    <m/>
    <n v="9"/>
    <s v="20280517150000"/>
    <s v="디캔팅"/>
    <s v="입고"/>
    <s v="작업완료"/>
    <s v="1010"/>
    <x v="7"/>
    <s v="2026-08-11 21:51:26"/>
    <s v="월수금"/>
    <x v="5"/>
  </r>
  <r>
    <d v="2026-08-11T21:52:44"/>
    <s v="19003267"/>
    <x v="4"/>
    <x v="4"/>
    <n v="9"/>
    <m/>
    <n v="9"/>
    <s v="20280517150000"/>
    <s v="디캔팅"/>
    <s v="입고"/>
    <s v="작업완료"/>
    <s v="1010"/>
    <x v="7"/>
    <s v="2026-08-11 21:50:34"/>
    <s v="월수금"/>
    <x v="5"/>
  </r>
  <r>
    <d v="2026-08-11T21:52:43"/>
    <s v="19029101"/>
    <x v="4"/>
    <x v="4"/>
    <n v="9"/>
    <m/>
    <n v="9"/>
    <s v="20280517150000"/>
    <s v="디캔팅"/>
    <s v="입고"/>
    <s v="작업완료"/>
    <s v="1010"/>
    <x v="7"/>
    <s v="2026-08-11 21:50:32"/>
    <s v="월수금"/>
    <x v="5"/>
  </r>
  <r>
    <d v="2026-08-11T21:52:34"/>
    <s v="19006465"/>
    <x v="4"/>
    <x v="4"/>
    <n v="9"/>
    <m/>
    <n v="9"/>
    <s v="20280517150000"/>
    <s v="디캔팅"/>
    <s v="입고"/>
    <s v="작업완료"/>
    <s v="1010"/>
    <x v="7"/>
    <s v="2026-08-11 21:50:29"/>
    <s v="월수금"/>
    <x v="5"/>
  </r>
  <r>
    <d v="2026-08-11T21:50:54"/>
    <s v="19007063"/>
    <x v="4"/>
    <x v="4"/>
    <n v="9"/>
    <m/>
    <n v="9"/>
    <s v="20280517150000"/>
    <s v="디캔팅"/>
    <s v="입고"/>
    <s v="작업완료"/>
    <s v="1010"/>
    <x v="7"/>
    <s v="2026-08-11 21:49:03"/>
    <s v="월수금"/>
    <x v="5"/>
  </r>
  <r>
    <d v="2026-08-11T21:50:46"/>
    <s v="19003231"/>
    <x v="4"/>
    <x v="4"/>
    <n v="9"/>
    <m/>
    <n v="9"/>
    <s v="20280517150000"/>
    <s v="디캔팅"/>
    <s v="입고"/>
    <s v="작업완료"/>
    <s v="1010"/>
    <x v="7"/>
    <s v="2026-08-11 21:49:07"/>
    <s v="월수금"/>
    <x v="5"/>
  </r>
  <r>
    <d v="2026-08-11T21:50:40"/>
    <s v="19013570"/>
    <x v="4"/>
    <x v="4"/>
    <n v="9"/>
    <m/>
    <n v="9"/>
    <s v="20280517150000"/>
    <s v="디캔팅"/>
    <s v="입고"/>
    <s v="작업완료"/>
    <s v="1010"/>
    <x v="7"/>
    <s v="2026-08-11 21:49:01"/>
    <s v="월수금"/>
    <x v="5"/>
  </r>
  <r>
    <d v="2026-08-11T21:50:23"/>
    <s v="19026316"/>
    <x v="4"/>
    <x v="4"/>
    <n v="9"/>
    <m/>
    <n v="9"/>
    <s v="20280517150000"/>
    <s v="디캔팅"/>
    <s v="입고"/>
    <s v="작업완료"/>
    <s v="1010"/>
    <x v="7"/>
    <s v="2026-08-11 21:47:45"/>
    <s v="월수금"/>
    <x v="5"/>
  </r>
  <r>
    <d v="2026-08-11T21:49:38"/>
    <s v="19003488"/>
    <x v="4"/>
    <x v="4"/>
    <n v="9"/>
    <m/>
    <n v="9"/>
    <s v="20280517150000"/>
    <s v="디캔팅"/>
    <s v="입고"/>
    <s v="작업완료"/>
    <s v="1010"/>
    <x v="7"/>
    <s v="2026-08-11 21:47:50"/>
    <s v="월수금"/>
    <x v="5"/>
  </r>
  <r>
    <d v="2026-08-11T21:49:16"/>
    <s v="19016956"/>
    <x v="4"/>
    <x v="4"/>
    <n v="9"/>
    <m/>
    <n v="9"/>
    <s v="20280517150000"/>
    <s v="디캔팅"/>
    <s v="입고"/>
    <s v="작업완료"/>
    <s v="1010"/>
    <x v="7"/>
    <s v="2026-08-11 21:47:47"/>
    <s v="월수금"/>
    <x v="5"/>
  </r>
  <r>
    <d v="2026-08-11T21:46:17"/>
    <s v="19016133"/>
    <x v="4"/>
    <x v="4"/>
    <n v="9"/>
    <m/>
    <n v="9"/>
    <s v="20280517150000"/>
    <s v="디캔팅"/>
    <s v="입고"/>
    <s v="작업완료"/>
    <s v="1010"/>
    <x v="7"/>
    <s v="2026-08-11 21:44:18"/>
    <s v="월수금"/>
    <x v="5"/>
  </r>
  <r>
    <d v="2026-08-11T21:46:07"/>
    <s v="19008698"/>
    <x v="4"/>
    <x v="4"/>
    <n v="9"/>
    <m/>
    <n v="9"/>
    <s v="20280517150000"/>
    <s v="디캔팅"/>
    <s v="입고"/>
    <s v="작업완료"/>
    <s v="1010"/>
    <x v="7"/>
    <s v="2026-08-11 21:44:21"/>
    <s v="월수금"/>
    <x v="5"/>
  </r>
  <r>
    <d v="2026-08-11T21:45:46"/>
    <s v="19009868"/>
    <x v="4"/>
    <x v="4"/>
    <n v="9"/>
    <m/>
    <n v="9"/>
    <s v="20280517150000"/>
    <s v="디캔팅"/>
    <s v="입고"/>
    <s v="작업완료"/>
    <s v="1010"/>
    <x v="7"/>
    <s v="2026-08-11 21:44:15"/>
    <s v="월수금"/>
    <x v="5"/>
  </r>
  <r>
    <d v="2026-08-11T21:39:22"/>
    <s v="19003185"/>
    <x v="4"/>
    <x v="4"/>
    <n v="9"/>
    <m/>
    <n v="9"/>
    <s v="20280517150000"/>
    <s v="디캔팅"/>
    <s v="입고"/>
    <s v="작업완료"/>
    <s v="1010"/>
    <x v="7"/>
    <s v="2026-08-11 21:37:39"/>
    <s v="월수금"/>
    <x v="5"/>
  </r>
  <r>
    <d v="2026-08-11T21:39:18"/>
    <s v="19003687"/>
    <x v="4"/>
    <x v="4"/>
    <n v="9"/>
    <m/>
    <n v="9"/>
    <s v="20280517150000"/>
    <s v="디캔팅"/>
    <s v="입고"/>
    <s v="작업완료"/>
    <s v="1010"/>
    <x v="7"/>
    <s v="2026-08-11 21:37:37"/>
    <s v="월수금"/>
    <x v="5"/>
  </r>
  <r>
    <d v="2026-08-11T21:39:16"/>
    <s v="19008308"/>
    <x v="4"/>
    <x v="4"/>
    <n v="9"/>
    <m/>
    <n v="9"/>
    <s v="20280517150000"/>
    <s v="디캔팅"/>
    <s v="입고"/>
    <s v="작업완료"/>
    <s v="1010"/>
    <x v="7"/>
    <s v="2026-08-11 21:37:34"/>
    <s v="월수금"/>
    <x v="5"/>
  </r>
  <r>
    <d v="2026-08-11T21:38:28"/>
    <s v="19008146"/>
    <x v="4"/>
    <x v="4"/>
    <n v="9"/>
    <m/>
    <n v="9"/>
    <s v="20280517150000"/>
    <s v="디캔팅"/>
    <s v="입고"/>
    <s v="작업완료"/>
    <s v="1010"/>
    <x v="7"/>
    <s v="2026-08-11 21:36:12"/>
    <s v="월수금"/>
    <x v="5"/>
  </r>
  <r>
    <d v="2026-08-11T21:38:13"/>
    <s v="19016612"/>
    <x v="4"/>
    <x v="4"/>
    <n v="9"/>
    <m/>
    <n v="9"/>
    <s v="20280517150000"/>
    <s v="디캔팅"/>
    <s v="입고"/>
    <s v="작업완료"/>
    <s v="1010"/>
    <x v="7"/>
    <s v="2026-08-11 21:36:09"/>
    <s v="월수금"/>
    <x v="5"/>
  </r>
  <r>
    <d v="2026-08-11T21:37:46"/>
    <s v="19023750"/>
    <x v="4"/>
    <x v="4"/>
    <n v="9"/>
    <m/>
    <n v="9"/>
    <s v="20280517150000"/>
    <s v="디캔팅"/>
    <s v="입고"/>
    <s v="작업완료"/>
    <s v="1010"/>
    <x v="7"/>
    <s v="2026-08-11 21:36:06"/>
    <s v="월수금"/>
    <x v="5"/>
  </r>
  <r>
    <d v="2026-08-10T11:37:49"/>
    <s v="19004815"/>
    <x v="4"/>
    <x v="4"/>
    <n v="9"/>
    <m/>
    <n v="9"/>
    <s v="20280517150000"/>
    <s v="디캔팅"/>
    <s v="입고"/>
    <s v="작업완료"/>
    <s v="1015"/>
    <x v="9"/>
    <s v="2026-08-10 11:32:11"/>
    <s v="월수금"/>
    <x v="3"/>
  </r>
  <r>
    <d v="2026-08-10T11:34:40"/>
    <s v="19019718"/>
    <x v="4"/>
    <x v="4"/>
    <n v="9"/>
    <m/>
    <n v="9"/>
    <s v="20280517150000"/>
    <s v="디캔팅"/>
    <s v="입고"/>
    <s v="작업완료"/>
    <s v="1015"/>
    <x v="9"/>
    <s v="2026-08-10 11:32:18"/>
    <s v="월수금"/>
    <x v="3"/>
  </r>
  <r>
    <d v="2026-08-10T11:33:55"/>
    <s v="19002961"/>
    <x v="4"/>
    <x v="4"/>
    <n v="9"/>
    <m/>
    <n v="9"/>
    <s v="20280517150000"/>
    <s v="디캔팅"/>
    <s v="입고"/>
    <s v="작업완료"/>
    <s v="1015"/>
    <x v="9"/>
    <s v="2026-08-10 11:30:56"/>
    <s v="월수금"/>
    <x v="3"/>
  </r>
  <r>
    <d v="2026-08-10T11:32:58"/>
    <s v="19006086"/>
    <x v="4"/>
    <x v="4"/>
    <n v="9"/>
    <m/>
    <n v="9"/>
    <s v="20280517150000"/>
    <s v="디캔팅"/>
    <s v="입고"/>
    <s v="작업완료"/>
    <s v="1015"/>
    <x v="9"/>
    <s v="2026-08-10 11:31:03"/>
    <s v="월수금"/>
    <x v="3"/>
  </r>
  <r>
    <d v="2026-08-10T11:32:38"/>
    <s v="19000598"/>
    <x v="4"/>
    <x v="4"/>
    <n v="9"/>
    <m/>
    <n v="9"/>
    <s v="20280517150000"/>
    <s v="디캔팅"/>
    <s v="입고"/>
    <s v="작업완료"/>
    <s v="1015"/>
    <x v="9"/>
    <s v="2026-08-10 11:29:55"/>
    <s v="월수금"/>
    <x v="3"/>
  </r>
  <r>
    <d v="2026-08-10T11:31:49"/>
    <s v="19019474"/>
    <x v="4"/>
    <x v="4"/>
    <n v="9"/>
    <m/>
    <n v="9"/>
    <s v="20280517150000"/>
    <s v="디캔팅"/>
    <s v="입고"/>
    <s v="작업완료"/>
    <s v="1015"/>
    <x v="9"/>
    <s v="2026-08-10 11:29:47"/>
    <s v="월수금"/>
    <x v="3"/>
  </r>
  <r>
    <d v="2026-08-10T11:30:48"/>
    <s v="19029984"/>
    <x v="4"/>
    <x v="4"/>
    <n v="9"/>
    <m/>
    <n v="9"/>
    <s v="20280517150000"/>
    <s v="디캔팅"/>
    <s v="입고"/>
    <s v="작업완료"/>
    <s v="1015"/>
    <x v="9"/>
    <s v="2026-08-10 11:28:38"/>
    <s v="월수금"/>
    <x v="3"/>
  </r>
  <r>
    <d v="2026-08-10T11:30:38"/>
    <s v="19013526"/>
    <x v="4"/>
    <x v="4"/>
    <n v="9"/>
    <m/>
    <n v="9"/>
    <s v="20280517150000"/>
    <s v="디캔팅"/>
    <s v="입고"/>
    <s v="작업완료"/>
    <s v="1015"/>
    <x v="9"/>
    <s v="2026-08-10 11:28:31"/>
    <s v="월수금"/>
    <x v="3"/>
  </r>
  <r>
    <d v="2026-08-10T11:29:26"/>
    <s v="19004256"/>
    <x v="4"/>
    <x v="4"/>
    <n v="9"/>
    <m/>
    <n v="9"/>
    <s v="20280517150000"/>
    <s v="디캔팅"/>
    <s v="입고"/>
    <s v="작업완료"/>
    <s v="1015"/>
    <x v="9"/>
    <s v="2026-08-10 11:27:27"/>
    <s v="월수금"/>
    <x v="3"/>
  </r>
  <r>
    <d v="2026-08-10T11:29:25"/>
    <s v="19017067"/>
    <x v="4"/>
    <x v="4"/>
    <n v="9"/>
    <m/>
    <n v="9"/>
    <s v="20280517150000"/>
    <s v="디캔팅"/>
    <s v="입고"/>
    <s v="작업완료"/>
    <s v="1015"/>
    <x v="9"/>
    <s v="2026-08-10 11:27:19"/>
    <s v="월수금"/>
    <x v="3"/>
  </r>
  <r>
    <d v="2026-08-10T11:28:18"/>
    <s v="19001057"/>
    <x v="4"/>
    <x v="4"/>
    <n v="9"/>
    <m/>
    <n v="9"/>
    <s v="20280517150000"/>
    <s v="디캔팅"/>
    <s v="입고"/>
    <s v="작업완료"/>
    <s v="1015"/>
    <x v="9"/>
    <s v="2026-08-10 11:25:53"/>
    <s v="월수금"/>
    <x v="3"/>
  </r>
  <r>
    <d v="2026-08-10T11:28:11"/>
    <s v="19017979"/>
    <x v="4"/>
    <x v="4"/>
    <n v="9"/>
    <m/>
    <n v="9"/>
    <s v="20280517150000"/>
    <s v="디캔팅"/>
    <s v="입고"/>
    <s v="작업완료"/>
    <s v="1015"/>
    <x v="9"/>
    <s v="2026-08-10 11:26:00"/>
    <s v="월수금"/>
    <x v="3"/>
  </r>
  <r>
    <d v="2026-08-10T11:26:59"/>
    <s v="19004488"/>
    <x v="4"/>
    <x v="4"/>
    <n v="9"/>
    <m/>
    <n v="9"/>
    <s v="20280517150000"/>
    <s v="디캔팅"/>
    <s v="입고"/>
    <s v="작업완료"/>
    <s v="1015"/>
    <x v="9"/>
    <s v="2026-08-10 11:24:25"/>
    <s v="월수금"/>
    <x v="3"/>
  </r>
  <r>
    <d v="2026-08-10T11:26:27"/>
    <s v="19015165"/>
    <x v="4"/>
    <x v="4"/>
    <n v="9"/>
    <m/>
    <n v="9"/>
    <s v="20280517150000"/>
    <s v="디캔팅"/>
    <s v="입고"/>
    <s v="작업완료"/>
    <s v="1015"/>
    <x v="9"/>
    <s v="2026-08-10 11:24:19"/>
    <s v="월수금"/>
    <x v="3"/>
  </r>
  <r>
    <d v="2026-08-10T11:26:04"/>
    <s v="19007135"/>
    <x v="4"/>
    <x v="4"/>
    <n v="9"/>
    <m/>
    <n v="9"/>
    <s v="20280517150000"/>
    <s v="디캔팅"/>
    <s v="입고"/>
    <s v="작업완료"/>
    <s v="1015"/>
    <x v="9"/>
    <s v="2026-08-10 11:23:06"/>
    <s v="월수금"/>
    <x v="3"/>
  </r>
  <r>
    <d v="2026-08-10T11:25:28"/>
    <s v="19006696"/>
    <x v="4"/>
    <x v="4"/>
    <n v="9"/>
    <m/>
    <n v="9"/>
    <s v="20280517150000"/>
    <s v="디캔팅"/>
    <s v="입고"/>
    <s v="작업완료"/>
    <s v="1015"/>
    <x v="9"/>
    <s v="2026-08-10 11:22:59"/>
    <s v="월수금"/>
    <x v="3"/>
  </r>
  <r>
    <d v="2026-08-10T11:23:59"/>
    <s v="19002505"/>
    <x v="4"/>
    <x v="4"/>
    <n v="9"/>
    <m/>
    <n v="9"/>
    <s v="20280517150000"/>
    <s v="디캔팅"/>
    <s v="입고"/>
    <s v="작업완료"/>
    <s v="1015"/>
    <x v="9"/>
    <s v="2026-08-10 11:21:46"/>
    <s v="월수금"/>
    <x v="3"/>
  </r>
  <r>
    <d v="2026-08-10T11:23:53"/>
    <s v="19028579"/>
    <x v="4"/>
    <x v="4"/>
    <n v="9"/>
    <m/>
    <n v="9"/>
    <s v="20280517150000"/>
    <s v="디캔팅"/>
    <s v="입고"/>
    <s v="작업완료"/>
    <s v="1015"/>
    <x v="9"/>
    <s v="2026-08-10 11:21:39"/>
    <s v="월수금"/>
    <x v="3"/>
  </r>
  <r>
    <d v="2026-08-10T11:22:22"/>
    <s v="19002658"/>
    <x v="4"/>
    <x v="4"/>
    <n v="9"/>
    <m/>
    <n v="9"/>
    <s v="20280517150000"/>
    <s v="디캔팅"/>
    <s v="입고"/>
    <s v="작업완료"/>
    <s v="1015"/>
    <x v="9"/>
    <s v="2026-08-10 11:20:08"/>
    <s v="월수금"/>
    <x v="3"/>
  </r>
  <r>
    <d v="2026-08-10T11:22:11"/>
    <s v="19025583"/>
    <x v="4"/>
    <x v="4"/>
    <n v="9"/>
    <m/>
    <n v="9"/>
    <s v="20280517150000"/>
    <s v="디캔팅"/>
    <s v="입고"/>
    <s v="작업완료"/>
    <s v="1015"/>
    <x v="9"/>
    <s v="2026-08-10 11:20:01"/>
    <s v="월수금"/>
    <x v="3"/>
  </r>
  <r>
    <d v="2026-08-10T11:21:57"/>
    <s v="19001716"/>
    <x v="4"/>
    <x v="4"/>
    <n v="9"/>
    <m/>
    <n v="9"/>
    <s v="20280517150000"/>
    <s v="디캔팅"/>
    <s v="입고"/>
    <s v="작업완료"/>
    <s v="1015"/>
    <x v="9"/>
    <s v="2026-08-10 11:18:34"/>
    <s v="월수금"/>
    <x v="3"/>
  </r>
  <r>
    <d v="2026-08-10T11:20:53"/>
    <s v="19015253"/>
    <x v="4"/>
    <x v="4"/>
    <n v="9"/>
    <m/>
    <n v="9"/>
    <s v="20280517150000"/>
    <s v="디캔팅"/>
    <s v="입고"/>
    <s v="작업완료"/>
    <s v="1015"/>
    <x v="9"/>
    <s v="2026-08-10 11:18:26"/>
    <s v="월수금"/>
    <x v="3"/>
  </r>
  <r>
    <d v="2026-08-10T11:19:24"/>
    <s v="19003881"/>
    <x v="4"/>
    <x v="4"/>
    <n v="9"/>
    <m/>
    <n v="9"/>
    <s v="20280517150000"/>
    <s v="디캔팅"/>
    <s v="입고"/>
    <s v="작업완료"/>
    <s v="1015"/>
    <x v="9"/>
    <s v="2026-08-10 11:17:16"/>
    <s v="월수금"/>
    <x v="3"/>
  </r>
  <r>
    <d v="2026-08-10T11:19:21"/>
    <s v="19002016"/>
    <x v="4"/>
    <x v="4"/>
    <n v="9"/>
    <m/>
    <n v="9"/>
    <s v="20280517150000"/>
    <s v="디캔팅"/>
    <s v="입고"/>
    <s v="작업완료"/>
    <s v="1015"/>
    <x v="9"/>
    <s v="2026-08-10 11:17:23"/>
    <s v="월수금"/>
    <x v="3"/>
  </r>
  <r>
    <d v="2026-08-10T11:18:05"/>
    <s v="19003713"/>
    <x v="4"/>
    <x v="4"/>
    <n v="9"/>
    <m/>
    <n v="9"/>
    <s v="20280517150000"/>
    <s v="디캔팅"/>
    <s v="입고"/>
    <s v="작업완료"/>
    <s v="1015"/>
    <x v="9"/>
    <s v="2026-08-10 11:16:02"/>
    <s v="월수금"/>
    <x v="3"/>
  </r>
  <r>
    <d v="2026-08-10T11:17:46"/>
    <s v="19011287"/>
    <x v="4"/>
    <x v="4"/>
    <n v="9"/>
    <m/>
    <n v="9"/>
    <s v="20280517150000"/>
    <s v="디캔팅"/>
    <s v="입고"/>
    <s v="작업완료"/>
    <s v="1015"/>
    <x v="9"/>
    <s v="2026-08-10 11:15:54"/>
    <s v="월수금"/>
    <x v="3"/>
  </r>
  <r>
    <d v="2026-08-10T11:14:47"/>
    <s v="19009324"/>
    <x v="4"/>
    <x v="4"/>
    <n v="9"/>
    <m/>
    <n v="9"/>
    <s v="20280517150000"/>
    <s v="디캔팅"/>
    <s v="입고"/>
    <s v="작업완료"/>
    <s v="1015"/>
    <x v="9"/>
    <s v="2026-08-10 11:12:51"/>
    <s v="월수금"/>
    <x v="3"/>
  </r>
  <r>
    <d v="2026-08-10T11:14:46"/>
    <s v="19005958"/>
    <x v="4"/>
    <x v="4"/>
    <n v="9"/>
    <m/>
    <n v="9"/>
    <s v="20280517150000"/>
    <s v="디캔팅"/>
    <s v="입고"/>
    <s v="작업완료"/>
    <s v="1015"/>
    <x v="9"/>
    <s v="2026-08-10 11:12:57"/>
    <s v="월수금"/>
    <x v="3"/>
  </r>
  <r>
    <d v="2026-08-10T11:12:39"/>
    <s v="19012118"/>
    <x v="4"/>
    <x v="4"/>
    <n v="9"/>
    <m/>
    <n v="9"/>
    <s v="20280517150000"/>
    <s v="디캔팅"/>
    <s v="입고"/>
    <s v="작업완료"/>
    <s v="1015"/>
    <x v="9"/>
    <s v="2026-08-10 11:10:34"/>
    <s v="월수금"/>
    <x v="3"/>
  </r>
  <r>
    <d v="2026-08-10T11:12:15"/>
    <s v="19021268"/>
    <x v="4"/>
    <x v="4"/>
    <n v="9"/>
    <m/>
    <n v="9"/>
    <s v="20280517150000"/>
    <s v="디캔팅"/>
    <s v="입고"/>
    <s v="작업완료"/>
    <s v="1015"/>
    <x v="9"/>
    <s v="2026-08-10 11:10:27"/>
    <s v="월수금"/>
    <x v="3"/>
  </r>
  <r>
    <d v="2026-08-14T10:23:09"/>
    <s v="19004337"/>
    <x v="5"/>
    <x v="5"/>
    <n v="10"/>
    <m/>
    <n v="10"/>
    <s v="20270525150000"/>
    <s v="디캔팅"/>
    <s v="입고"/>
    <s v="작업완료"/>
    <s v="1014"/>
    <x v="10"/>
    <s v="2026-08-14 10:21:00"/>
    <s v="월수금"/>
    <x v="1"/>
  </r>
  <r>
    <d v="2026-08-14T10:22:38"/>
    <s v="19019150"/>
    <x v="5"/>
    <x v="5"/>
    <n v="10"/>
    <m/>
    <n v="10"/>
    <s v="20270525150000"/>
    <s v="디캔팅"/>
    <s v="입고"/>
    <s v="작업완료"/>
    <s v="1014"/>
    <x v="10"/>
    <s v="2026-08-14 10:20:30"/>
    <s v="월수금"/>
    <x v="1"/>
  </r>
  <r>
    <d v="2026-08-14T10:22:38"/>
    <s v="19010435"/>
    <x v="5"/>
    <x v="5"/>
    <n v="10"/>
    <m/>
    <n v="10"/>
    <s v="20270525150000"/>
    <s v="디캔팅"/>
    <s v="입고"/>
    <s v="작업완료"/>
    <s v="1014"/>
    <x v="10"/>
    <s v="2026-08-14 10:20:25"/>
    <s v="월수금"/>
    <x v="1"/>
  </r>
  <r>
    <d v="2026-08-14T10:22:30"/>
    <s v="19007218"/>
    <x v="5"/>
    <x v="5"/>
    <n v="10"/>
    <m/>
    <n v="10"/>
    <s v="20270525150000"/>
    <s v="디캔팅"/>
    <s v="입고"/>
    <s v="작업완료"/>
    <s v="1014"/>
    <x v="10"/>
    <s v="2026-08-14 10:20:27"/>
    <s v="월수금"/>
    <x v="1"/>
  </r>
  <r>
    <d v="2026-08-14T10:21:29"/>
    <s v="19000045"/>
    <x v="5"/>
    <x v="5"/>
    <n v="10"/>
    <m/>
    <n v="10"/>
    <s v="20270525150000"/>
    <s v="디캔팅"/>
    <s v="입고"/>
    <s v="작업완료"/>
    <s v="1014"/>
    <x v="10"/>
    <s v="2026-08-14 10:19:05"/>
    <s v="월수금"/>
    <x v="1"/>
  </r>
  <r>
    <d v="2026-08-14T10:20:58"/>
    <s v="19024819"/>
    <x v="5"/>
    <x v="5"/>
    <n v="10"/>
    <m/>
    <n v="10"/>
    <s v="20270525150000"/>
    <s v="디캔팅"/>
    <s v="입고"/>
    <s v="작업완료"/>
    <s v="1014"/>
    <x v="10"/>
    <s v="2026-08-14 10:19:02"/>
    <s v="월수금"/>
    <x v="1"/>
  </r>
  <r>
    <d v="2026-08-14T10:20:56"/>
    <s v="19016159"/>
    <x v="5"/>
    <x v="5"/>
    <n v="10"/>
    <m/>
    <n v="10"/>
    <s v="20270525150000"/>
    <s v="디캔팅"/>
    <s v="입고"/>
    <s v="작업완료"/>
    <s v="1014"/>
    <x v="10"/>
    <s v="2026-08-14 10:19:07"/>
    <s v="월수금"/>
    <x v="1"/>
  </r>
  <r>
    <d v="2026-08-14T10:18:44"/>
    <s v="19007403"/>
    <x v="5"/>
    <x v="5"/>
    <n v="10"/>
    <m/>
    <n v="10"/>
    <s v="20270525150000"/>
    <s v="디캔팅"/>
    <s v="입고"/>
    <s v="작업완료"/>
    <s v="1014"/>
    <x v="10"/>
    <s v="2026-08-14 10:16:49"/>
    <s v="월수금"/>
    <x v="1"/>
  </r>
  <r>
    <d v="2026-08-14T09:57:46"/>
    <s v="19026253"/>
    <x v="5"/>
    <x v="5"/>
    <n v="10"/>
    <m/>
    <n v="10"/>
    <s v="20270525150000"/>
    <s v="디캔팅"/>
    <s v="입고"/>
    <s v="작업완료"/>
    <s v="1014"/>
    <x v="10"/>
    <s v="2026-08-14 09:55:44"/>
    <s v="월수금"/>
    <x v="1"/>
  </r>
  <r>
    <d v="2026-08-14T09:57:22"/>
    <s v="19012001"/>
    <x v="5"/>
    <x v="5"/>
    <n v="10"/>
    <m/>
    <n v="10"/>
    <s v="20270525150000"/>
    <s v="디캔팅"/>
    <s v="입고"/>
    <s v="작업완료"/>
    <s v="1014"/>
    <x v="10"/>
    <s v="2026-08-14 09:55:08"/>
    <s v="월수금"/>
    <x v="1"/>
  </r>
  <r>
    <d v="2026-08-14T09:56:07"/>
    <s v="19020244"/>
    <x v="5"/>
    <x v="5"/>
    <n v="10"/>
    <m/>
    <n v="10"/>
    <s v="20270525150000"/>
    <s v="디캔팅"/>
    <s v="입고"/>
    <s v="작업완료"/>
    <s v="1014"/>
    <x v="10"/>
    <s v="2026-08-14 09:53:58"/>
    <s v="월수금"/>
    <x v="1"/>
  </r>
  <r>
    <d v="2026-08-14T09:56:00"/>
    <s v="19021285"/>
    <x v="5"/>
    <x v="5"/>
    <n v="10"/>
    <m/>
    <n v="10"/>
    <s v="20270525150000"/>
    <s v="디캔팅"/>
    <s v="입고"/>
    <s v="작업완료"/>
    <s v="1014"/>
    <x v="10"/>
    <s v="2026-08-14 09:53:56"/>
    <s v="월수금"/>
    <x v="1"/>
  </r>
  <r>
    <d v="2026-08-14T09:55:56"/>
    <s v="19022221"/>
    <x v="5"/>
    <x v="5"/>
    <n v="10"/>
    <m/>
    <n v="10"/>
    <s v="20270525150000"/>
    <s v="디캔팅"/>
    <s v="입고"/>
    <s v="작업완료"/>
    <s v="1014"/>
    <x v="10"/>
    <s v="2026-08-14 09:54:00"/>
    <s v="월수금"/>
    <x v="1"/>
  </r>
  <r>
    <d v="2026-08-14T09:54:17"/>
    <s v="19023450"/>
    <x v="5"/>
    <x v="5"/>
    <n v="10"/>
    <m/>
    <n v="10"/>
    <s v="20270525150000"/>
    <s v="디캔팅"/>
    <s v="입고"/>
    <s v="작업완료"/>
    <s v="1014"/>
    <x v="10"/>
    <s v="2026-08-14 09:51:57"/>
    <s v="월수금"/>
    <x v="1"/>
  </r>
  <r>
    <d v="2026-08-14T09:53:57"/>
    <s v="19005280"/>
    <x v="5"/>
    <x v="5"/>
    <n v="10"/>
    <m/>
    <n v="10"/>
    <s v="20270525150000"/>
    <s v="디캔팅"/>
    <s v="입고"/>
    <s v="작업완료"/>
    <s v="1014"/>
    <x v="10"/>
    <s v="2026-08-14 09:51:55"/>
    <s v="월수금"/>
    <x v="1"/>
  </r>
  <r>
    <d v="2026-08-14T09:53:55"/>
    <s v="19007099"/>
    <x v="5"/>
    <x v="5"/>
    <n v="10"/>
    <m/>
    <n v="10"/>
    <s v="20270525150000"/>
    <s v="디캔팅"/>
    <s v="입고"/>
    <s v="작업완료"/>
    <s v="1014"/>
    <x v="10"/>
    <s v="2026-08-14 09:51:59"/>
    <s v="월수금"/>
    <x v="1"/>
  </r>
  <r>
    <d v="2026-08-14T09:52:16"/>
    <s v="19003984"/>
    <x v="5"/>
    <x v="5"/>
    <n v="10"/>
    <m/>
    <n v="10"/>
    <s v="20270525150000"/>
    <s v="디캔팅"/>
    <s v="입고"/>
    <s v="작업완료"/>
    <s v="1014"/>
    <x v="10"/>
    <s v="2026-08-14 09:49:57"/>
    <s v="월수금"/>
    <x v="1"/>
  </r>
  <r>
    <d v="2026-08-14T09:52:13"/>
    <s v="19017324"/>
    <x v="5"/>
    <x v="5"/>
    <n v="10"/>
    <m/>
    <n v="10"/>
    <s v="20270525150000"/>
    <s v="디캔팅"/>
    <s v="입고"/>
    <s v="작업완료"/>
    <s v="1014"/>
    <x v="10"/>
    <s v="2026-08-14 09:49:59"/>
    <s v="월수금"/>
    <x v="1"/>
  </r>
  <r>
    <d v="2026-08-14T09:51:49"/>
    <s v="19006628"/>
    <x v="5"/>
    <x v="5"/>
    <n v="10"/>
    <m/>
    <n v="10"/>
    <s v="20270525150000"/>
    <s v="디캔팅"/>
    <s v="입고"/>
    <s v="작업완료"/>
    <s v="1014"/>
    <x v="10"/>
    <s v="2026-08-14 09:49:55"/>
    <s v="월수금"/>
    <x v="1"/>
  </r>
  <r>
    <d v="2026-08-14T09:50:11"/>
    <s v="19009274"/>
    <x v="5"/>
    <x v="5"/>
    <n v="10"/>
    <m/>
    <n v="10"/>
    <s v="20270525150000"/>
    <s v="디캔팅"/>
    <s v="입고"/>
    <s v="작업완료"/>
    <s v="1014"/>
    <x v="10"/>
    <s v="2026-08-14 09:48:12"/>
    <s v="월수금"/>
    <x v="1"/>
  </r>
  <r>
    <d v="2026-08-14T09:50:04"/>
    <s v="19027868"/>
    <x v="5"/>
    <x v="5"/>
    <n v="10"/>
    <m/>
    <n v="10"/>
    <s v="20270525150000"/>
    <s v="디캔팅"/>
    <s v="입고"/>
    <s v="작업완료"/>
    <s v="1014"/>
    <x v="10"/>
    <s v="2026-08-14 09:48:08"/>
    <s v="월수금"/>
    <x v="1"/>
  </r>
  <r>
    <d v="2026-08-14T09:50:01"/>
    <s v="19010618"/>
    <x v="5"/>
    <x v="5"/>
    <n v="10"/>
    <m/>
    <n v="10"/>
    <s v="20270525150000"/>
    <s v="디캔팅"/>
    <s v="입고"/>
    <s v="작업완료"/>
    <s v="1014"/>
    <x v="10"/>
    <s v="2026-08-14 09:48:10"/>
    <s v="월수금"/>
    <x v="1"/>
  </r>
  <r>
    <d v="2026-08-14T09:47:02"/>
    <s v="19010119"/>
    <x v="5"/>
    <x v="5"/>
    <n v="10"/>
    <m/>
    <n v="10"/>
    <s v="20270525150000"/>
    <s v="디캔팅"/>
    <s v="입고"/>
    <s v="작업완료"/>
    <s v="1014"/>
    <x v="10"/>
    <s v="2026-08-14 09:44:48"/>
    <s v="월수금"/>
    <x v="1"/>
  </r>
  <r>
    <d v="2026-08-14T09:46:42"/>
    <s v="19018761"/>
    <x v="5"/>
    <x v="5"/>
    <n v="10"/>
    <m/>
    <n v="10"/>
    <s v="20270525150000"/>
    <s v="디캔팅"/>
    <s v="입고"/>
    <s v="작업완료"/>
    <s v="1014"/>
    <x v="10"/>
    <s v="2026-08-14 09:44:44"/>
    <s v="월수금"/>
    <x v="1"/>
  </r>
  <r>
    <d v="2026-08-14T09:46:39"/>
    <s v="19022156"/>
    <x v="5"/>
    <x v="5"/>
    <n v="10"/>
    <m/>
    <n v="10"/>
    <s v="20270525150000"/>
    <s v="디캔팅"/>
    <s v="입고"/>
    <s v="작업완료"/>
    <s v="1014"/>
    <x v="10"/>
    <s v="2026-08-14 09:44:42"/>
    <s v="월수금"/>
    <x v="1"/>
  </r>
  <r>
    <d v="2026-08-14T09:45:08"/>
    <s v="19020429"/>
    <x v="5"/>
    <x v="5"/>
    <n v="10"/>
    <m/>
    <n v="10"/>
    <s v="20270525150000"/>
    <s v="디캔팅"/>
    <s v="입고"/>
    <s v="작업완료"/>
    <s v="1014"/>
    <x v="10"/>
    <s v="2026-08-14 09:42:46"/>
    <s v="월수금"/>
    <x v="1"/>
  </r>
  <r>
    <d v="2026-08-14T09:44:54"/>
    <s v="19008868"/>
    <x v="5"/>
    <x v="5"/>
    <n v="10"/>
    <m/>
    <n v="10"/>
    <s v="20270525150000"/>
    <s v="디캔팅"/>
    <s v="입고"/>
    <s v="작업완료"/>
    <s v="1014"/>
    <x v="10"/>
    <s v="2026-08-14 09:42:48"/>
    <s v="월수금"/>
    <x v="1"/>
  </r>
  <r>
    <d v="2026-08-14T09:44:48"/>
    <s v="19005179"/>
    <x v="5"/>
    <x v="5"/>
    <n v="10"/>
    <m/>
    <n v="10"/>
    <s v="20270525150000"/>
    <s v="디캔팅"/>
    <s v="입고"/>
    <s v="작업완료"/>
    <s v="1014"/>
    <x v="10"/>
    <s v="2026-08-14 09:42:44"/>
    <s v="월수금"/>
    <x v="1"/>
  </r>
  <r>
    <d v="2026-08-14T09:42:34"/>
    <s v="19002641"/>
    <x v="5"/>
    <x v="5"/>
    <n v="10"/>
    <m/>
    <n v="10"/>
    <s v="20270525150000"/>
    <s v="디캔팅"/>
    <s v="입고"/>
    <s v="작업완료"/>
    <s v="1014"/>
    <x v="10"/>
    <s v="2026-08-14 09:40:28"/>
    <s v="월수금"/>
    <x v="1"/>
  </r>
  <r>
    <d v="2026-08-14T09:42:28"/>
    <s v="19010310"/>
    <x v="5"/>
    <x v="5"/>
    <n v="10"/>
    <m/>
    <n v="10"/>
    <s v="20270525150000"/>
    <s v="디캔팅"/>
    <s v="입고"/>
    <s v="작업완료"/>
    <s v="1014"/>
    <x v="10"/>
    <s v="2026-08-14 09:40:23"/>
    <s v="월수금"/>
    <x v="1"/>
  </r>
  <r>
    <d v="2026-08-14T09:42:27"/>
    <s v="19014903"/>
    <x v="5"/>
    <x v="5"/>
    <n v="10"/>
    <m/>
    <n v="10"/>
    <s v="20270525150000"/>
    <s v="디캔팅"/>
    <s v="입고"/>
    <s v="작업완료"/>
    <s v="1014"/>
    <x v="10"/>
    <s v="2026-08-14 09:40:25"/>
    <s v="월수금"/>
    <x v="1"/>
  </r>
  <r>
    <d v="2026-08-14T09:40:45"/>
    <s v="19017753"/>
    <x v="5"/>
    <x v="5"/>
    <n v="10"/>
    <m/>
    <n v="10"/>
    <s v="20270525150000"/>
    <s v="디캔팅"/>
    <s v="입고"/>
    <s v="작업완료"/>
    <s v="1014"/>
    <x v="10"/>
    <s v="2026-08-14 09:38:31"/>
    <s v="월수금"/>
    <x v="1"/>
  </r>
  <r>
    <d v="2026-08-14T09:40:23"/>
    <s v="19000986"/>
    <x v="5"/>
    <x v="5"/>
    <n v="10"/>
    <m/>
    <n v="10"/>
    <s v="20270525150000"/>
    <s v="디캔팅"/>
    <s v="입고"/>
    <s v="작업완료"/>
    <s v="1014"/>
    <x v="10"/>
    <s v="2026-08-14 09:38:28"/>
    <s v="월수금"/>
    <x v="1"/>
  </r>
  <r>
    <d v="2026-08-14T09:38:47"/>
    <s v="19016305"/>
    <x v="5"/>
    <x v="5"/>
    <n v="10"/>
    <m/>
    <n v="10"/>
    <s v="20270525150000"/>
    <s v="디캔팅"/>
    <s v="입고"/>
    <s v="작업완료"/>
    <s v="1014"/>
    <x v="10"/>
    <s v="2026-08-14 09:36:28"/>
    <s v="월수금"/>
    <x v="1"/>
  </r>
  <r>
    <d v="2026-08-14T09:38:38"/>
    <s v="19001383"/>
    <x v="5"/>
    <x v="5"/>
    <n v="10"/>
    <m/>
    <n v="10"/>
    <s v="20270525150000"/>
    <s v="디캔팅"/>
    <s v="입고"/>
    <s v="작업완료"/>
    <s v="1014"/>
    <x v="10"/>
    <s v="2026-08-14 09:36:30"/>
    <s v="월수금"/>
    <x v="1"/>
  </r>
  <r>
    <d v="2026-08-14T09:38:25"/>
    <s v="19002401"/>
    <x v="5"/>
    <x v="5"/>
    <n v="10"/>
    <m/>
    <n v="10"/>
    <s v="20270525150000"/>
    <s v="디캔팅"/>
    <s v="입고"/>
    <s v="작업완료"/>
    <s v="1014"/>
    <x v="10"/>
    <s v="2026-08-14 09:36:26"/>
    <s v="월수금"/>
    <x v="1"/>
  </r>
  <r>
    <d v="2026-08-13T20:35:27"/>
    <s v="19029327"/>
    <x v="5"/>
    <x v="5"/>
    <n v="10"/>
    <m/>
    <n v="10"/>
    <s v="20270526000000"/>
    <s v="디캔팅"/>
    <s v="입고"/>
    <s v="작업완료"/>
    <s v="1013"/>
    <x v="1"/>
    <s v="2026-08-13 20:33:02"/>
    <s v="월수금"/>
    <x v="4"/>
  </r>
  <r>
    <d v="2026-08-13T20:35:16"/>
    <s v="19013620"/>
    <x v="5"/>
    <x v="5"/>
    <n v="10"/>
    <m/>
    <n v="10"/>
    <s v="20270526000000"/>
    <s v="디캔팅"/>
    <s v="입고"/>
    <s v="작업완료"/>
    <s v="1013"/>
    <x v="1"/>
    <s v="2026-08-13 20:32:58"/>
    <s v="월수금"/>
    <x v="4"/>
  </r>
  <r>
    <d v="2026-08-13T20:35:07"/>
    <s v="19027215"/>
    <x v="5"/>
    <x v="5"/>
    <n v="10"/>
    <m/>
    <n v="10"/>
    <s v="20270526000000"/>
    <s v="디캔팅"/>
    <s v="입고"/>
    <s v="작업완료"/>
    <s v="1013"/>
    <x v="1"/>
    <s v="2026-08-13 20:33:08"/>
    <s v="월수금"/>
    <x v="4"/>
  </r>
  <r>
    <d v="2026-08-13T20:34:17"/>
    <s v="19001732"/>
    <x v="5"/>
    <x v="5"/>
    <n v="10"/>
    <m/>
    <n v="10"/>
    <s v="20270526000000"/>
    <s v="디캔팅"/>
    <s v="입고"/>
    <s v="작업완료"/>
    <s v="1013"/>
    <x v="1"/>
    <s v="2026-08-13 20:31:09"/>
    <s v="월수금"/>
    <x v="4"/>
  </r>
  <r>
    <d v="2026-08-13T20:33:06"/>
    <s v="19003548"/>
    <x v="5"/>
    <x v="5"/>
    <n v="10"/>
    <m/>
    <n v="10"/>
    <s v="20270526000000"/>
    <s v="디캔팅"/>
    <s v="입고"/>
    <s v="작업완료"/>
    <s v="1013"/>
    <x v="1"/>
    <s v="2026-08-13 20:31:12"/>
    <s v="월수금"/>
    <x v="4"/>
  </r>
  <r>
    <d v="2026-08-13T20:32:53"/>
    <s v="19005891"/>
    <x v="5"/>
    <x v="5"/>
    <n v="10"/>
    <m/>
    <n v="10"/>
    <s v="20270526000000"/>
    <s v="디캔팅"/>
    <s v="입고"/>
    <s v="작업완료"/>
    <s v="1013"/>
    <x v="1"/>
    <s v="2026-08-13 20:31:04"/>
    <s v="월수금"/>
    <x v="4"/>
  </r>
  <r>
    <d v="2026-08-13T20:31:52"/>
    <s v="19003283"/>
    <x v="5"/>
    <x v="5"/>
    <n v="10"/>
    <m/>
    <n v="10"/>
    <s v="20270526000000"/>
    <s v="디캔팅"/>
    <s v="입고"/>
    <s v="작업완료"/>
    <s v="1013"/>
    <x v="1"/>
    <s v="2026-08-13 20:29:18"/>
    <s v="월수금"/>
    <x v="4"/>
  </r>
  <r>
    <d v="2026-08-13T20:31:43"/>
    <s v="19028105"/>
    <x v="5"/>
    <x v="5"/>
    <n v="10"/>
    <m/>
    <n v="10"/>
    <s v="20270526000000"/>
    <s v="디캔팅"/>
    <s v="입고"/>
    <s v="작업완료"/>
    <s v="1013"/>
    <x v="1"/>
    <s v="2026-08-13 20:29:10"/>
    <s v="월수금"/>
    <x v="4"/>
  </r>
  <r>
    <d v="2026-08-13T20:31:22"/>
    <s v="19005326"/>
    <x v="5"/>
    <x v="5"/>
    <n v="10"/>
    <m/>
    <n v="10"/>
    <s v="20270526000000"/>
    <s v="디캔팅"/>
    <s v="입고"/>
    <s v="작업완료"/>
    <s v="1013"/>
    <x v="1"/>
    <s v="2026-08-13 20:29:14"/>
    <s v="월수금"/>
    <x v="4"/>
  </r>
  <r>
    <d v="2026-08-13T20:29:24"/>
    <s v="19001968"/>
    <x v="5"/>
    <x v="5"/>
    <n v="10"/>
    <m/>
    <n v="10"/>
    <s v="20270526000000"/>
    <s v="디캔팅"/>
    <s v="입고"/>
    <s v="작업완료"/>
    <s v="1013"/>
    <x v="1"/>
    <s v="2026-08-13 20:27:17"/>
    <s v="월수금"/>
    <x v="4"/>
  </r>
  <r>
    <d v="2026-08-13T20:29:17"/>
    <s v="19005173"/>
    <x v="5"/>
    <x v="5"/>
    <n v="10"/>
    <m/>
    <n v="10"/>
    <s v="20270526000000"/>
    <s v="디캔팅"/>
    <s v="입고"/>
    <s v="작업완료"/>
    <s v="1013"/>
    <x v="1"/>
    <s v="2026-08-13 20:27:13"/>
    <s v="월수금"/>
    <x v="4"/>
  </r>
  <r>
    <d v="2026-08-13T20:29:01"/>
    <s v="19011760"/>
    <x v="5"/>
    <x v="5"/>
    <n v="10"/>
    <m/>
    <n v="10"/>
    <s v="20270526000000"/>
    <s v="디캔팅"/>
    <s v="입고"/>
    <s v="작업완료"/>
    <s v="1013"/>
    <x v="1"/>
    <s v="2026-08-13 20:27:22"/>
    <s v="월수금"/>
    <x v="4"/>
  </r>
  <r>
    <d v="2026-08-13T20:28:03"/>
    <s v="19026602"/>
    <x v="5"/>
    <x v="5"/>
    <n v="10"/>
    <m/>
    <n v="10"/>
    <s v="20270526000000"/>
    <s v="디캔팅"/>
    <s v="입고"/>
    <s v="작업완료"/>
    <s v="1013"/>
    <x v="1"/>
    <s v="2026-08-13 20:25:22"/>
    <s v="월수금"/>
    <x v="4"/>
  </r>
  <r>
    <d v="2026-08-13T20:27:34"/>
    <s v="19001294"/>
    <x v="5"/>
    <x v="5"/>
    <n v="10"/>
    <m/>
    <n v="10"/>
    <s v="20270526000000"/>
    <s v="디캔팅"/>
    <s v="입고"/>
    <s v="작업완료"/>
    <s v="1013"/>
    <x v="1"/>
    <s v="2026-08-13 20:25:28"/>
    <s v="월수금"/>
    <x v="4"/>
  </r>
  <r>
    <d v="2026-08-13T20:27:17"/>
    <s v="19002801"/>
    <x v="5"/>
    <x v="5"/>
    <n v="10"/>
    <m/>
    <n v="10"/>
    <s v="20270526000000"/>
    <s v="디캔팅"/>
    <s v="입고"/>
    <s v="작업완료"/>
    <s v="1013"/>
    <x v="1"/>
    <s v="2026-08-13 20:25:19"/>
    <s v="월수금"/>
    <x v="4"/>
  </r>
  <r>
    <d v="2026-08-13T20:26:12"/>
    <s v="19006086"/>
    <x v="5"/>
    <x v="5"/>
    <n v="10"/>
    <m/>
    <n v="10"/>
    <s v="20270526000000"/>
    <s v="디캔팅"/>
    <s v="입고"/>
    <s v="작업완료"/>
    <s v="1013"/>
    <x v="1"/>
    <s v="2026-08-13 20:23:25"/>
    <s v="월수금"/>
    <x v="4"/>
  </r>
  <r>
    <d v="2026-08-13T20:26:05"/>
    <s v="19001103"/>
    <x v="5"/>
    <x v="5"/>
    <n v="10"/>
    <m/>
    <n v="10"/>
    <s v="20270526000000"/>
    <s v="디캔팅"/>
    <s v="입고"/>
    <s v="작업완료"/>
    <s v="1013"/>
    <x v="1"/>
    <s v="2026-08-13 20:23:33"/>
    <s v="월수금"/>
    <x v="4"/>
  </r>
  <r>
    <d v="2026-08-13T20:25:47"/>
    <s v="19006564"/>
    <x v="5"/>
    <x v="5"/>
    <n v="10"/>
    <m/>
    <n v="10"/>
    <s v="20270526000000"/>
    <s v="디캔팅"/>
    <s v="입고"/>
    <s v="작업완료"/>
    <s v="1013"/>
    <x v="1"/>
    <s v="2026-08-13 20:23:29"/>
    <s v="월수금"/>
    <x v="4"/>
  </r>
  <r>
    <d v="2026-08-13T20:23:59"/>
    <s v="19012556"/>
    <x v="5"/>
    <x v="5"/>
    <n v="10"/>
    <m/>
    <n v="10"/>
    <s v="20270526000000"/>
    <s v="디캔팅"/>
    <s v="입고"/>
    <s v="작업완료"/>
    <s v="1013"/>
    <x v="1"/>
    <s v="2026-08-13 20:21:45"/>
    <s v="월수금"/>
    <x v="4"/>
  </r>
  <r>
    <d v="2026-08-13T20:23:44"/>
    <s v="19000218"/>
    <x v="5"/>
    <x v="5"/>
    <n v="10"/>
    <m/>
    <n v="10"/>
    <s v="20270526000000"/>
    <s v="디캔팅"/>
    <s v="입고"/>
    <s v="작업완료"/>
    <s v="1013"/>
    <x v="1"/>
    <s v="2026-08-13 20:21:40"/>
    <s v="월수금"/>
    <x v="4"/>
  </r>
  <r>
    <d v="2026-08-13T20:23:38"/>
    <s v="19006286"/>
    <x v="5"/>
    <x v="5"/>
    <n v="10"/>
    <m/>
    <n v="10"/>
    <s v="20270526000000"/>
    <s v="디캔팅"/>
    <s v="입고"/>
    <s v="작업완료"/>
    <s v="1013"/>
    <x v="1"/>
    <s v="2026-08-13 20:21:36"/>
    <s v="월수금"/>
    <x v="4"/>
  </r>
  <r>
    <d v="2026-08-13T20:21:56"/>
    <s v="19005117"/>
    <x v="5"/>
    <x v="5"/>
    <n v="10"/>
    <m/>
    <n v="10"/>
    <s v="20270526000000"/>
    <s v="디캔팅"/>
    <s v="입고"/>
    <s v="작업완료"/>
    <s v="1013"/>
    <x v="1"/>
    <s v="2026-08-13 20:19:35"/>
    <s v="월수금"/>
    <x v="4"/>
  </r>
  <r>
    <d v="2026-08-13T20:21:45"/>
    <s v="19005740"/>
    <x v="5"/>
    <x v="5"/>
    <n v="10"/>
    <m/>
    <n v="10"/>
    <s v="20270526000000"/>
    <s v="디캔팅"/>
    <s v="입고"/>
    <s v="작업완료"/>
    <s v="1013"/>
    <x v="1"/>
    <s v="2026-08-13 20:19:40"/>
    <s v="월수금"/>
    <x v="4"/>
  </r>
  <r>
    <d v="2026-08-13T20:21:26"/>
    <s v="19013889"/>
    <x v="5"/>
    <x v="5"/>
    <n v="10"/>
    <m/>
    <n v="10"/>
    <s v="20270526000000"/>
    <s v="디캔팅"/>
    <s v="입고"/>
    <s v="작업완료"/>
    <s v="1013"/>
    <x v="1"/>
    <s v="2026-08-13 20:19:32"/>
    <s v="월수금"/>
    <x v="4"/>
  </r>
  <r>
    <d v="2026-08-13T20:20:02"/>
    <s v="19005535"/>
    <x v="5"/>
    <x v="5"/>
    <n v="10"/>
    <m/>
    <n v="10"/>
    <s v="20270526000000"/>
    <s v="디캔팅"/>
    <s v="입고"/>
    <s v="작업완료"/>
    <s v="1013"/>
    <x v="1"/>
    <s v="2026-08-13 20:17:43"/>
    <s v="월수금"/>
    <x v="4"/>
  </r>
  <r>
    <d v="2026-08-13T20:19:26"/>
    <s v="19002520"/>
    <x v="5"/>
    <x v="5"/>
    <n v="10"/>
    <m/>
    <n v="10"/>
    <s v="20270526000000"/>
    <s v="디캔팅"/>
    <s v="입고"/>
    <s v="작업완료"/>
    <s v="1013"/>
    <x v="1"/>
    <s v="2026-08-13 20:17:38"/>
    <s v="월수금"/>
    <x v="4"/>
  </r>
  <r>
    <d v="2026-08-13T20:19:21"/>
    <s v="19024060"/>
    <x v="5"/>
    <x v="5"/>
    <n v="10"/>
    <m/>
    <n v="10"/>
    <s v="20270526000000"/>
    <s v="디캔팅"/>
    <s v="입고"/>
    <s v="작업완료"/>
    <s v="1013"/>
    <x v="1"/>
    <s v="2026-08-13 20:17:33"/>
    <s v="월수금"/>
    <x v="4"/>
  </r>
  <r>
    <d v="2026-08-13T20:18:20"/>
    <s v="19000577"/>
    <x v="5"/>
    <x v="5"/>
    <n v="10"/>
    <m/>
    <n v="10"/>
    <s v="20270526000000"/>
    <s v="디캔팅"/>
    <s v="입고"/>
    <s v="작업완료"/>
    <s v="1013"/>
    <x v="1"/>
    <s v="2026-08-13 20:15:41"/>
    <s v="월수금"/>
    <x v="4"/>
  </r>
  <r>
    <d v="2026-08-13T20:18:08"/>
    <s v="19011101"/>
    <x v="5"/>
    <x v="5"/>
    <n v="10"/>
    <m/>
    <n v="10"/>
    <s v="20270526000000"/>
    <s v="디캔팅"/>
    <s v="입고"/>
    <s v="작업완료"/>
    <s v="1013"/>
    <x v="1"/>
    <s v="2026-08-13 20:15:45"/>
    <s v="월수금"/>
    <x v="4"/>
  </r>
  <r>
    <d v="2026-08-13T20:17:48"/>
    <s v="19013092"/>
    <x v="5"/>
    <x v="5"/>
    <n v="10"/>
    <m/>
    <n v="10"/>
    <s v="20270526000000"/>
    <s v="디캔팅"/>
    <s v="입고"/>
    <s v="작업완료"/>
    <s v="1013"/>
    <x v="1"/>
    <s v="2026-08-13 20:15:49"/>
    <s v="월수금"/>
    <x v="4"/>
  </r>
  <r>
    <d v="2026-08-13T20:17:22"/>
    <s v="19008788"/>
    <x v="5"/>
    <x v="5"/>
    <n v="10"/>
    <m/>
    <n v="10"/>
    <s v="20270526000000"/>
    <s v="디캔팅"/>
    <s v="입고"/>
    <s v="작업완료"/>
    <s v="1013"/>
    <x v="1"/>
    <s v="2026-08-13 20:13:53"/>
    <s v="월수금"/>
    <x v="4"/>
  </r>
  <r>
    <d v="2026-08-13T20:17:17"/>
    <s v="19008271"/>
    <x v="5"/>
    <x v="5"/>
    <n v="10"/>
    <m/>
    <n v="10"/>
    <s v="20270526000000"/>
    <s v="디캔팅"/>
    <s v="입고"/>
    <s v="작업완료"/>
    <s v="1013"/>
    <x v="1"/>
    <s v="2026-08-13 20:14:01"/>
    <s v="월수금"/>
    <x v="4"/>
  </r>
  <r>
    <d v="2026-08-13T20:17:15"/>
    <s v="19000479"/>
    <x v="5"/>
    <x v="5"/>
    <n v="10"/>
    <m/>
    <n v="10"/>
    <s v="20270526000000"/>
    <s v="디캔팅"/>
    <s v="입고"/>
    <s v="작업완료"/>
    <s v="1013"/>
    <x v="1"/>
    <s v="2026-08-13 20:13:56"/>
    <s v="월수금"/>
    <x v="4"/>
  </r>
  <r>
    <d v="2026-08-13T20:14:23"/>
    <s v="19001140"/>
    <x v="5"/>
    <x v="5"/>
    <n v="10"/>
    <m/>
    <n v="10"/>
    <s v="20270526000000"/>
    <s v="디캔팅"/>
    <s v="입고"/>
    <s v="작업완료"/>
    <s v="1013"/>
    <x v="1"/>
    <s v="2026-08-13 20:12:17"/>
    <s v="월수금"/>
    <x v="4"/>
  </r>
  <r>
    <d v="2026-08-13T20:13:27"/>
    <s v="19023723"/>
    <x v="5"/>
    <x v="5"/>
    <n v="10"/>
    <m/>
    <n v="10"/>
    <s v="20270526000000"/>
    <s v="디캔팅"/>
    <s v="입고"/>
    <s v="작업완료"/>
    <s v="1013"/>
    <x v="1"/>
    <s v="2026-08-13 20:11:38"/>
    <s v="월수금"/>
    <x v="4"/>
  </r>
  <r>
    <d v="2026-08-13T20:13:17"/>
    <s v="19024795"/>
    <x v="5"/>
    <x v="5"/>
    <n v="10"/>
    <m/>
    <n v="10"/>
    <s v="20270526000000"/>
    <s v="디캔팅"/>
    <s v="입고"/>
    <s v="작업완료"/>
    <s v="1013"/>
    <x v="1"/>
    <s v="2026-08-13 20:11:33"/>
    <s v="월수금"/>
    <x v="4"/>
  </r>
  <r>
    <d v="2026-08-12T10:26:13"/>
    <s v="19007116"/>
    <x v="5"/>
    <x v="5"/>
    <n v="10"/>
    <m/>
    <n v="10"/>
    <s v="20270526000000"/>
    <s v="디캔팅"/>
    <s v="입고"/>
    <s v="작업완료"/>
    <s v="1010"/>
    <x v="7"/>
    <s v="2026-08-12 10:24:06"/>
    <s v="월수금"/>
    <x v="2"/>
  </r>
  <r>
    <d v="2026-08-12T10:25:47"/>
    <s v="19019438"/>
    <x v="5"/>
    <x v="5"/>
    <n v="10"/>
    <m/>
    <n v="10"/>
    <s v="20270526000000"/>
    <s v="디캔팅"/>
    <s v="입고"/>
    <s v="작업완료"/>
    <s v="1010"/>
    <x v="7"/>
    <s v="2026-08-12 10:23:58"/>
    <s v="월수금"/>
    <x v="2"/>
  </r>
  <r>
    <d v="2026-08-12T10:25:40"/>
    <s v="19021896"/>
    <x v="5"/>
    <x v="5"/>
    <n v="10"/>
    <m/>
    <n v="10"/>
    <s v="20270526000000"/>
    <s v="디캔팅"/>
    <s v="입고"/>
    <s v="작업완료"/>
    <s v="1010"/>
    <x v="7"/>
    <s v="2026-08-12 10:24:11"/>
    <s v="월수금"/>
    <x v="2"/>
  </r>
  <r>
    <d v="2026-08-12T10:23:56"/>
    <s v="19003096"/>
    <x v="5"/>
    <x v="5"/>
    <n v="10"/>
    <m/>
    <n v="10"/>
    <s v="20270526000000"/>
    <s v="디캔팅"/>
    <s v="입고"/>
    <s v="작업완료"/>
    <s v="1010"/>
    <x v="7"/>
    <s v="2026-08-12 10:21:58"/>
    <s v="월수금"/>
    <x v="2"/>
  </r>
  <r>
    <d v="2026-08-12T10:23:52"/>
    <s v="19007043"/>
    <x v="5"/>
    <x v="5"/>
    <n v="10"/>
    <m/>
    <n v="10"/>
    <s v="20270526000000"/>
    <s v="디캔팅"/>
    <s v="입고"/>
    <s v="작업완료"/>
    <s v="1010"/>
    <x v="7"/>
    <s v="2026-08-12 10:22:02"/>
    <s v="월수금"/>
    <x v="2"/>
  </r>
  <r>
    <d v="2026-08-12T10:22:51"/>
    <s v="19027584"/>
    <x v="5"/>
    <x v="5"/>
    <n v="10"/>
    <m/>
    <n v="10"/>
    <s v="20270526000000"/>
    <s v="디캔팅"/>
    <s v="입고"/>
    <s v="작업완료"/>
    <s v="1010"/>
    <x v="7"/>
    <s v="2026-08-12 10:20:49"/>
    <s v="월수금"/>
    <x v="2"/>
  </r>
  <r>
    <d v="2026-08-12T10:22:32"/>
    <s v="19005882"/>
    <x v="5"/>
    <x v="5"/>
    <n v="10"/>
    <m/>
    <n v="10"/>
    <s v="20270526000000"/>
    <s v="디캔팅"/>
    <s v="입고"/>
    <s v="작업완료"/>
    <s v="1010"/>
    <x v="7"/>
    <s v="2026-08-12 10:20:45"/>
    <s v="월수금"/>
    <x v="2"/>
  </r>
  <r>
    <d v="2026-08-12T10:21:43"/>
    <s v="19001024"/>
    <x v="5"/>
    <x v="5"/>
    <n v="10"/>
    <m/>
    <n v="10"/>
    <s v="20270526000000"/>
    <s v="디캔팅"/>
    <s v="입고"/>
    <s v="작업완료"/>
    <s v="1010"/>
    <x v="7"/>
    <s v="2026-08-12 10:19:40"/>
    <s v="월수금"/>
    <x v="2"/>
  </r>
  <r>
    <d v="2026-08-12T10:21:38"/>
    <s v="19020873"/>
    <x v="5"/>
    <x v="5"/>
    <n v="10"/>
    <m/>
    <n v="10"/>
    <s v="20270526000000"/>
    <s v="디캔팅"/>
    <s v="입고"/>
    <s v="작업완료"/>
    <s v="1010"/>
    <x v="7"/>
    <s v="2026-08-12 10:19:44"/>
    <s v="월수금"/>
    <x v="2"/>
  </r>
  <r>
    <d v="2026-08-12T10:20:28"/>
    <s v="19003493"/>
    <x v="5"/>
    <x v="5"/>
    <n v="10"/>
    <m/>
    <n v="10"/>
    <s v="20270526000000"/>
    <s v="디캔팅"/>
    <s v="입고"/>
    <s v="작업완료"/>
    <s v="1010"/>
    <x v="7"/>
    <s v="2026-08-12 10:18:25"/>
    <s v="월수금"/>
    <x v="2"/>
  </r>
  <r>
    <d v="2026-08-12T10:20:15"/>
    <s v="19015532"/>
    <x v="5"/>
    <x v="5"/>
    <n v="10"/>
    <m/>
    <n v="10"/>
    <s v="20270526000000"/>
    <s v="디캔팅"/>
    <s v="입고"/>
    <s v="작업완료"/>
    <s v="1010"/>
    <x v="7"/>
    <s v="2026-08-12 10:18:20"/>
    <s v="월수금"/>
    <x v="2"/>
  </r>
  <r>
    <d v="2026-08-12T09:57:59"/>
    <s v="19001452"/>
    <x v="5"/>
    <x v="5"/>
    <n v="10"/>
    <m/>
    <n v="10"/>
    <s v="20270526000000"/>
    <s v="디캔팅"/>
    <s v="입고"/>
    <s v="작업완료"/>
    <s v="1010"/>
    <x v="7"/>
    <s v="2026-08-12 09:56:03"/>
    <s v="월수금"/>
    <x v="2"/>
  </r>
  <r>
    <d v="2026-08-12T09:57:36"/>
    <s v="19004751"/>
    <x v="5"/>
    <x v="5"/>
    <n v="10"/>
    <m/>
    <n v="10"/>
    <s v="20270526000000"/>
    <s v="디캔팅"/>
    <s v="입고"/>
    <s v="작업완료"/>
    <s v="1010"/>
    <x v="7"/>
    <s v="2026-08-12 09:56:00"/>
    <s v="월수금"/>
    <x v="2"/>
  </r>
  <r>
    <d v="2026-08-12T09:56:56"/>
    <s v="19007973"/>
    <x v="5"/>
    <x v="5"/>
    <n v="10"/>
    <m/>
    <n v="10"/>
    <s v="20270526000000"/>
    <s v="디캔팅"/>
    <s v="입고"/>
    <s v="작업완료"/>
    <s v="1010"/>
    <x v="7"/>
    <s v="2026-08-12 09:55:00"/>
    <s v="월수금"/>
    <x v="2"/>
  </r>
  <r>
    <d v="2026-08-12T09:56:54"/>
    <s v="19005259"/>
    <x v="5"/>
    <x v="5"/>
    <n v="10"/>
    <m/>
    <n v="10"/>
    <s v="20270526000000"/>
    <s v="디캔팅"/>
    <s v="입고"/>
    <s v="작업완료"/>
    <s v="1010"/>
    <x v="7"/>
    <s v="2026-08-12 09:54:56"/>
    <s v="월수금"/>
    <x v="2"/>
  </r>
  <r>
    <d v="2026-08-12T09:55:03"/>
    <s v="19015738"/>
    <x v="5"/>
    <x v="5"/>
    <n v="10"/>
    <m/>
    <n v="10"/>
    <s v="20270526000000"/>
    <s v="디캔팅"/>
    <s v="입고"/>
    <s v="작업완료"/>
    <s v="1010"/>
    <x v="7"/>
    <s v="2026-08-12 09:53:14"/>
    <s v="월수금"/>
    <x v="2"/>
  </r>
  <r>
    <d v="2026-08-12T09:54:46"/>
    <s v="19020003"/>
    <x v="5"/>
    <x v="5"/>
    <n v="10"/>
    <m/>
    <n v="10"/>
    <s v="20270526000000"/>
    <s v="디캔팅"/>
    <s v="입고"/>
    <s v="작업완료"/>
    <s v="1010"/>
    <x v="7"/>
    <s v="2026-08-12 09:53:10"/>
    <s v="월수금"/>
    <x v="2"/>
  </r>
  <r>
    <d v="2026-08-12T09:53:45"/>
    <s v="19027700"/>
    <x v="5"/>
    <x v="5"/>
    <n v="10"/>
    <m/>
    <n v="10"/>
    <s v="20270526000000"/>
    <s v="디캔팅"/>
    <s v="입고"/>
    <s v="작업완료"/>
    <s v="1010"/>
    <x v="7"/>
    <s v="2026-08-12 09:51:54"/>
    <s v="월수금"/>
    <x v="2"/>
  </r>
  <r>
    <d v="2026-08-12T09:53:30"/>
    <s v="19002845"/>
    <x v="5"/>
    <x v="5"/>
    <n v="10"/>
    <m/>
    <n v="10"/>
    <s v="20270526000000"/>
    <s v="디캔팅"/>
    <s v="입고"/>
    <s v="작업완료"/>
    <s v="1010"/>
    <x v="7"/>
    <s v="2026-08-12 09:51:51"/>
    <s v="월수금"/>
    <x v="2"/>
  </r>
  <r>
    <d v="2026-08-12T09:52:59"/>
    <s v="19014514"/>
    <x v="5"/>
    <x v="5"/>
    <n v="10"/>
    <m/>
    <n v="10"/>
    <s v="20270526000000"/>
    <s v="디캔팅"/>
    <s v="입고"/>
    <s v="작업완료"/>
    <s v="1010"/>
    <x v="7"/>
    <s v="2026-08-12 09:50:42"/>
    <s v="월수금"/>
    <x v="2"/>
  </r>
  <r>
    <d v="2026-08-12T09:52:20"/>
    <s v="19018145"/>
    <x v="5"/>
    <x v="5"/>
    <n v="10"/>
    <m/>
    <n v="10"/>
    <s v="20270526000000"/>
    <s v="디캔팅"/>
    <s v="입고"/>
    <s v="작업완료"/>
    <s v="1010"/>
    <x v="7"/>
    <s v="2026-08-12 09:50:38"/>
    <s v="월수금"/>
    <x v="2"/>
  </r>
  <r>
    <d v="2026-08-12T09:51:31"/>
    <s v="19013919"/>
    <x v="5"/>
    <x v="5"/>
    <n v="10"/>
    <m/>
    <n v="10"/>
    <s v="20270526000000"/>
    <s v="디캔팅"/>
    <s v="입고"/>
    <s v="작업완료"/>
    <s v="1010"/>
    <x v="7"/>
    <s v="2026-08-12 09:49:31"/>
    <s v="월수금"/>
    <x v="2"/>
  </r>
  <r>
    <d v="2026-08-12T09:51:05"/>
    <s v="19021222"/>
    <x v="5"/>
    <x v="5"/>
    <n v="10"/>
    <m/>
    <n v="10"/>
    <s v="20270526000000"/>
    <s v="디캔팅"/>
    <s v="입고"/>
    <s v="작업완료"/>
    <s v="1010"/>
    <x v="7"/>
    <s v="2026-08-12 09:49:28"/>
    <s v="월수금"/>
    <x v="2"/>
  </r>
  <r>
    <d v="2026-08-12T09:50:31"/>
    <s v="19001481"/>
    <x v="5"/>
    <x v="5"/>
    <n v="10"/>
    <m/>
    <n v="10"/>
    <s v="20270526000000"/>
    <s v="디캔팅"/>
    <s v="입고"/>
    <s v="작업완료"/>
    <s v="1010"/>
    <x v="7"/>
    <s v="2026-08-12 09:48:23"/>
    <s v="월수금"/>
    <x v="2"/>
  </r>
  <r>
    <d v="2026-08-12T09:50:15"/>
    <s v="19005709"/>
    <x v="5"/>
    <x v="5"/>
    <n v="10"/>
    <m/>
    <n v="10"/>
    <s v="20270526000000"/>
    <s v="디캔팅"/>
    <s v="입고"/>
    <s v="작업완료"/>
    <s v="1010"/>
    <x v="7"/>
    <s v="2026-08-12 09:48:19"/>
    <s v="월수금"/>
    <x v="2"/>
  </r>
  <r>
    <d v="2026-08-12T09:49:24"/>
    <s v="19007874"/>
    <x v="5"/>
    <x v="5"/>
    <n v="10"/>
    <m/>
    <n v="10"/>
    <s v="20270526000000"/>
    <s v="디캔팅"/>
    <s v="입고"/>
    <s v="작업완료"/>
    <s v="1010"/>
    <x v="7"/>
    <s v="2026-08-12 09:47:20"/>
    <s v="월수금"/>
    <x v="2"/>
  </r>
  <r>
    <d v="2026-08-12T09:48:54"/>
    <s v="19012876"/>
    <x v="5"/>
    <x v="5"/>
    <n v="10"/>
    <m/>
    <n v="10"/>
    <s v="20270526000000"/>
    <s v="디캔팅"/>
    <s v="입고"/>
    <s v="작업완료"/>
    <s v="1010"/>
    <x v="7"/>
    <s v="2026-08-12 09:47:17"/>
    <s v="월수금"/>
    <x v="2"/>
  </r>
  <r>
    <d v="2026-08-12T09:46:53"/>
    <s v="19017416"/>
    <x v="5"/>
    <x v="5"/>
    <n v="10"/>
    <m/>
    <n v="10"/>
    <s v="20270526000000"/>
    <s v="디캔팅"/>
    <s v="입고"/>
    <s v="작업완료"/>
    <s v="1010"/>
    <x v="7"/>
    <s v="2026-08-12 09:44:53"/>
    <s v="월수금"/>
    <x v="2"/>
  </r>
  <r>
    <d v="2026-08-12T09:46:41"/>
    <s v="19007627"/>
    <x v="5"/>
    <x v="5"/>
    <n v="10"/>
    <m/>
    <n v="10"/>
    <s v="20270526000000"/>
    <s v="디캔팅"/>
    <s v="입고"/>
    <s v="작업완료"/>
    <s v="1010"/>
    <x v="7"/>
    <s v="2026-08-12 09:44:50"/>
    <s v="월수금"/>
    <x v="2"/>
  </r>
  <r>
    <d v="2026-08-12T09:45:32"/>
    <s v="19005760"/>
    <x v="5"/>
    <x v="5"/>
    <n v="10"/>
    <m/>
    <n v="10"/>
    <s v="20270526000000"/>
    <s v="디캔팅"/>
    <s v="입고"/>
    <s v="작업완료"/>
    <s v="1010"/>
    <x v="7"/>
    <s v="2026-08-12 09:43:31"/>
    <s v="월수금"/>
    <x v="2"/>
  </r>
  <r>
    <d v="2026-08-12T09:45:31"/>
    <s v="19021511"/>
    <x v="5"/>
    <x v="5"/>
    <n v="10"/>
    <m/>
    <n v="10"/>
    <s v="20270526000000"/>
    <s v="디캔팅"/>
    <s v="입고"/>
    <s v="작업완료"/>
    <s v="1010"/>
    <x v="7"/>
    <s v="2026-08-12 09:43:28"/>
    <s v="월수금"/>
    <x v="2"/>
  </r>
  <r>
    <d v="2026-08-12T09:44:15"/>
    <s v="19021500"/>
    <x v="5"/>
    <x v="5"/>
    <n v="10"/>
    <m/>
    <n v="10"/>
    <s v="20270526000000"/>
    <s v="디캔팅"/>
    <s v="입고"/>
    <s v="작업완료"/>
    <s v="1010"/>
    <x v="7"/>
    <s v="2026-08-12 09:42:09"/>
    <s v="월수금"/>
    <x v="2"/>
  </r>
  <r>
    <d v="2026-08-12T09:43:55"/>
    <s v="19010221"/>
    <x v="5"/>
    <x v="5"/>
    <n v="10"/>
    <m/>
    <n v="10"/>
    <s v="20270526000000"/>
    <s v="디캔팅"/>
    <s v="입고"/>
    <s v="작업완료"/>
    <s v="1010"/>
    <x v="7"/>
    <s v="2026-08-12 09:42:13"/>
    <s v="월수금"/>
    <x v="2"/>
  </r>
  <r>
    <d v="2026-08-12T09:42:45"/>
    <s v="19003149"/>
    <x v="5"/>
    <x v="5"/>
    <n v="10"/>
    <m/>
    <n v="10"/>
    <s v="20270526000000"/>
    <s v="디캔팅"/>
    <s v="입고"/>
    <s v="작업완료"/>
    <s v="1010"/>
    <x v="7"/>
    <s v="2026-08-12 09:40:56"/>
    <s v="월수금"/>
    <x v="2"/>
  </r>
  <r>
    <d v="2026-08-12T09:42:11"/>
    <s v="19001951"/>
    <x v="5"/>
    <x v="5"/>
    <n v="10"/>
    <m/>
    <n v="10"/>
    <s v="20270526000000"/>
    <s v="디캔팅"/>
    <s v="입고"/>
    <s v="작업완료"/>
    <s v="1010"/>
    <x v="7"/>
    <s v="2026-08-12 09:40:11"/>
    <s v="월수금"/>
    <x v="2"/>
  </r>
  <r>
    <d v="2026-08-12T09:41:58"/>
    <s v="19005794"/>
    <x v="5"/>
    <x v="5"/>
    <n v="10"/>
    <m/>
    <n v="10"/>
    <s v="20270526000000"/>
    <s v="디캔팅"/>
    <s v="입고"/>
    <s v="작업완료"/>
    <s v="1010"/>
    <x v="7"/>
    <s v="2026-08-12 09:40:07"/>
    <s v="월수금"/>
    <x v="2"/>
  </r>
  <r>
    <d v="2026-08-10T17:35:36"/>
    <s v="19004740"/>
    <x v="5"/>
    <x v="5"/>
    <n v="10"/>
    <m/>
    <n v="10"/>
    <s v="20270525150000"/>
    <s v="디캔팅"/>
    <s v="입고"/>
    <s v="작업완료"/>
    <s v="1007"/>
    <x v="11"/>
    <s v="2026-08-10 17:34:06"/>
    <s v="월수금"/>
    <x v="3"/>
  </r>
  <r>
    <d v="2026-08-10T17:35:27"/>
    <s v="19009471"/>
    <x v="5"/>
    <x v="5"/>
    <n v="10"/>
    <m/>
    <n v="10"/>
    <s v="20270525150000"/>
    <s v="디캔팅"/>
    <s v="입고"/>
    <s v="작업완료"/>
    <s v="1007"/>
    <x v="11"/>
    <s v="2026-08-10 17:33:24"/>
    <s v="월수금"/>
    <x v="3"/>
  </r>
  <r>
    <d v="2026-08-10T17:35:18"/>
    <s v="19011335"/>
    <x v="5"/>
    <x v="5"/>
    <n v="10"/>
    <m/>
    <n v="10"/>
    <s v="20270525150000"/>
    <s v="디캔팅"/>
    <s v="입고"/>
    <s v="작업완료"/>
    <s v="1007"/>
    <x v="11"/>
    <s v="2026-08-10 17:33:27"/>
    <s v="월수금"/>
    <x v="3"/>
  </r>
  <r>
    <d v="2026-08-10T17:34:44"/>
    <s v="19018471"/>
    <x v="5"/>
    <x v="5"/>
    <n v="10"/>
    <m/>
    <n v="10"/>
    <s v="20270525150000"/>
    <s v="디캔팅"/>
    <s v="입고"/>
    <s v="작업완료"/>
    <s v="1007"/>
    <x v="11"/>
    <s v="2026-08-10 17:33:21"/>
    <s v="월수금"/>
    <x v="3"/>
  </r>
  <r>
    <d v="2026-08-10T17:32:27"/>
    <s v="19004369"/>
    <x v="5"/>
    <x v="5"/>
    <n v="10"/>
    <m/>
    <n v="10"/>
    <s v="20270525150000"/>
    <s v="디캔팅"/>
    <s v="입고"/>
    <s v="작업완료"/>
    <s v="1007"/>
    <x v="11"/>
    <s v="2026-08-10 17:30:16"/>
    <s v="월수금"/>
    <x v="3"/>
  </r>
  <r>
    <d v="2026-08-10T17:32:07"/>
    <s v="19009323"/>
    <x v="5"/>
    <x v="5"/>
    <n v="10"/>
    <m/>
    <n v="10"/>
    <s v="20270525150000"/>
    <s v="디캔팅"/>
    <s v="입고"/>
    <s v="작업완료"/>
    <s v="1007"/>
    <x v="11"/>
    <s v="2026-08-10 17:30:19"/>
    <s v="월수금"/>
    <x v="3"/>
  </r>
  <r>
    <d v="2026-08-10T17:32:05"/>
    <s v="19026579"/>
    <x v="5"/>
    <x v="5"/>
    <n v="10"/>
    <m/>
    <n v="10"/>
    <s v="20270525150000"/>
    <s v="디캔팅"/>
    <s v="입고"/>
    <s v="작업완료"/>
    <s v="1007"/>
    <x v="11"/>
    <s v="2026-08-10 17:30:22"/>
    <s v="월수금"/>
    <x v="3"/>
  </r>
  <r>
    <d v="2026-08-10T17:29:49"/>
    <s v="19018621"/>
    <x v="5"/>
    <x v="5"/>
    <n v="10"/>
    <m/>
    <n v="10"/>
    <s v="20270525150000"/>
    <s v="디캔팅"/>
    <s v="입고"/>
    <s v="작업완료"/>
    <s v="1007"/>
    <x v="11"/>
    <s v="2026-08-10 17:27:47"/>
    <s v="월수금"/>
    <x v="3"/>
  </r>
  <r>
    <d v="2026-08-10T17:29:46"/>
    <s v="19006880"/>
    <x v="5"/>
    <x v="5"/>
    <n v="10"/>
    <m/>
    <n v="10"/>
    <s v="20270525150000"/>
    <s v="디캔팅"/>
    <s v="입고"/>
    <s v="작업완료"/>
    <s v="1007"/>
    <x v="11"/>
    <s v="2026-08-10 17:27:45"/>
    <s v="월수금"/>
    <x v="3"/>
  </r>
  <r>
    <d v="2026-08-10T17:29:29"/>
    <s v="19004362"/>
    <x v="5"/>
    <x v="5"/>
    <n v="10"/>
    <m/>
    <n v="10"/>
    <s v="20270525150000"/>
    <s v="디캔팅"/>
    <s v="입고"/>
    <s v="작업완료"/>
    <s v="1007"/>
    <x v="11"/>
    <s v="2026-08-10 17:27:51"/>
    <s v="월수금"/>
    <x v="3"/>
  </r>
  <r>
    <d v="2026-08-10T17:28:17"/>
    <s v="19002047"/>
    <x v="5"/>
    <x v="5"/>
    <n v="10"/>
    <m/>
    <n v="10"/>
    <s v="20270525150000"/>
    <s v="디캔팅"/>
    <s v="입고"/>
    <s v="작업완료"/>
    <s v="1007"/>
    <x v="11"/>
    <s v="2026-08-10 17:26:12"/>
    <s v="월수금"/>
    <x v="3"/>
  </r>
  <r>
    <d v="2026-08-10T17:28:04"/>
    <s v="19008165"/>
    <x v="5"/>
    <x v="5"/>
    <n v="10"/>
    <m/>
    <n v="10"/>
    <s v="20270525150000"/>
    <s v="디캔팅"/>
    <s v="입고"/>
    <s v="작업완료"/>
    <s v="1007"/>
    <x v="11"/>
    <s v="2026-08-10 17:26:16"/>
    <s v="월수금"/>
    <x v="3"/>
  </r>
  <r>
    <d v="2026-08-10T17:27:06"/>
    <s v="19002021"/>
    <x v="5"/>
    <x v="5"/>
    <n v="10"/>
    <m/>
    <n v="10"/>
    <s v="20270525150000"/>
    <s v="디캔팅"/>
    <s v="입고"/>
    <s v="작업완료"/>
    <s v="1007"/>
    <x v="11"/>
    <s v="2026-08-10 17:25:03"/>
    <s v="월수금"/>
    <x v="3"/>
  </r>
  <r>
    <d v="2026-08-10T17:26:48"/>
    <s v="19003469"/>
    <x v="5"/>
    <x v="5"/>
    <n v="10"/>
    <m/>
    <n v="10"/>
    <s v="20270525150000"/>
    <s v="디캔팅"/>
    <s v="입고"/>
    <s v="작업완료"/>
    <s v="1007"/>
    <x v="11"/>
    <s v="2026-08-10 17:24:59"/>
    <s v="월수금"/>
    <x v="3"/>
  </r>
  <r>
    <d v="2026-08-10T17:26:35"/>
    <s v="19027559"/>
    <x v="5"/>
    <x v="5"/>
    <n v="10"/>
    <m/>
    <n v="10"/>
    <s v="20270525150000"/>
    <s v="디캔팅"/>
    <s v="입고"/>
    <s v="작업완료"/>
    <s v="1007"/>
    <x v="11"/>
    <s v="2026-08-10 17:25:08"/>
    <s v="월수금"/>
    <x v="3"/>
  </r>
  <r>
    <d v="2026-08-10T16:56:57"/>
    <s v="19015473"/>
    <x v="5"/>
    <x v="5"/>
    <n v="10"/>
    <m/>
    <n v="10"/>
    <s v="20270525150000"/>
    <s v="디캔팅"/>
    <s v="입고"/>
    <s v="작업완료"/>
    <s v="1007"/>
    <x v="11"/>
    <s v="2026-08-10 16:55:17"/>
    <s v="월수금"/>
    <x v="3"/>
  </r>
  <r>
    <d v="2026-08-10T16:55:38"/>
    <s v="19011257"/>
    <x v="5"/>
    <x v="5"/>
    <n v="10"/>
    <m/>
    <n v="10"/>
    <s v="20270525150000"/>
    <s v="디캔팅"/>
    <s v="입고"/>
    <s v="작업완료"/>
    <s v="1007"/>
    <x v="11"/>
    <s v="2026-08-10 16:53:59"/>
    <s v="월수금"/>
    <x v="3"/>
  </r>
  <r>
    <d v="2026-08-10T16:54:35"/>
    <s v="19009623"/>
    <x v="5"/>
    <x v="5"/>
    <n v="10"/>
    <m/>
    <n v="10"/>
    <s v="20270525150000"/>
    <s v="디캔팅"/>
    <s v="입고"/>
    <s v="작업완료"/>
    <s v="1007"/>
    <x v="11"/>
    <s v="2026-08-10 16:52:56"/>
    <s v="월수금"/>
    <x v="3"/>
  </r>
  <r>
    <d v="2026-08-10T16:54:00"/>
    <s v="19019839"/>
    <x v="5"/>
    <x v="5"/>
    <n v="10"/>
    <m/>
    <n v="10"/>
    <s v="20270525150000"/>
    <s v="디캔팅"/>
    <s v="입고"/>
    <s v="작업완료"/>
    <s v="1007"/>
    <x v="11"/>
    <s v="2026-08-10 16:52:20"/>
    <s v="월수금"/>
    <x v="3"/>
  </r>
  <r>
    <d v="2026-08-10T16:53:25"/>
    <s v="19001208"/>
    <x v="5"/>
    <x v="5"/>
    <n v="10"/>
    <m/>
    <n v="10"/>
    <s v="20270525150000"/>
    <s v="디캔팅"/>
    <s v="입고"/>
    <s v="작업완료"/>
    <s v="1007"/>
    <x v="11"/>
    <s v="2026-08-10 16:51:43"/>
    <s v="월수금"/>
    <x v="3"/>
  </r>
  <r>
    <d v="2026-08-10T16:53:24"/>
    <s v="19029041"/>
    <x v="5"/>
    <x v="5"/>
    <n v="10"/>
    <m/>
    <n v="10"/>
    <s v="20270525150000"/>
    <s v="디캔팅"/>
    <s v="입고"/>
    <s v="작업완료"/>
    <s v="1007"/>
    <x v="11"/>
    <s v="2026-08-10 16:51:51"/>
    <s v="월수금"/>
    <x v="3"/>
  </r>
  <r>
    <d v="2026-08-10T16:51:59"/>
    <s v="19004270"/>
    <x v="5"/>
    <x v="5"/>
    <n v="10"/>
    <m/>
    <n v="10"/>
    <s v="20270525150000"/>
    <s v="디캔팅"/>
    <s v="입고"/>
    <s v="작업완료"/>
    <s v="1007"/>
    <x v="11"/>
    <s v="2026-08-10 16:50:17"/>
    <s v="월수금"/>
    <x v="3"/>
  </r>
  <r>
    <d v="2026-08-10T16:51:55"/>
    <s v="19001872"/>
    <x v="5"/>
    <x v="5"/>
    <n v="10"/>
    <m/>
    <n v="10"/>
    <s v="20270525150000"/>
    <s v="디캔팅"/>
    <s v="입고"/>
    <s v="작업완료"/>
    <s v="1007"/>
    <x v="11"/>
    <s v="2026-08-10 16:50:26"/>
    <s v="월수금"/>
    <x v="3"/>
  </r>
  <r>
    <d v="2026-08-10T16:51:52"/>
    <s v="19010469"/>
    <x v="5"/>
    <x v="5"/>
    <n v="10"/>
    <m/>
    <n v="10"/>
    <s v="20270525150000"/>
    <s v="디캔팅"/>
    <s v="입고"/>
    <s v="작업완료"/>
    <s v="1007"/>
    <x v="11"/>
    <s v="2026-08-10 16:50:04"/>
    <s v="월수금"/>
    <x v="3"/>
  </r>
  <r>
    <d v="2026-08-10T16:51:51"/>
    <s v="19000588"/>
    <x v="5"/>
    <x v="5"/>
    <n v="10"/>
    <m/>
    <n v="10"/>
    <s v="20270525150000"/>
    <s v="디캔팅"/>
    <s v="입고"/>
    <s v="작업완료"/>
    <s v="1007"/>
    <x v="11"/>
    <s v="2026-08-10 16:50:11"/>
    <s v="월수금"/>
    <x v="3"/>
  </r>
  <r>
    <d v="2026-08-10T16:51:50"/>
    <s v="19025526"/>
    <x v="5"/>
    <x v="5"/>
    <n v="10"/>
    <m/>
    <n v="10"/>
    <s v="20270525150000"/>
    <s v="디캔팅"/>
    <s v="입고"/>
    <s v="작업완료"/>
    <s v="1007"/>
    <x v="11"/>
    <s v="2026-08-10 16:49:58"/>
    <s v="월수금"/>
    <x v="3"/>
  </r>
  <r>
    <d v="2026-08-10T16:51:45"/>
    <s v="19008476"/>
    <x v="5"/>
    <x v="5"/>
    <n v="10"/>
    <m/>
    <n v="10"/>
    <s v="20270525150000"/>
    <s v="디캔팅"/>
    <s v="입고"/>
    <s v="작업완료"/>
    <s v="1007"/>
    <x v="11"/>
    <s v="2026-08-10 16:49:41"/>
    <s v="월수금"/>
    <x v="3"/>
  </r>
  <r>
    <d v="2026-08-10T16:51:42"/>
    <s v="19019646"/>
    <x v="5"/>
    <x v="5"/>
    <n v="10"/>
    <m/>
    <n v="10"/>
    <s v="20270525150000"/>
    <s v="디캔팅"/>
    <s v="입고"/>
    <s v="작업완료"/>
    <s v="1007"/>
    <x v="11"/>
    <s v="2026-08-10 16:49:35"/>
    <s v="월수금"/>
    <x v="3"/>
  </r>
  <r>
    <d v="2026-08-10T16:49:30"/>
    <s v="19001328"/>
    <x v="5"/>
    <x v="5"/>
    <n v="10"/>
    <m/>
    <n v="10"/>
    <s v="20270525150000"/>
    <s v="디캔팅"/>
    <s v="입고"/>
    <s v="작업완료"/>
    <s v="1007"/>
    <x v="11"/>
    <s v="2026-08-10 16:47:32"/>
    <s v="월수금"/>
    <x v="3"/>
  </r>
  <r>
    <d v="2026-08-10T16:49:16"/>
    <s v="19019891"/>
    <x v="5"/>
    <x v="5"/>
    <n v="10"/>
    <m/>
    <n v="10"/>
    <s v="20270525150000"/>
    <s v="디캔팅"/>
    <s v="입고"/>
    <s v="작업완료"/>
    <s v="1007"/>
    <x v="11"/>
    <s v="2026-08-10 16:47:39"/>
    <s v="월수금"/>
    <x v="3"/>
  </r>
  <r>
    <d v="2026-08-10T16:48:02"/>
    <s v="19001532"/>
    <x v="5"/>
    <x v="5"/>
    <n v="10"/>
    <m/>
    <n v="10"/>
    <s v="20270525150000"/>
    <s v="디캔팅"/>
    <s v="입고"/>
    <s v="작업완료"/>
    <s v="1007"/>
    <x v="11"/>
    <s v="2026-08-10 16:46:05"/>
    <s v="월수금"/>
    <x v="3"/>
  </r>
  <r>
    <d v="2026-08-10T16:47:47"/>
    <s v="19003404"/>
    <x v="5"/>
    <x v="5"/>
    <n v="10"/>
    <m/>
    <n v="10"/>
    <s v="20270525150000"/>
    <s v="디캔팅"/>
    <s v="입고"/>
    <s v="작업완료"/>
    <s v="1007"/>
    <x v="11"/>
    <s v="2026-08-10 16:43:11"/>
    <s v="월수금"/>
    <x v="3"/>
  </r>
  <r>
    <d v="2026-08-10T16:47:38"/>
    <s v="19006243"/>
    <x v="5"/>
    <x v="5"/>
    <n v="10"/>
    <m/>
    <n v="10"/>
    <s v="20270525150000"/>
    <s v="디캔팅"/>
    <s v="입고"/>
    <s v="작업완료"/>
    <s v="1007"/>
    <x v="11"/>
    <s v="2026-08-10 16:45:58"/>
    <s v="월수금"/>
    <x v="3"/>
  </r>
  <r>
    <d v="2026-08-10T16:46:10"/>
    <s v="19012392"/>
    <x v="5"/>
    <x v="5"/>
    <n v="10"/>
    <m/>
    <n v="10"/>
    <s v="20270525150000"/>
    <s v="디캔팅"/>
    <s v="입고"/>
    <s v="작업완료"/>
    <s v="1007"/>
    <x v="11"/>
    <s v="2026-08-10 16:44:40"/>
    <s v="월수금"/>
    <x v="3"/>
  </r>
  <r>
    <d v="2026-08-10T16:45:56"/>
    <s v="19019068"/>
    <x v="5"/>
    <x v="5"/>
    <n v="10"/>
    <m/>
    <n v="10"/>
    <s v="20270525150000"/>
    <s v="디캔팅"/>
    <s v="입고"/>
    <s v="작업완료"/>
    <s v="1007"/>
    <x v="11"/>
    <s v="2026-08-10 16:44:31"/>
    <s v="월수금"/>
    <x v="3"/>
  </r>
  <r>
    <d v="2026-08-10T16:44:45"/>
    <s v="19013127"/>
    <x v="5"/>
    <x v="5"/>
    <n v="10"/>
    <m/>
    <n v="10"/>
    <s v="20270525150000"/>
    <s v="디캔팅"/>
    <s v="입고"/>
    <s v="작업완료"/>
    <s v="1007"/>
    <x v="11"/>
    <s v="2026-08-10 16:43:03"/>
    <s v="월수금"/>
    <x v="3"/>
  </r>
  <r>
    <d v="2026-08-15T16:47:22"/>
    <s v="19011410"/>
    <x v="6"/>
    <x v="6"/>
    <n v="36"/>
    <m/>
    <n v="36"/>
    <s v="20270210150000"/>
    <s v="디캔팅"/>
    <s v="입고"/>
    <s v="작업완료"/>
    <s v="1006"/>
    <x v="6"/>
    <s v="2026-08-15 16:20:44"/>
    <s v="월수금"/>
    <x v="0"/>
  </r>
  <r>
    <d v="2026-08-15T16:43:45"/>
    <s v="19004586"/>
    <x v="6"/>
    <x v="6"/>
    <n v="36"/>
    <m/>
    <n v="36"/>
    <s v="20270210150000"/>
    <s v="디캔팅"/>
    <s v="입고"/>
    <s v="작업완료"/>
    <s v="1006"/>
    <x v="6"/>
    <s v="2026-08-15 16:42:03"/>
    <s v="월수금"/>
    <x v="0"/>
  </r>
  <r>
    <d v="2026-08-15T16:43:37"/>
    <s v="19000860"/>
    <x v="6"/>
    <x v="6"/>
    <n v="36"/>
    <m/>
    <n v="36"/>
    <s v="20270210150000"/>
    <s v="디캔팅"/>
    <s v="입고"/>
    <s v="작업완료"/>
    <s v="1006"/>
    <x v="6"/>
    <s v="2026-08-15 16:42:00"/>
    <s v="월수금"/>
    <x v="0"/>
  </r>
  <r>
    <d v="2026-08-15T16:42:38"/>
    <s v="19026145"/>
    <x v="6"/>
    <x v="6"/>
    <n v="36"/>
    <m/>
    <n v="36"/>
    <s v="20270210150000"/>
    <s v="디캔팅"/>
    <s v="입고"/>
    <s v="작업완료"/>
    <s v="1006"/>
    <x v="6"/>
    <s v="2026-08-15 16:40:40"/>
    <s v="월수금"/>
    <x v="0"/>
  </r>
  <r>
    <d v="2026-08-15T16:42:12"/>
    <s v="19008927"/>
    <x v="6"/>
    <x v="6"/>
    <n v="36"/>
    <m/>
    <n v="36"/>
    <s v="20270210150000"/>
    <s v="디캔팅"/>
    <s v="입고"/>
    <s v="작업완료"/>
    <s v="1006"/>
    <x v="6"/>
    <s v="2026-08-15 16:40:37"/>
    <s v="월수금"/>
    <x v="0"/>
  </r>
  <r>
    <d v="2026-08-15T16:41:36"/>
    <s v="19001977"/>
    <x v="6"/>
    <x v="6"/>
    <n v="36"/>
    <m/>
    <n v="36"/>
    <s v="20270210150000"/>
    <s v="디캔팅"/>
    <s v="입고"/>
    <s v="작업완료"/>
    <s v="1006"/>
    <x v="6"/>
    <s v="2026-08-15 16:39:37"/>
    <s v="월수금"/>
    <x v="0"/>
  </r>
  <r>
    <d v="2026-08-15T16:41:20"/>
    <s v="19012872"/>
    <x v="6"/>
    <x v="6"/>
    <n v="36"/>
    <m/>
    <n v="36"/>
    <s v="20270210150000"/>
    <s v="디캔팅"/>
    <s v="입고"/>
    <s v="작업완료"/>
    <s v="1006"/>
    <x v="6"/>
    <s v="2026-08-15 16:39:34"/>
    <s v="월수금"/>
    <x v="0"/>
  </r>
  <r>
    <d v="2026-08-15T16:41:19"/>
    <s v="19019272"/>
    <x v="6"/>
    <x v="6"/>
    <n v="36"/>
    <m/>
    <n v="36"/>
    <s v="20270210150000"/>
    <s v="디캔팅"/>
    <s v="입고"/>
    <s v="작업완료"/>
    <s v="1006"/>
    <x v="6"/>
    <s v="2026-08-15 16:39:41"/>
    <s v="월수금"/>
    <x v="0"/>
  </r>
  <r>
    <d v="2026-08-15T16:40:00"/>
    <s v="19002446"/>
    <x v="6"/>
    <x v="6"/>
    <n v="36"/>
    <m/>
    <n v="36"/>
    <s v="20270210150000"/>
    <s v="디캔팅"/>
    <s v="입고"/>
    <s v="작업완료"/>
    <s v="1006"/>
    <x v="6"/>
    <s v="2026-08-15 16:37:49"/>
    <s v="월수금"/>
    <x v="0"/>
  </r>
  <r>
    <d v="2026-08-15T16:39:40"/>
    <s v="19009799"/>
    <x v="6"/>
    <x v="6"/>
    <n v="36"/>
    <m/>
    <n v="36"/>
    <s v="20270210150000"/>
    <s v="디캔팅"/>
    <s v="입고"/>
    <s v="작업완료"/>
    <s v="1006"/>
    <x v="6"/>
    <s v="2026-08-15 16:37:47"/>
    <s v="월수금"/>
    <x v="0"/>
  </r>
  <r>
    <d v="2026-08-15T16:39:23"/>
    <s v="19000785"/>
    <x v="6"/>
    <x v="6"/>
    <n v="36"/>
    <m/>
    <n v="36"/>
    <s v="20270210150000"/>
    <s v="디캔팅"/>
    <s v="입고"/>
    <s v="작업완료"/>
    <s v="1006"/>
    <x v="6"/>
    <s v="2026-08-15 16:37:53"/>
    <s v="월수금"/>
    <x v="0"/>
  </r>
  <r>
    <d v="2026-08-15T16:38:11"/>
    <s v="19005253"/>
    <x v="6"/>
    <x v="6"/>
    <n v="36"/>
    <m/>
    <n v="36"/>
    <s v="20270210150000"/>
    <s v="디캔팅"/>
    <s v="입고"/>
    <s v="작업완료"/>
    <s v="1006"/>
    <x v="6"/>
    <s v="2026-08-15 16:36:19"/>
    <s v="월수금"/>
    <x v="0"/>
  </r>
  <r>
    <d v="2026-08-15T16:38:05"/>
    <s v="19001066"/>
    <x v="6"/>
    <x v="6"/>
    <n v="36"/>
    <m/>
    <n v="36"/>
    <s v="20270210150000"/>
    <s v="디캔팅"/>
    <s v="입고"/>
    <s v="작업완료"/>
    <s v="1006"/>
    <x v="6"/>
    <s v="2026-08-15 16:36:22"/>
    <s v="월수금"/>
    <x v="0"/>
  </r>
  <r>
    <d v="2026-08-15T16:37:57"/>
    <s v="19001772"/>
    <x v="6"/>
    <x v="6"/>
    <n v="36"/>
    <m/>
    <n v="36"/>
    <s v="20270210150000"/>
    <s v="디캔팅"/>
    <s v="입고"/>
    <s v="작업완료"/>
    <s v="1006"/>
    <x v="6"/>
    <s v="2026-08-15 16:36:25"/>
    <s v="월수금"/>
    <x v="0"/>
  </r>
  <r>
    <d v="2026-08-15T16:37:04"/>
    <s v="19001106"/>
    <x v="6"/>
    <x v="6"/>
    <n v="36"/>
    <m/>
    <n v="36"/>
    <s v="20270210150000"/>
    <s v="디캔팅"/>
    <s v="입고"/>
    <s v="작업완료"/>
    <s v="1006"/>
    <x v="6"/>
    <s v="2026-08-15 16:34:38"/>
    <s v="월수금"/>
    <x v="0"/>
  </r>
  <r>
    <d v="2026-08-15T16:36:53"/>
    <s v="19003575"/>
    <x v="6"/>
    <x v="6"/>
    <n v="36"/>
    <m/>
    <n v="36"/>
    <s v="20270210150000"/>
    <s v="디캔팅"/>
    <s v="입고"/>
    <s v="작업완료"/>
    <s v="1006"/>
    <x v="6"/>
    <s v="2026-08-15 16:34:41"/>
    <s v="월수금"/>
    <x v="0"/>
  </r>
  <r>
    <d v="2026-08-15T16:36:23"/>
    <s v="19000849"/>
    <x v="6"/>
    <x v="6"/>
    <n v="36"/>
    <m/>
    <n v="36"/>
    <s v="20270210150000"/>
    <s v="디캔팅"/>
    <s v="입고"/>
    <s v="작업완료"/>
    <s v="1006"/>
    <x v="6"/>
    <s v="2026-08-15 16:34:35"/>
    <s v="월수금"/>
    <x v="0"/>
  </r>
  <r>
    <d v="2026-08-15T16:34:21"/>
    <s v="19002591"/>
    <x v="6"/>
    <x v="6"/>
    <n v="36"/>
    <m/>
    <n v="36"/>
    <s v="20270210150000"/>
    <s v="디캔팅"/>
    <s v="입고"/>
    <s v="작업완료"/>
    <s v="1006"/>
    <x v="6"/>
    <s v="2026-08-15 16:32:10"/>
    <s v="월수금"/>
    <x v="0"/>
  </r>
  <r>
    <d v="2026-08-15T16:34:19"/>
    <s v="19001517"/>
    <x v="6"/>
    <x v="6"/>
    <n v="36"/>
    <m/>
    <n v="36"/>
    <s v="20270210150000"/>
    <s v="디캔팅"/>
    <s v="입고"/>
    <s v="작업완료"/>
    <s v="1006"/>
    <x v="6"/>
    <s v="2026-08-15 16:32:13"/>
    <s v="월수금"/>
    <x v="0"/>
  </r>
  <r>
    <d v="2026-08-15T16:34:19"/>
    <s v="19016710"/>
    <x v="6"/>
    <x v="6"/>
    <n v="36"/>
    <m/>
    <n v="36"/>
    <s v="20270210150000"/>
    <s v="디캔팅"/>
    <s v="입고"/>
    <s v="작업완료"/>
    <s v="1006"/>
    <x v="6"/>
    <s v="2026-08-15 16:32:07"/>
    <s v="월수금"/>
    <x v="0"/>
  </r>
  <r>
    <d v="2026-08-15T16:33:22"/>
    <s v="19014075"/>
    <x v="6"/>
    <x v="6"/>
    <n v="36"/>
    <m/>
    <n v="36"/>
    <s v="20270210150000"/>
    <s v="디캔팅"/>
    <s v="입고"/>
    <s v="작업완료"/>
    <s v="1006"/>
    <x v="6"/>
    <s v="2026-08-15 16:19:44"/>
    <s v="월수금"/>
    <x v="0"/>
  </r>
  <r>
    <d v="2026-08-15T16:32:31"/>
    <s v="19000116"/>
    <x v="6"/>
    <x v="6"/>
    <n v="36"/>
    <m/>
    <n v="36"/>
    <s v="20270210150000"/>
    <s v="디캔팅"/>
    <s v="입고"/>
    <s v="작업완료"/>
    <s v="1006"/>
    <x v="6"/>
    <s v="2026-08-15 16:30:26"/>
    <s v="월수금"/>
    <x v="0"/>
  </r>
  <r>
    <d v="2026-08-15T16:32:21"/>
    <s v="19000347"/>
    <x v="6"/>
    <x v="6"/>
    <n v="36"/>
    <m/>
    <n v="36"/>
    <s v="20270210150000"/>
    <s v="디캔팅"/>
    <s v="입고"/>
    <s v="작업완료"/>
    <s v="1006"/>
    <x v="6"/>
    <s v="2026-08-15 16:30:22"/>
    <s v="월수금"/>
    <x v="0"/>
  </r>
  <r>
    <d v="2026-08-15T16:32:16"/>
    <s v="19010476"/>
    <x v="6"/>
    <x v="6"/>
    <n v="36"/>
    <m/>
    <n v="36"/>
    <s v="20270210150000"/>
    <s v="디캔팅"/>
    <s v="입고"/>
    <s v="작업완료"/>
    <s v="1006"/>
    <x v="6"/>
    <s v="2026-08-15 16:30:19"/>
    <s v="월수금"/>
    <x v="0"/>
  </r>
  <r>
    <d v="2026-08-15T16:31:03"/>
    <s v="19003181"/>
    <x v="6"/>
    <x v="6"/>
    <n v="36"/>
    <m/>
    <n v="36"/>
    <s v="20270210150000"/>
    <s v="디캔팅"/>
    <s v="입고"/>
    <s v="작업완료"/>
    <s v="1006"/>
    <x v="6"/>
    <s v="2026-08-15 16:28:52"/>
    <s v="월수금"/>
    <x v="0"/>
  </r>
  <r>
    <d v="2026-08-15T16:31:00"/>
    <s v="19013436"/>
    <x v="6"/>
    <x v="6"/>
    <n v="36"/>
    <m/>
    <n v="36"/>
    <s v="20270210150000"/>
    <s v="디캔팅"/>
    <s v="입고"/>
    <s v="작업완료"/>
    <s v="1006"/>
    <x v="6"/>
    <s v="2026-08-15 16:28:55"/>
    <s v="월수금"/>
    <x v="0"/>
  </r>
  <r>
    <d v="2026-08-15T16:30:41"/>
    <s v="19001480"/>
    <x v="6"/>
    <x v="6"/>
    <n v="36"/>
    <m/>
    <n v="36"/>
    <s v="20270210150000"/>
    <s v="디캔팅"/>
    <s v="입고"/>
    <s v="작업완료"/>
    <s v="1006"/>
    <x v="6"/>
    <s v="2026-08-15 16:28:49"/>
    <s v="월수금"/>
    <x v="0"/>
  </r>
  <r>
    <d v="2026-08-15T16:29:01"/>
    <s v="19015372"/>
    <x v="6"/>
    <x v="6"/>
    <n v="36"/>
    <m/>
    <n v="36"/>
    <s v="20270210150000"/>
    <s v="디캔팅"/>
    <s v="입고"/>
    <s v="작업완료"/>
    <s v="1006"/>
    <x v="6"/>
    <s v="2026-08-15 16:27:00"/>
    <s v="월수금"/>
    <x v="0"/>
  </r>
  <r>
    <d v="2026-08-15T16:28:45"/>
    <s v="19019698"/>
    <x v="6"/>
    <x v="6"/>
    <n v="36"/>
    <m/>
    <n v="36"/>
    <s v="20270210150000"/>
    <s v="디캔팅"/>
    <s v="입고"/>
    <s v="작업완료"/>
    <s v="1006"/>
    <x v="6"/>
    <s v="2026-08-15 16:27:03"/>
    <s v="월수금"/>
    <x v="0"/>
  </r>
  <r>
    <d v="2026-08-15T16:28:41"/>
    <s v="19005204"/>
    <x v="6"/>
    <x v="6"/>
    <n v="36"/>
    <m/>
    <n v="36"/>
    <s v="20270210150000"/>
    <s v="디캔팅"/>
    <s v="입고"/>
    <s v="작업완료"/>
    <s v="1006"/>
    <x v="6"/>
    <s v="2026-08-15 16:26:57"/>
    <s v="월수금"/>
    <x v="0"/>
  </r>
  <r>
    <d v="2026-08-15T16:27:24"/>
    <s v="19013140"/>
    <x v="6"/>
    <x v="6"/>
    <n v="36"/>
    <m/>
    <n v="36"/>
    <s v="20270210150000"/>
    <s v="디캔팅"/>
    <s v="입고"/>
    <s v="작업완료"/>
    <s v="1006"/>
    <x v="6"/>
    <s v="2026-08-15 16:25:29"/>
    <s v="월수금"/>
    <x v="0"/>
  </r>
  <r>
    <d v="2026-08-15T16:27:23"/>
    <s v="19011221"/>
    <x v="6"/>
    <x v="6"/>
    <n v="36"/>
    <m/>
    <n v="36"/>
    <s v="20270210150000"/>
    <s v="디캔팅"/>
    <s v="입고"/>
    <s v="작업완료"/>
    <s v="1006"/>
    <x v="6"/>
    <s v="2026-08-15 16:25:34"/>
    <s v="월수금"/>
    <x v="0"/>
  </r>
  <r>
    <d v="2026-08-15T16:27:23"/>
    <s v="19011341"/>
    <x v="6"/>
    <x v="6"/>
    <n v="36"/>
    <m/>
    <n v="36"/>
    <s v="20270210150000"/>
    <s v="디캔팅"/>
    <s v="입고"/>
    <s v="작업완료"/>
    <s v="1006"/>
    <x v="6"/>
    <s v="2026-08-15 16:25:32"/>
    <s v="월수금"/>
    <x v="0"/>
  </r>
  <r>
    <d v="2026-08-15T16:25:07"/>
    <s v="19000508"/>
    <x v="6"/>
    <x v="6"/>
    <n v="36"/>
    <m/>
    <n v="36"/>
    <s v="20270210150000"/>
    <s v="디캔팅"/>
    <s v="입고"/>
    <s v="작업완료"/>
    <s v="1006"/>
    <x v="6"/>
    <s v="2026-08-15 16:23:28"/>
    <s v="월수금"/>
    <x v="0"/>
  </r>
  <r>
    <d v="2026-08-15T16:25:04"/>
    <s v="19002461"/>
    <x v="6"/>
    <x v="6"/>
    <n v="36"/>
    <m/>
    <n v="36"/>
    <s v="20270210150000"/>
    <s v="디캔팅"/>
    <s v="입고"/>
    <s v="작업완료"/>
    <s v="1006"/>
    <x v="6"/>
    <s v="2026-08-15 16:23:25"/>
    <s v="월수금"/>
    <x v="0"/>
  </r>
  <r>
    <d v="2026-08-15T16:24:25"/>
    <s v="19002710"/>
    <x v="6"/>
    <x v="6"/>
    <n v="36"/>
    <m/>
    <n v="36"/>
    <s v="20270210150000"/>
    <s v="디캔팅"/>
    <s v="입고"/>
    <s v="작업완료"/>
    <s v="1006"/>
    <x v="6"/>
    <s v="2026-08-15 16:22:22"/>
    <s v="월수금"/>
    <x v="0"/>
  </r>
  <r>
    <d v="2026-08-15T16:24:11"/>
    <s v="19014969"/>
    <x v="6"/>
    <x v="6"/>
    <n v="36"/>
    <m/>
    <n v="36"/>
    <s v="20270210150000"/>
    <s v="디캔팅"/>
    <s v="입고"/>
    <s v="작업완료"/>
    <s v="1006"/>
    <x v="6"/>
    <s v="2026-08-15 16:22:16"/>
    <s v="월수금"/>
    <x v="0"/>
  </r>
  <r>
    <d v="2026-08-15T16:24:10"/>
    <s v="19018906"/>
    <x v="6"/>
    <x v="6"/>
    <n v="36"/>
    <m/>
    <n v="36"/>
    <s v="20270210150000"/>
    <s v="디캔팅"/>
    <s v="입고"/>
    <s v="작업완료"/>
    <s v="1006"/>
    <x v="6"/>
    <s v="2026-08-15 16:22:14"/>
    <s v="월수금"/>
    <x v="0"/>
  </r>
  <r>
    <d v="2026-08-15T16:22:18"/>
    <s v="19004078"/>
    <x v="6"/>
    <x v="6"/>
    <n v="36"/>
    <m/>
    <n v="36"/>
    <s v="20270210150000"/>
    <s v="디캔팅"/>
    <s v="입고"/>
    <s v="작업완료"/>
    <s v="1006"/>
    <x v="6"/>
    <s v="2026-08-15 16:20:42"/>
    <s v="월수금"/>
    <x v="0"/>
  </r>
  <r>
    <d v="2026-08-15T16:21:38"/>
    <s v="19001236"/>
    <x v="6"/>
    <x v="6"/>
    <n v="36"/>
    <m/>
    <n v="36"/>
    <s v="20270210150000"/>
    <s v="디캔팅"/>
    <s v="입고"/>
    <s v="작업완료"/>
    <s v="1006"/>
    <x v="6"/>
    <s v="2026-08-15 16:19:41"/>
    <s v="월수금"/>
    <x v="0"/>
  </r>
  <r>
    <d v="2026-08-14T16:47:05"/>
    <s v="19004639"/>
    <x v="6"/>
    <x v="6"/>
    <n v="36"/>
    <m/>
    <n v="36"/>
    <s v="20270210150000"/>
    <s v="디캔팅"/>
    <s v="입고"/>
    <s v="작업완료"/>
    <s v="1004"/>
    <x v="8"/>
    <s v="2026-08-14 16:34:28"/>
    <s v="월수금"/>
    <x v="1"/>
  </r>
  <r>
    <d v="2026-08-14T16:43:40"/>
    <s v="19010901"/>
    <x v="6"/>
    <x v="6"/>
    <n v="36"/>
    <m/>
    <n v="36"/>
    <s v="20270210150000"/>
    <s v="디캔팅"/>
    <s v="입고"/>
    <s v="작업완료"/>
    <s v="1004"/>
    <x v="8"/>
    <s v="2026-08-14 16:42:18"/>
    <s v="월수금"/>
    <x v="1"/>
  </r>
  <r>
    <d v="2026-08-14T16:43:35"/>
    <s v="19022148"/>
    <x v="6"/>
    <x v="6"/>
    <n v="36"/>
    <m/>
    <n v="36"/>
    <s v="20270210150000"/>
    <s v="디캔팅"/>
    <s v="입고"/>
    <s v="작업완료"/>
    <s v="1004"/>
    <x v="8"/>
    <s v="2026-08-14 16:42:13"/>
    <s v="월수금"/>
    <x v="1"/>
  </r>
  <r>
    <d v="2026-08-14T16:43:23"/>
    <s v="19000201"/>
    <x v="6"/>
    <x v="6"/>
    <n v="36"/>
    <m/>
    <n v="36"/>
    <s v="20270210150000"/>
    <s v="디캔팅"/>
    <s v="입고"/>
    <s v="작업완료"/>
    <s v="1004"/>
    <x v="8"/>
    <s v="2026-08-14 16:32:56"/>
    <s v="월수금"/>
    <x v="1"/>
  </r>
  <r>
    <d v="2026-08-14T16:42:56"/>
    <s v="19001324"/>
    <x v="6"/>
    <x v="6"/>
    <n v="36"/>
    <m/>
    <n v="36"/>
    <s v="20270210150000"/>
    <s v="디캔팅"/>
    <s v="입고"/>
    <s v="작업완료"/>
    <s v="1004"/>
    <x v="8"/>
    <s v="2026-08-14 16:41:24"/>
    <s v="월수금"/>
    <x v="1"/>
  </r>
  <r>
    <d v="2026-08-14T16:42:54"/>
    <s v="19002914"/>
    <x v="6"/>
    <x v="6"/>
    <n v="36"/>
    <m/>
    <n v="36"/>
    <s v="20270210150000"/>
    <s v="디캔팅"/>
    <s v="입고"/>
    <s v="작업완료"/>
    <s v="1004"/>
    <x v="8"/>
    <s v="2026-08-14 16:41:17"/>
    <s v="월수금"/>
    <x v="1"/>
  </r>
  <r>
    <d v="2026-08-14T16:42:27"/>
    <s v="19004908"/>
    <x v="6"/>
    <x v="6"/>
    <n v="36"/>
    <m/>
    <n v="36"/>
    <s v="20270210150000"/>
    <s v="디캔팅"/>
    <s v="입고"/>
    <s v="작업완료"/>
    <s v="1004"/>
    <x v="8"/>
    <s v="2026-08-14 16:40:14"/>
    <s v="월수금"/>
    <x v="1"/>
  </r>
  <r>
    <d v="2026-08-14T16:42:05"/>
    <s v="19014046"/>
    <x v="6"/>
    <x v="6"/>
    <n v="36"/>
    <m/>
    <n v="36"/>
    <s v="20270210150000"/>
    <s v="디캔팅"/>
    <s v="입고"/>
    <s v="작업완료"/>
    <s v="1004"/>
    <x v="8"/>
    <s v="2026-08-14 16:40:07"/>
    <s v="월수금"/>
    <x v="1"/>
  </r>
  <r>
    <d v="2026-08-14T16:40:05"/>
    <s v="19018920"/>
    <x v="6"/>
    <x v="6"/>
    <n v="36"/>
    <m/>
    <n v="36"/>
    <s v="20270210150000"/>
    <s v="디캔팅"/>
    <s v="입고"/>
    <s v="작업완료"/>
    <s v="1004"/>
    <x v="8"/>
    <s v="2026-08-14 16:38:22"/>
    <s v="월수금"/>
    <x v="1"/>
  </r>
  <r>
    <d v="2026-08-14T16:39:56"/>
    <s v="19000316"/>
    <x v="6"/>
    <x v="6"/>
    <n v="36"/>
    <m/>
    <n v="36"/>
    <s v="20270210150000"/>
    <s v="디캔팅"/>
    <s v="입고"/>
    <s v="작업완료"/>
    <s v="1004"/>
    <x v="8"/>
    <s v="2026-08-14 16:38:17"/>
    <s v="월수금"/>
    <x v="1"/>
  </r>
  <r>
    <d v="2026-08-14T16:39:28"/>
    <s v="19003074"/>
    <x v="6"/>
    <x v="6"/>
    <n v="36"/>
    <m/>
    <n v="36"/>
    <s v="20270210150000"/>
    <s v="디캔팅"/>
    <s v="입고"/>
    <s v="작업완료"/>
    <s v="1004"/>
    <x v="8"/>
    <s v="2026-08-14 16:14:58"/>
    <s v="월수금"/>
    <x v="1"/>
  </r>
  <r>
    <d v="2026-08-14T16:39:06"/>
    <s v="19005228"/>
    <x v="6"/>
    <x v="6"/>
    <n v="36"/>
    <m/>
    <n v="36"/>
    <s v="20270210150000"/>
    <s v="디캔팅"/>
    <s v="입고"/>
    <s v="작업완료"/>
    <s v="1004"/>
    <x v="8"/>
    <s v="2026-08-14 16:37:01"/>
    <s v="월수금"/>
    <x v="1"/>
  </r>
  <r>
    <d v="2026-08-14T16:38:49"/>
    <s v="19006321"/>
    <x v="6"/>
    <x v="6"/>
    <n v="36"/>
    <m/>
    <n v="36"/>
    <s v="20270210150000"/>
    <s v="디캔팅"/>
    <s v="입고"/>
    <s v="작업완료"/>
    <s v="1004"/>
    <x v="8"/>
    <s v="2026-08-14 16:37:07"/>
    <s v="월수금"/>
    <x v="1"/>
  </r>
  <r>
    <d v="2026-08-14T16:38:02"/>
    <s v="19000154"/>
    <x v="6"/>
    <x v="6"/>
    <n v="36"/>
    <m/>
    <n v="36"/>
    <s v="20270210150000"/>
    <s v="디캔팅"/>
    <s v="입고"/>
    <s v="작업완료"/>
    <s v="1004"/>
    <x v="8"/>
    <s v="2026-08-14 16:36:11"/>
    <s v="월수금"/>
    <x v="1"/>
  </r>
  <r>
    <d v="2026-08-14T16:37:39"/>
    <s v="19005747"/>
    <x v="6"/>
    <x v="6"/>
    <n v="36"/>
    <m/>
    <n v="36"/>
    <s v="20270210150000"/>
    <s v="디캔팅"/>
    <s v="입고"/>
    <s v="작업완료"/>
    <s v="1004"/>
    <x v="8"/>
    <s v="2026-08-14 16:36:04"/>
    <s v="월수금"/>
    <x v="1"/>
  </r>
  <r>
    <d v="2026-08-14T16:35:56"/>
    <s v="19003956"/>
    <x v="6"/>
    <x v="6"/>
    <n v="36"/>
    <m/>
    <n v="36"/>
    <s v="20270210150000"/>
    <s v="디캔팅"/>
    <s v="입고"/>
    <s v="작업완료"/>
    <s v="1004"/>
    <x v="8"/>
    <s v="2026-08-14 16:34:19"/>
    <s v="월수금"/>
    <x v="1"/>
  </r>
  <r>
    <d v="2026-08-14T16:34:24"/>
    <s v="19001708"/>
    <x v="6"/>
    <x v="6"/>
    <n v="36"/>
    <m/>
    <n v="36"/>
    <s v="20270210150000"/>
    <s v="디캔팅"/>
    <s v="입고"/>
    <s v="작업완료"/>
    <s v="1004"/>
    <x v="8"/>
    <s v="2026-08-14 16:32:49"/>
    <s v="월수금"/>
    <x v="1"/>
  </r>
  <r>
    <d v="2026-08-14T16:33:09"/>
    <s v="19010701"/>
    <x v="6"/>
    <x v="6"/>
    <n v="36"/>
    <m/>
    <n v="36"/>
    <s v="20270210150000"/>
    <s v="디캔팅"/>
    <s v="입고"/>
    <s v="작업완료"/>
    <s v="1004"/>
    <x v="8"/>
    <s v="2026-08-14 16:31:04"/>
    <s v="월수금"/>
    <x v="1"/>
  </r>
  <r>
    <d v="2026-08-14T16:32:41"/>
    <s v="19004379"/>
    <x v="6"/>
    <x v="6"/>
    <n v="36"/>
    <m/>
    <n v="36"/>
    <s v="20270210150000"/>
    <s v="디캔팅"/>
    <s v="입고"/>
    <s v="작업완료"/>
    <s v="1004"/>
    <x v="8"/>
    <s v="2026-08-14 16:30:57"/>
    <s v="월수금"/>
    <x v="1"/>
  </r>
  <r>
    <d v="2026-08-14T16:32:20"/>
    <s v="19005841"/>
    <x v="6"/>
    <x v="6"/>
    <n v="36"/>
    <m/>
    <n v="36"/>
    <s v="20270210150000"/>
    <s v="디캔팅"/>
    <s v="입고"/>
    <s v="작업완료"/>
    <s v="1004"/>
    <x v="8"/>
    <s v="2026-08-14 16:30:09"/>
    <s v="월수금"/>
    <x v="1"/>
  </r>
  <r>
    <d v="2026-08-14T16:32:12"/>
    <s v="19010314"/>
    <x v="6"/>
    <x v="6"/>
    <n v="36"/>
    <m/>
    <n v="36"/>
    <s v="20270210150000"/>
    <s v="디캔팅"/>
    <s v="입고"/>
    <s v="작업완료"/>
    <s v="1004"/>
    <x v="8"/>
    <s v="2026-08-14 16:30:02"/>
    <s v="월수금"/>
    <x v="1"/>
  </r>
  <r>
    <d v="2026-08-14T16:31:21"/>
    <s v="19000677"/>
    <x v="6"/>
    <x v="6"/>
    <n v="36"/>
    <m/>
    <n v="36"/>
    <s v="20270210150000"/>
    <s v="디캔팅"/>
    <s v="입고"/>
    <s v="작업완료"/>
    <s v="1004"/>
    <x v="8"/>
    <s v="2026-08-14 16:29:45"/>
    <s v="월수금"/>
    <x v="1"/>
  </r>
  <r>
    <d v="2026-08-14T16:31:21"/>
    <s v="19002376"/>
    <x v="6"/>
    <x v="6"/>
    <n v="36"/>
    <m/>
    <n v="36"/>
    <s v="20270210150000"/>
    <s v="디캔팅"/>
    <s v="입고"/>
    <s v="작업완료"/>
    <s v="1004"/>
    <x v="8"/>
    <s v="2026-08-14 16:29:52"/>
    <s v="월수금"/>
    <x v="1"/>
  </r>
  <r>
    <d v="2026-08-14T16:29:16"/>
    <s v="19004475"/>
    <x v="6"/>
    <x v="6"/>
    <n v="36"/>
    <m/>
    <n v="36"/>
    <s v="20270210150000"/>
    <s v="디캔팅"/>
    <s v="입고"/>
    <s v="작업완료"/>
    <s v="1004"/>
    <x v="8"/>
    <s v="2026-08-14 16:27:37"/>
    <s v="월수금"/>
    <x v="1"/>
  </r>
  <r>
    <d v="2026-08-14T16:28:56"/>
    <s v="19005769"/>
    <x v="6"/>
    <x v="6"/>
    <n v="36"/>
    <m/>
    <n v="36"/>
    <s v="20270210150000"/>
    <s v="디캔팅"/>
    <s v="입고"/>
    <s v="작업완료"/>
    <s v="1004"/>
    <x v="8"/>
    <s v="2026-08-14 16:27:29"/>
    <s v="월수금"/>
    <x v="1"/>
  </r>
  <r>
    <d v="2026-08-14T16:28:12"/>
    <s v="19025165"/>
    <x v="6"/>
    <x v="6"/>
    <n v="36"/>
    <m/>
    <n v="36"/>
    <s v="20270210150000"/>
    <s v="디캔팅"/>
    <s v="입고"/>
    <s v="작업완료"/>
    <s v="1004"/>
    <x v="8"/>
    <s v="2026-08-14 16:26:29"/>
    <s v="월수금"/>
    <x v="1"/>
  </r>
  <r>
    <d v="2026-08-14T16:28:09"/>
    <s v="19019049"/>
    <x v="6"/>
    <x v="6"/>
    <n v="36"/>
    <m/>
    <n v="36"/>
    <s v="20270210150000"/>
    <s v="디캔팅"/>
    <s v="입고"/>
    <s v="작업완료"/>
    <s v="1004"/>
    <x v="8"/>
    <s v="2026-08-14 16:26:22"/>
    <s v="월수금"/>
    <x v="1"/>
  </r>
  <r>
    <d v="2026-08-14T16:27:30"/>
    <s v="19024208"/>
    <x v="6"/>
    <x v="6"/>
    <n v="36"/>
    <m/>
    <n v="36"/>
    <s v="20270210150000"/>
    <s v="디캔팅"/>
    <s v="입고"/>
    <s v="작업완료"/>
    <s v="1004"/>
    <x v="8"/>
    <s v="2026-08-14 16:24:54"/>
    <s v="월수금"/>
    <x v="1"/>
  </r>
  <r>
    <d v="2026-08-14T16:27:05"/>
    <s v="19022262"/>
    <x v="6"/>
    <x v="6"/>
    <n v="36"/>
    <m/>
    <n v="36"/>
    <s v="20270210150000"/>
    <s v="디캔팅"/>
    <s v="입고"/>
    <s v="작업완료"/>
    <s v="1004"/>
    <x v="8"/>
    <s v="2026-08-14 16:24:46"/>
    <s v="월수금"/>
    <x v="1"/>
  </r>
  <r>
    <d v="2026-08-14T16:25:03"/>
    <s v="19001393"/>
    <x v="6"/>
    <x v="6"/>
    <n v="36"/>
    <m/>
    <n v="36"/>
    <s v="20270210150000"/>
    <s v="디캔팅"/>
    <s v="입고"/>
    <s v="작업완료"/>
    <s v="1004"/>
    <x v="8"/>
    <s v="2026-08-14 16:22:00"/>
    <s v="월수금"/>
    <x v="1"/>
  </r>
  <r>
    <d v="2026-08-14T16:25:00"/>
    <s v="19007170"/>
    <x v="6"/>
    <x v="6"/>
    <n v="36"/>
    <m/>
    <n v="36"/>
    <s v="20270210150000"/>
    <s v="디캔팅"/>
    <s v="입고"/>
    <s v="작업완료"/>
    <s v="1004"/>
    <x v="8"/>
    <s v="2026-08-14 16:21:52"/>
    <s v="월수금"/>
    <x v="1"/>
  </r>
  <r>
    <d v="2026-08-14T16:24:50"/>
    <s v="19003157"/>
    <x v="6"/>
    <x v="6"/>
    <n v="36"/>
    <m/>
    <n v="36"/>
    <s v="20270210150000"/>
    <s v="디캔팅"/>
    <s v="입고"/>
    <s v="작업완료"/>
    <s v="1004"/>
    <x v="8"/>
    <s v="2026-08-14 16:21:00"/>
    <s v="월수금"/>
    <x v="1"/>
  </r>
  <r>
    <d v="2026-08-14T16:24:37"/>
    <s v="19001777"/>
    <x v="6"/>
    <x v="6"/>
    <n v="36"/>
    <m/>
    <n v="36"/>
    <s v="20270210150000"/>
    <s v="디캔팅"/>
    <s v="입고"/>
    <s v="작업완료"/>
    <s v="1004"/>
    <x v="8"/>
    <s v="2026-08-14 16:21:07"/>
    <s v="월수금"/>
    <x v="1"/>
  </r>
  <r>
    <d v="2026-08-14T16:23:51"/>
    <s v="19002449"/>
    <x v="6"/>
    <x v="6"/>
    <n v="36"/>
    <m/>
    <n v="36"/>
    <s v="20270210150000"/>
    <s v="디캔팅"/>
    <s v="입고"/>
    <s v="작업완료"/>
    <s v="1004"/>
    <x v="8"/>
    <s v="2026-08-14 16:18:53"/>
    <s v="월수금"/>
    <x v="1"/>
  </r>
  <r>
    <d v="2026-08-14T16:23:33"/>
    <s v="19000023"/>
    <x v="6"/>
    <x v="6"/>
    <n v="36"/>
    <m/>
    <n v="36"/>
    <s v="20270210150000"/>
    <s v="디캔팅"/>
    <s v="입고"/>
    <s v="작업완료"/>
    <s v="1004"/>
    <x v="8"/>
    <s v="2026-08-14 16:18:44"/>
    <s v="월수금"/>
    <x v="1"/>
  </r>
  <r>
    <d v="2026-08-14T16:21:59"/>
    <s v="19012890"/>
    <x v="6"/>
    <x v="6"/>
    <n v="36"/>
    <m/>
    <n v="36"/>
    <s v="20270210150000"/>
    <s v="디캔팅"/>
    <s v="입고"/>
    <s v="작업완료"/>
    <s v="1004"/>
    <x v="8"/>
    <s v="2026-08-14 16:17:38"/>
    <s v="월수금"/>
    <x v="1"/>
  </r>
  <r>
    <d v="2026-08-14T16:21:40"/>
    <s v="19018675"/>
    <x v="6"/>
    <x v="6"/>
    <n v="36"/>
    <m/>
    <n v="36"/>
    <s v="20270210150000"/>
    <s v="디캔팅"/>
    <s v="입고"/>
    <s v="작업완료"/>
    <s v="1004"/>
    <x v="8"/>
    <s v="2026-08-14 16:17:45"/>
    <s v="월수금"/>
    <x v="1"/>
  </r>
  <r>
    <d v="2026-08-14T16:18:19"/>
    <s v="19020650"/>
    <x v="6"/>
    <x v="6"/>
    <n v="36"/>
    <m/>
    <n v="36"/>
    <s v="20270210150000"/>
    <s v="디캔팅"/>
    <s v="입고"/>
    <s v="작업완료"/>
    <s v="1004"/>
    <x v="8"/>
    <s v="2026-08-14 16:16:17"/>
    <s v="월수금"/>
    <x v="1"/>
  </r>
  <r>
    <d v="2026-08-14T16:17:54"/>
    <s v="19028311"/>
    <x v="6"/>
    <x v="6"/>
    <n v="36"/>
    <m/>
    <n v="36"/>
    <s v="20270210150000"/>
    <s v="디캔팅"/>
    <s v="입고"/>
    <s v="작업완료"/>
    <s v="1004"/>
    <x v="8"/>
    <s v="2026-08-14 16:16:25"/>
    <s v="월수금"/>
    <x v="1"/>
  </r>
  <r>
    <d v="2026-08-14T16:16:55"/>
    <s v="19002798"/>
    <x v="6"/>
    <x v="6"/>
    <n v="36"/>
    <m/>
    <n v="36"/>
    <s v="20270210150000"/>
    <s v="디캔팅"/>
    <s v="입고"/>
    <s v="작업완료"/>
    <s v="1004"/>
    <x v="8"/>
    <s v="2026-08-14 16:15:09"/>
    <s v="월수금"/>
    <x v="1"/>
  </r>
  <r>
    <d v="2026-08-14T14:07:19"/>
    <s v="19005371"/>
    <x v="6"/>
    <x v="6"/>
    <n v="36"/>
    <m/>
    <n v="36"/>
    <s v="20270205150000"/>
    <s v="디캔팅"/>
    <s v="입고"/>
    <s v="작업완료"/>
    <s v="1003"/>
    <x v="5"/>
    <s v="2026-08-14 13:46:58"/>
    <s v="월수금"/>
    <x v="1"/>
  </r>
  <r>
    <d v="2026-08-14T13:58:47"/>
    <s v="19003876"/>
    <x v="6"/>
    <x v="6"/>
    <n v="36"/>
    <m/>
    <n v="36"/>
    <s v="20270205150000"/>
    <s v="디캔팅"/>
    <s v="입고"/>
    <s v="작업완료"/>
    <s v="1003"/>
    <x v="5"/>
    <s v="2026-08-14 13:46:12"/>
    <s v="월수금"/>
    <x v="1"/>
  </r>
  <r>
    <d v="2026-08-14T13:58:09"/>
    <s v="19002303"/>
    <x v="6"/>
    <x v="6"/>
    <n v="36"/>
    <m/>
    <n v="36"/>
    <s v="20270205150000"/>
    <s v="디캔팅"/>
    <s v="입고"/>
    <s v="작업완료"/>
    <s v="1003"/>
    <x v="5"/>
    <s v="2026-08-14 13:44:28"/>
    <s v="월수금"/>
    <x v="1"/>
  </r>
  <r>
    <d v="2026-08-14T13:56:53"/>
    <s v="19011962"/>
    <x v="6"/>
    <x v="6"/>
    <n v="36"/>
    <m/>
    <n v="36"/>
    <s v="20270205150000"/>
    <s v="디캔팅"/>
    <s v="입고"/>
    <s v="작업완료"/>
    <s v="1003"/>
    <x v="5"/>
    <s v="2026-08-14 13:49:46"/>
    <s v="월수금"/>
    <x v="1"/>
  </r>
  <r>
    <d v="2026-08-14T13:55:29"/>
    <s v="19004072"/>
    <x v="6"/>
    <x v="6"/>
    <n v="36"/>
    <m/>
    <n v="36"/>
    <s v="20270205150000"/>
    <s v="디캔팅"/>
    <s v="입고"/>
    <s v="작업완료"/>
    <s v="1003"/>
    <x v="5"/>
    <s v="2026-08-14 13:53:51"/>
    <s v="월수금"/>
    <x v="1"/>
  </r>
  <r>
    <d v="2026-08-14T13:55:15"/>
    <s v="19000411"/>
    <x v="6"/>
    <x v="6"/>
    <n v="36"/>
    <m/>
    <n v="36"/>
    <s v="20270205150000"/>
    <s v="디캔팅"/>
    <s v="입고"/>
    <s v="작업완료"/>
    <s v="1003"/>
    <x v="5"/>
    <s v="2026-08-14 13:53:56"/>
    <s v="월수금"/>
    <x v="1"/>
  </r>
  <r>
    <d v="2026-08-14T13:54:48"/>
    <s v="19018857"/>
    <x v="6"/>
    <x v="6"/>
    <n v="36"/>
    <m/>
    <n v="36"/>
    <s v="20270205150000"/>
    <s v="디캔팅"/>
    <s v="입고"/>
    <s v="작업완료"/>
    <s v="1003"/>
    <x v="5"/>
    <s v="2026-08-14 13:53:03"/>
    <s v="월수금"/>
    <x v="1"/>
  </r>
  <r>
    <d v="2026-08-14T13:54:37"/>
    <s v="19009887"/>
    <x v="6"/>
    <x v="6"/>
    <n v="36"/>
    <m/>
    <n v="36"/>
    <s v="20270205150000"/>
    <s v="디캔팅"/>
    <s v="입고"/>
    <s v="작업완료"/>
    <s v="1003"/>
    <x v="5"/>
    <s v="2026-08-14 13:53:06"/>
    <s v="월수금"/>
    <x v="1"/>
  </r>
  <r>
    <d v="2026-08-14T13:53:39"/>
    <s v="19008883"/>
    <x v="6"/>
    <x v="6"/>
    <n v="36"/>
    <m/>
    <n v="36"/>
    <s v="20270205150000"/>
    <s v="디캔팅"/>
    <s v="입고"/>
    <s v="작업완료"/>
    <s v="1003"/>
    <x v="5"/>
    <s v="2026-08-14 13:51:31"/>
    <s v="월수금"/>
    <x v="1"/>
  </r>
  <r>
    <d v="2026-08-14T13:53:00"/>
    <s v="19021912"/>
    <x v="6"/>
    <x v="6"/>
    <n v="36"/>
    <m/>
    <n v="36"/>
    <s v="20270205150000"/>
    <s v="디캔팅"/>
    <s v="입고"/>
    <s v="작업완료"/>
    <s v="1003"/>
    <x v="5"/>
    <s v="2026-08-14 13:51:35"/>
    <s v="월수금"/>
    <x v="1"/>
  </r>
  <r>
    <d v="2026-08-14T13:52:30"/>
    <s v="19002825"/>
    <x v="6"/>
    <x v="6"/>
    <n v="36"/>
    <m/>
    <n v="36"/>
    <s v="20270205150000"/>
    <s v="디캔팅"/>
    <s v="입고"/>
    <s v="작업완료"/>
    <s v="1003"/>
    <x v="5"/>
    <s v="2026-08-14 13:50:42"/>
    <s v="월수금"/>
    <x v="1"/>
  </r>
  <r>
    <d v="2026-08-14T13:52:20"/>
    <s v="19018991"/>
    <x v="6"/>
    <x v="6"/>
    <n v="36"/>
    <m/>
    <n v="36"/>
    <s v="20270205150000"/>
    <s v="디캔팅"/>
    <s v="입고"/>
    <s v="작업완료"/>
    <s v="1003"/>
    <x v="5"/>
    <s v="2026-08-14 13:50:45"/>
    <s v="월수금"/>
    <x v="1"/>
  </r>
  <r>
    <d v="2026-08-14T13:51:15"/>
    <s v="19013411"/>
    <x v="6"/>
    <x v="6"/>
    <n v="36"/>
    <m/>
    <n v="36"/>
    <s v="20270205150000"/>
    <s v="디캔팅"/>
    <s v="입고"/>
    <s v="작업완료"/>
    <s v="1003"/>
    <x v="5"/>
    <s v="2026-08-14 13:49:40"/>
    <s v="월수금"/>
    <x v="1"/>
  </r>
  <r>
    <d v="2026-08-14T13:50:37"/>
    <s v="19002700"/>
    <x v="6"/>
    <x v="6"/>
    <n v="36"/>
    <m/>
    <n v="36"/>
    <s v="20270205150000"/>
    <s v="디캔팅"/>
    <s v="입고"/>
    <s v="작업완료"/>
    <s v="1003"/>
    <x v="5"/>
    <s v="2026-08-14 13:48:48"/>
    <s v="월수금"/>
    <x v="1"/>
  </r>
  <r>
    <d v="2026-08-14T13:50:11"/>
    <s v="19020656"/>
    <x v="6"/>
    <x v="6"/>
    <n v="36"/>
    <m/>
    <n v="36"/>
    <s v="20270205150000"/>
    <s v="디캔팅"/>
    <s v="입고"/>
    <s v="작업완료"/>
    <s v="1003"/>
    <x v="5"/>
    <s v="2026-08-14 13:48:44"/>
    <s v="월수금"/>
    <x v="1"/>
  </r>
  <r>
    <d v="2026-08-14T13:49:35"/>
    <s v="19001393"/>
    <x v="6"/>
    <x v="6"/>
    <n v="36"/>
    <m/>
    <n v="36"/>
    <s v="20270205150000"/>
    <s v="디캔팅"/>
    <s v="입고"/>
    <s v="작업완료"/>
    <s v="1003"/>
    <x v="5"/>
    <s v="2026-08-14 13:47:54"/>
    <s v="월수금"/>
    <x v="1"/>
  </r>
  <r>
    <d v="2026-08-14T13:49:31"/>
    <s v="19005616"/>
    <x v="6"/>
    <x v="6"/>
    <n v="36"/>
    <m/>
    <n v="36"/>
    <s v="20270205150000"/>
    <s v="디캔팅"/>
    <s v="입고"/>
    <s v="작업완료"/>
    <s v="1003"/>
    <x v="5"/>
    <s v="2026-08-14 13:47:50"/>
    <s v="월수금"/>
    <x v="1"/>
  </r>
  <r>
    <d v="2026-08-14T13:48:24"/>
    <s v="19009297"/>
    <x v="6"/>
    <x v="6"/>
    <n v="36"/>
    <m/>
    <n v="36"/>
    <s v="20270205150000"/>
    <s v="디캔팅"/>
    <s v="입고"/>
    <s v="작업완료"/>
    <s v="1003"/>
    <x v="5"/>
    <s v="2026-08-14 13:46:54"/>
    <s v="월수금"/>
    <x v="1"/>
  </r>
  <r>
    <d v="2026-08-14T13:47:35"/>
    <s v="19014853"/>
    <x v="6"/>
    <x v="6"/>
    <n v="36"/>
    <m/>
    <n v="36"/>
    <s v="20270205150000"/>
    <s v="디캔팅"/>
    <s v="입고"/>
    <s v="작업완료"/>
    <s v="1003"/>
    <x v="5"/>
    <s v="2026-08-14 13:46:09"/>
    <s v="월수금"/>
    <x v="1"/>
  </r>
  <r>
    <d v="2026-08-14T13:46:45"/>
    <s v="19002213"/>
    <x v="6"/>
    <x v="6"/>
    <n v="36"/>
    <m/>
    <n v="36"/>
    <s v="20270205150000"/>
    <s v="디캔팅"/>
    <s v="입고"/>
    <s v="작업완료"/>
    <s v="1003"/>
    <x v="5"/>
    <s v="2026-08-14 13:45:14"/>
    <s v="월수금"/>
    <x v="1"/>
  </r>
  <r>
    <d v="2026-08-14T13:46:41"/>
    <s v="19017660"/>
    <x v="6"/>
    <x v="6"/>
    <n v="36"/>
    <m/>
    <n v="36"/>
    <s v="20270205150000"/>
    <s v="디캔팅"/>
    <s v="입고"/>
    <s v="작업완료"/>
    <s v="1003"/>
    <x v="5"/>
    <s v="2026-08-14 13:45:09"/>
    <s v="월수금"/>
    <x v="1"/>
  </r>
  <r>
    <d v="2026-08-14T13:46:08"/>
    <s v="19020537"/>
    <x v="6"/>
    <x v="6"/>
    <n v="36"/>
    <m/>
    <n v="36"/>
    <s v="20270205150000"/>
    <s v="디캔팅"/>
    <s v="입고"/>
    <s v="작업완료"/>
    <s v="1003"/>
    <x v="5"/>
    <s v="2026-08-14 13:44:22"/>
    <s v="월수금"/>
    <x v="1"/>
  </r>
  <r>
    <d v="2026-08-14T13:45:14"/>
    <s v="19008575"/>
    <x v="6"/>
    <x v="6"/>
    <n v="36"/>
    <m/>
    <n v="36"/>
    <s v="20270205150000"/>
    <s v="디캔팅"/>
    <s v="입고"/>
    <s v="작업완료"/>
    <s v="1003"/>
    <x v="5"/>
    <s v="2026-08-14 13:43:33"/>
    <s v="월수금"/>
    <x v="1"/>
  </r>
  <r>
    <d v="2026-08-14T13:43:15"/>
    <s v="19000416"/>
    <x v="6"/>
    <x v="6"/>
    <n v="36"/>
    <m/>
    <n v="36"/>
    <s v="20270205150000"/>
    <s v="디캔팅"/>
    <s v="입고"/>
    <s v="작업완료"/>
    <s v="1003"/>
    <x v="5"/>
    <s v="2026-08-14 13:41:38"/>
    <s v="월수금"/>
    <x v="1"/>
  </r>
  <r>
    <d v="2026-08-14T13:43:13"/>
    <s v="19009723"/>
    <x v="6"/>
    <x v="6"/>
    <n v="36"/>
    <m/>
    <n v="36"/>
    <s v="20270205150000"/>
    <s v="디캔팅"/>
    <s v="입고"/>
    <s v="작업완료"/>
    <s v="1003"/>
    <x v="5"/>
    <s v="2026-08-14 13:41:34"/>
    <s v="월수금"/>
    <x v="1"/>
  </r>
  <r>
    <d v="2026-08-14T13:42:21"/>
    <s v="19002772"/>
    <x v="6"/>
    <x v="6"/>
    <n v="36"/>
    <m/>
    <n v="36"/>
    <s v="20270205150000"/>
    <s v="디캔팅"/>
    <s v="입고"/>
    <s v="작업완료"/>
    <s v="1003"/>
    <x v="5"/>
    <s v="2026-08-14 13:40:51"/>
    <s v="월수금"/>
    <x v="1"/>
  </r>
  <r>
    <d v="2026-08-14T13:42:21"/>
    <s v="19003881"/>
    <x v="6"/>
    <x v="6"/>
    <n v="36"/>
    <m/>
    <n v="36"/>
    <s v="20270205150000"/>
    <s v="디캔팅"/>
    <s v="입고"/>
    <s v="작업완료"/>
    <s v="1003"/>
    <x v="5"/>
    <s v="2026-08-14 13:40:48"/>
    <s v="월수금"/>
    <x v="1"/>
  </r>
  <r>
    <d v="2026-08-14T13:41:54"/>
    <s v="19007941"/>
    <x v="6"/>
    <x v="6"/>
    <n v="36"/>
    <m/>
    <n v="36"/>
    <s v="20270205150000"/>
    <s v="디캔팅"/>
    <s v="입고"/>
    <s v="작업완료"/>
    <s v="1003"/>
    <x v="5"/>
    <s v="2026-08-14 13:39:57"/>
    <s v="월수금"/>
    <x v="1"/>
  </r>
  <r>
    <d v="2026-08-14T13:41:48"/>
    <s v="19000086"/>
    <x v="6"/>
    <x v="6"/>
    <n v="36"/>
    <m/>
    <n v="36"/>
    <s v="20270205150000"/>
    <s v="디캔팅"/>
    <s v="입고"/>
    <s v="작업완료"/>
    <s v="1003"/>
    <x v="5"/>
    <s v="2026-08-14 13:40:01"/>
    <s v="월수금"/>
    <x v="1"/>
  </r>
  <r>
    <d v="2026-08-14T13:40:41"/>
    <s v="19008879"/>
    <x v="6"/>
    <x v="6"/>
    <n v="36"/>
    <m/>
    <n v="36"/>
    <s v="20270205150000"/>
    <s v="디캔팅"/>
    <s v="입고"/>
    <s v="작업완료"/>
    <s v="1003"/>
    <x v="5"/>
    <s v="2026-08-14 13:39:04"/>
    <s v="월수금"/>
    <x v="1"/>
  </r>
  <r>
    <d v="2026-08-14T13:40:33"/>
    <s v="19002889"/>
    <x v="6"/>
    <x v="6"/>
    <n v="36"/>
    <m/>
    <n v="36"/>
    <s v="20270205150000"/>
    <s v="디캔팅"/>
    <s v="입고"/>
    <s v="작업완료"/>
    <s v="1003"/>
    <x v="5"/>
    <s v="2026-08-14 13:39:00"/>
    <s v="월수금"/>
    <x v="1"/>
  </r>
  <r>
    <d v="2026-08-14T13:39:44"/>
    <s v="19012055"/>
    <x v="6"/>
    <x v="6"/>
    <n v="36"/>
    <m/>
    <n v="36"/>
    <s v="20270205150000"/>
    <s v="디캔팅"/>
    <s v="입고"/>
    <s v="작업완료"/>
    <s v="1003"/>
    <x v="5"/>
    <s v="2026-08-14 13:37:53"/>
    <s v="월수금"/>
    <x v="1"/>
  </r>
  <r>
    <d v="2026-08-14T13:39:37"/>
    <s v="19020664"/>
    <x v="6"/>
    <x v="6"/>
    <n v="36"/>
    <m/>
    <n v="36"/>
    <s v="20270205150000"/>
    <s v="디캔팅"/>
    <s v="입고"/>
    <s v="작업완료"/>
    <s v="1003"/>
    <x v="5"/>
    <s v="2026-08-14 13:37:57"/>
    <s v="월수금"/>
    <x v="1"/>
  </r>
  <r>
    <d v="2026-08-14T13:38:47"/>
    <s v="19001554"/>
    <x v="6"/>
    <x v="6"/>
    <n v="36"/>
    <m/>
    <n v="36"/>
    <s v="20270205150000"/>
    <s v="디캔팅"/>
    <s v="입고"/>
    <s v="작업완료"/>
    <s v="1003"/>
    <x v="5"/>
    <s v="2026-08-14 13:37:07"/>
    <s v="월수금"/>
    <x v="1"/>
  </r>
  <r>
    <d v="2026-08-14T13:38:45"/>
    <s v="19002587"/>
    <x v="6"/>
    <x v="6"/>
    <n v="36"/>
    <m/>
    <n v="36"/>
    <s v="20270205150000"/>
    <s v="디캔팅"/>
    <s v="입고"/>
    <s v="작업완료"/>
    <s v="1003"/>
    <x v="5"/>
    <s v="2026-08-14 13:37:03"/>
    <s v="월수금"/>
    <x v="1"/>
  </r>
  <r>
    <d v="2026-08-14T13:38:07"/>
    <s v="19001055"/>
    <x v="6"/>
    <x v="6"/>
    <n v="36"/>
    <m/>
    <n v="36"/>
    <s v="20270205150000"/>
    <s v="디캔팅"/>
    <s v="입고"/>
    <s v="작업완료"/>
    <s v="1003"/>
    <x v="5"/>
    <s v="2026-08-14 13:35:57"/>
    <s v="월수금"/>
    <x v="1"/>
  </r>
  <r>
    <d v="2026-08-14T13:37:29"/>
    <s v="19022871"/>
    <x v="6"/>
    <x v="6"/>
    <n v="36"/>
    <m/>
    <n v="36"/>
    <s v="20270205150000"/>
    <s v="디캔팅"/>
    <s v="입고"/>
    <s v="작업완료"/>
    <s v="1003"/>
    <x v="5"/>
    <s v="2026-08-14 13:35:53"/>
    <s v="월수금"/>
    <x v="1"/>
  </r>
  <r>
    <d v="2026-08-14T10:37:12"/>
    <s v="19010150"/>
    <x v="6"/>
    <x v="6"/>
    <n v="36"/>
    <m/>
    <n v="36"/>
    <s v="20270205150000"/>
    <s v="디캔팅"/>
    <s v="입고"/>
    <s v="작업완료"/>
    <s v="1014"/>
    <x v="10"/>
    <s v="2026-08-14 10:35:02"/>
    <s v="월수금"/>
    <x v="1"/>
  </r>
  <r>
    <d v="2026-08-14T10:36:53"/>
    <s v="19019568"/>
    <x v="6"/>
    <x v="6"/>
    <n v="36"/>
    <m/>
    <n v="36"/>
    <s v="20270205150000"/>
    <s v="디캔팅"/>
    <s v="입고"/>
    <s v="작업완료"/>
    <s v="1014"/>
    <x v="10"/>
    <s v="2026-08-14 10:34:36"/>
    <s v="월수금"/>
    <x v="1"/>
  </r>
  <r>
    <d v="2026-08-14T10:36:26"/>
    <s v="19006107"/>
    <x v="6"/>
    <x v="6"/>
    <n v="36"/>
    <m/>
    <n v="36"/>
    <s v="20270205150000"/>
    <s v="디캔팅"/>
    <s v="입고"/>
    <s v="작업완료"/>
    <s v="1014"/>
    <x v="10"/>
    <s v="2026-08-14 10:34:38"/>
    <s v="월수금"/>
    <x v="1"/>
  </r>
  <r>
    <d v="2026-08-14T10:35:14"/>
    <s v="19020064"/>
    <x v="6"/>
    <x v="6"/>
    <n v="36"/>
    <m/>
    <n v="36"/>
    <s v="20270205150000"/>
    <s v="디캔팅"/>
    <s v="입고"/>
    <s v="작업완료"/>
    <s v="1014"/>
    <x v="10"/>
    <s v="2026-08-14 10:33:05"/>
    <s v="월수금"/>
    <x v="1"/>
  </r>
  <r>
    <d v="2026-08-14T10:35:06"/>
    <s v="19009286"/>
    <x v="6"/>
    <x v="6"/>
    <n v="36"/>
    <m/>
    <n v="36"/>
    <s v="20270205150000"/>
    <s v="디캔팅"/>
    <s v="입고"/>
    <s v="작업완료"/>
    <s v="1014"/>
    <x v="10"/>
    <s v="2026-08-14 10:33:02"/>
    <s v="월수금"/>
    <x v="1"/>
  </r>
  <r>
    <d v="2026-08-14T10:33:33"/>
    <s v="19002299"/>
    <x v="6"/>
    <x v="6"/>
    <n v="36"/>
    <m/>
    <n v="36"/>
    <s v="20270205150000"/>
    <s v="디캔팅"/>
    <s v="입고"/>
    <s v="작업완료"/>
    <s v="1014"/>
    <x v="10"/>
    <s v="2026-08-14 10:31:24"/>
    <s v="월수금"/>
    <x v="1"/>
  </r>
  <r>
    <d v="2026-08-14T10:33:29"/>
    <s v="19022870"/>
    <x v="6"/>
    <x v="6"/>
    <n v="36"/>
    <m/>
    <n v="36"/>
    <s v="20270205150000"/>
    <s v="디캔팅"/>
    <s v="입고"/>
    <s v="작업완료"/>
    <s v="1014"/>
    <x v="10"/>
    <s v="2026-08-14 10:31:26"/>
    <s v="월수금"/>
    <x v="1"/>
  </r>
  <r>
    <d v="2026-08-14T10:32:58"/>
    <s v="19013027"/>
    <x v="6"/>
    <x v="6"/>
    <n v="36"/>
    <m/>
    <n v="36"/>
    <s v="20270205150000"/>
    <s v="디캔팅"/>
    <s v="입고"/>
    <s v="작업완료"/>
    <s v="1014"/>
    <x v="10"/>
    <s v="2026-08-14 10:30:28"/>
    <s v="월수금"/>
    <x v="1"/>
  </r>
  <r>
    <d v="2026-08-14T10:32:38"/>
    <s v="19001484"/>
    <x v="6"/>
    <x v="6"/>
    <n v="36"/>
    <m/>
    <n v="36"/>
    <s v="20270205150000"/>
    <s v="디캔팅"/>
    <s v="입고"/>
    <s v="작업완료"/>
    <s v="1014"/>
    <x v="10"/>
    <s v="2026-08-14 10:30:24"/>
    <s v="월수금"/>
    <x v="1"/>
  </r>
  <r>
    <d v="2026-08-14T10:31:55"/>
    <s v="19016153"/>
    <x v="6"/>
    <x v="6"/>
    <n v="36"/>
    <m/>
    <n v="36"/>
    <s v="20270205150000"/>
    <s v="디캔팅"/>
    <s v="입고"/>
    <s v="작업완료"/>
    <s v="1014"/>
    <x v="10"/>
    <s v="2026-08-14 10:29:28"/>
    <s v="월수금"/>
    <x v="1"/>
  </r>
  <r>
    <d v="2026-08-14T10:31:53"/>
    <s v="19006249"/>
    <x v="6"/>
    <x v="6"/>
    <n v="36"/>
    <m/>
    <n v="36"/>
    <s v="20270205150000"/>
    <s v="디캔팅"/>
    <s v="입고"/>
    <s v="작업완료"/>
    <s v="1014"/>
    <x v="10"/>
    <s v="2026-08-14 10:29:31"/>
    <s v="월수금"/>
    <x v="1"/>
  </r>
  <r>
    <d v="2026-08-14T10:31:24"/>
    <s v="19011133"/>
    <x v="6"/>
    <x v="6"/>
    <n v="36"/>
    <m/>
    <n v="36"/>
    <s v="20270205150000"/>
    <s v="디캔팅"/>
    <s v="입고"/>
    <s v="작업완료"/>
    <s v="1014"/>
    <x v="10"/>
    <s v="2026-08-14 10:29:25"/>
    <s v="월수금"/>
    <x v="1"/>
  </r>
  <r>
    <d v="2026-08-14T10:30:18"/>
    <s v="19004338"/>
    <x v="6"/>
    <x v="6"/>
    <n v="36"/>
    <m/>
    <n v="36"/>
    <s v="20270205150000"/>
    <s v="디캔팅"/>
    <s v="입고"/>
    <s v="작업완료"/>
    <s v="1014"/>
    <x v="10"/>
    <s v="2026-08-14 10:28:12"/>
    <s v="월수금"/>
    <x v="1"/>
  </r>
  <r>
    <d v="2026-08-14T10:29:51"/>
    <s v="19018340"/>
    <x v="6"/>
    <x v="6"/>
    <n v="36"/>
    <m/>
    <n v="36"/>
    <s v="20270205150000"/>
    <s v="디캔팅"/>
    <s v="입고"/>
    <s v="작업완료"/>
    <s v="1014"/>
    <x v="10"/>
    <s v="2026-08-14 10:27:35"/>
    <s v="월수금"/>
    <x v="1"/>
  </r>
  <r>
    <d v="2026-08-14T10:29:41"/>
    <s v="19009443"/>
    <x v="6"/>
    <x v="6"/>
    <n v="36"/>
    <m/>
    <n v="36"/>
    <s v="20270205150000"/>
    <s v="디캔팅"/>
    <s v="입고"/>
    <s v="작업완료"/>
    <s v="1014"/>
    <x v="10"/>
    <s v="2026-08-14 10:27:32"/>
    <s v="월수금"/>
    <x v="1"/>
  </r>
  <r>
    <d v="2026-08-14T10:29:27"/>
    <s v="19021717"/>
    <x v="6"/>
    <x v="6"/>
    <n v="36"/>
    <m/>
    <n v="36"/>
    <s v="20270205150000"/>
    <s v="디캔팅"/>
    <s v="입고"/>
    <s v="작업완료"/>
    <s v="1014"/>
    <x v="10"/>
    <s v="2026-08-14 10:27:00"/>
    <s v="월수금"/>
    <x v="1"/>
  </r>
  <r>
    <d v="2026-08-14T10:28:36"/>
    <s v="19023544"/>
    <x v="6"/>
    <x v="6"/>
    <n v="36"/>
    <m/>
    <n v="36"/>
    <s v="20270205150000"/>
    <s v="디캔팅"/>
    <s v="입고"/>
    <s v="작업완료"/>
    <s v="1014"/>
    <x v="10"/>
    <s v="2026-08-14 10:26:17"/>
    <s v="월수금"/>
    <x v="1"/>
  </r>
  <r>
    <d v="2026-08-14T10:28:16"/>
    <s v="19006354"/>
    <x v="6"/>
    <x v="6"/>
    <n v="36"/>
    <m/>
    <n v="36"/>
    <s v="20270205150000"/>
    <s v="디캔팅"/>
    <s v="입고"/>
    <s v="작업완료"/>
    <s v="1014"/>
    <x v="10"/>
    <s v="2026-08-14 10:26:15"/>
    <s v="월수금"/>
    <x v="1"/>
  </r>
  <r>
    <d v="2026-08-14T10:28:03"/>
    <s v="19021211"/>
    <x v="6"/>
    <x v="6"/>
    <n v="36"/>
    <m/>
    <n v="36"/>
    <s v="20270205150000"/>
    <s v="디캔팅"/>
    <s v="입고"/>
    <s v="작업완료"/>
    <s v="1014"/>
    <x v="10"/>
    <s v="2026-08-14 10:25:35"/>
    <s v="월수금"/>
    <x v="1"/>
  </r>
  <r>
    <d v="2026-08-14T10:28:02"/>
    <s v="19002825"/>
    <x v="6"/>
    <x v="6"/>
    <n v="36"/>
    <m/>
    <n v="36"/>
    <s v="20270205150000"/>
    <s v="디캔팅"/>
    <s v="입고"/>
    <s v="작업완료"/>
    <s v="1014"/>
    <x v="10"/>
    <s v="2026-08-14 10:25:39"/>
    <s v="월수금"/>
    <x v="1"/>
  </r>
  <r>
    <d v="2026-08-14T07:14:08"/>
    <s v="19011748"/>
    <x v="6"/>
    <x v="6"/>
    <n v="36"/>
    <m/>
    <n v="36"/>
    <s v="20270206000000"/>
    <s v="디캔팅"/>
    <s v="입고"/>
    <s v="작업완료"/>
    <s v="1010"/>
    <x v="7"/>
    <s v="2026-08-14 07:12:08"/>
    <s v="월수금"/>
    <x v="1"/>
  </r>
  <r>
    <d v="2026-08-14T07:14:03"/>
    <s v="19010036"/>
    <x v="6"/>
    <x v="6"/>
    <n v="36"/>
    <m/>
    <n v="36"/>
    <s v="20270206000000"/>
    <s v="디캔팅"/>
    <s v="입고"/>
    <s v="작업완료"/>
    <s v="1010"/>
    <x v="7"/>
    <s v="2026-08-14 07:12:14"/>
    <s v="월수금"/>
    <x v="1"/>
  </r>
  <r>
    <d v="2026-08-14T07:13:51"/>
    <s v="19002854"/>
    <x v="6"/>
    <x v="6"/>
    <n v="36"/>
    <m/>
    <n v="36"/>
    <s v="20270206000000"/>
    <s v="디캔팅"/>
    <s v="입고"/>
    <s v="작업완료"/>
    <s v="1010"/>
    <x v="7"/>
    <s v="2026-08-14 07:12:01"/>
    <s v="월수금"/>
    <x v="1"/>
  </r>
  <r>
    <d v="2026-08-14T07:12:16"/>
    <s v="19006062"/>
    <x v="6"/>
    <x v="6"/>
    <n v="36"/>
    <m/>
    <n v="36"/>
    <s v="20270206000000"/>
    <s v="디캔팅"/>
    <s v="입고"/>
    <s v="작업완료"/>
    <s v="1010"/>
    <x v="7"/>
    <s v="2026-08-14 07:10:09"/>
    <s v="월수금"/>
    <x v="1"/>
  </r>
  <r>
    <d v="2026-08-14T07:11:59"/>
    <s v="19020618"/>
    <x v="6"/>
    <x v="6"/>
    <n v="36"/>
    <m/>
    <n v="36"/>
    <s v="20270206000000"/>
    <s v="디캔팅"/>
    <s v="입고"/>
    <s v="작업완료"/>
    <s v="1010"/>
    <x v="7"/>
    <s v="2026-08-14 07:09:50"/>
    <s v="월수금"/>
    <x v="1"/>
  </r>
  <r>
    <d v="2026-08-14T07:11:41"/>
    <s v="19012795"/>
    <x v="6"/>
    <x v="6"/>
    <n v="36"/>
    <m/>
    <n v="36"/>
    <s v="20270206000000"/>
    <s v="디캔팅"/>
    <s v="입고"/>
    <s v="작업완료"/>
    <s v="1010"/>
    <x v="7"/>
    <s v="2026-08-14 07:10:02"/>
    <s v="월수금"/>
    <x v="1"/>
  </r>
  <r>
    <d v="2026-08-14T07:09:50"/>
    <s v="19013514"/>
    <x v="6"/>
    <x v="6"/>
    <n v="36"/>
    <m/>
    <n v="36"/>
    <s v="20270206000000"/>
    <s v="디캔팅"/>
    <s v="입고"/>
    <s v="작업완료"/>
    <s v="1010"/>
    <x v="7"/>
    <s v="2026-08-14 07:07:50"/>
    <s v="월수금"/>
    <x v="1"/>
  </r>
  <r>
    <d v="2026-08-14T07:09:44"/>
    <s v="19000516"/>
    <x v="6"/>
    <x v="6"/>
    <n v="36"/>
    <m/>
    <n v="36"/>
    <s v="20270206000000"/>
    <s v="디캔팅"/>
    <s v="입고"/>
    <s v="작업완료"/>
    <s v="1010"/>
    <x v="7"/>
    <s v="2026-08-14 07:08:00"/>
    <s v="월수금"/>
    <x v="1"/>
  </r>
  <r>
    <d v="2026-08-14T07:09:37"/>
    <s v="19020306"/>
    <x v="6"/>
    <x v="6"/>
    <n v="36"/>
    <m/>
    <n v="36"/>
    <s v="20270206000000"/>
    <s v="디캔팅"/>
    <s v="입고"/>
    <s v="작업완료"/>
    <s v="1010"/>
    <x v="7"/>
    <s v="2026-08-14 07:07:55"/>
    <s v="월수금"/>
    <x v="1"/>
  </r>
  <r>
    <d v="2026-08-14T07:07:25"/>
    <s v="19013422"/>
    <x v="6"/>
    <x v="6"/>
    <n v="36"/>
    <m/>
    <n v="36"/>
    <s v="20270206000000"/>
    <s v="디캔팅"/>
    <s v="입고"/>
    <s v="작업완료"/>
    <s v="1010"/>
    <x v="7"/>
    <s v="2026-08-14 07:05:29"/>
    <s v="월수금"/>
    <x v="1"/>
  </r>
  <r>
    <d v="2026-08-14T07:07:12"/>
    <s v="19009342"/>
    <x v="6"/>
    <x v="6"/>
    <n v="36"/>
    <m/>
    <n v="36"/>
    <s v="20270206000000"/>
    <s v="디캔팅"/>
    <s v="입고"/>
    <s v="작업완료"/>
    <s v="1010"/>
    <x v="7"/>
    <s v="2026-08-14 07:05:16"/>
    <s v="월수금"/>
    <x v="1"/>
  </r>
  <r>
    <d v="2026-08-14T07:06:58"/>
    <s v="19016881"/>
    <x v="6"/>
    <x v="6"/>
    <n v="36"/>
    <m/>
    <n v="36"/>
    <s v="20270206000000"/>
    <s v="디캔팅"/>
    <s v="입고"/>
    <s v="작업완료"/>
    <s v="1010"/>
    <x v="7"/>
    <s v="2026-08-14 07:05:20"/>
    <s v="월수금"/>
    <x v="1"/>
  </r>
  <r>
    <d v="2026-08-14T07:05:23"/>
    <s v="19009697"/>
    <x v="6"/>
    <x v="6"/>
    <n v="36"/>
    <m/>
    <n v="36"/>
    <s v="20270206000000"/>
    <s v="디캔팅"/>
    <s v="입고"/>
    <s v="작업완료"/>
    <s v="1010"/>
    <x v="7"/>
    <s v="2026-08-14 07:03:12"/>
    <s v="월수금"/>
    <x v="1"/>
  </r>
  <r>
    <d v="2026-08-14T07:05:09"/>
    <s v="19010000"/>
    <x v="6"/>
    <x v="6"/>
    <n v="36"/>
    <m/>
    <n v="36"/>
    <s v="20270206000000"/>
    <s v="디캔팅"/>
    <s v="입고"/>
    <s v="작업완료"/>
    <s v="1010"/>
    <x v="7"/>
    <s v="2026-08-14 07:02:57"/>
    <s v="월수금"/>
    <x v="1"/>
  </r>
  <r>
    <d v="2026-08-14T07:04:56"/>
    <s v="19014381"/>
    <x v="6"/>
    <x v="6"/>
    <n v="36"/>
    <m/>
    <n v="36"/>
    <s v="20270206000000"/>
    <s v="디캔팅"/>
    <s v="입고"/>
    <s v="작업완료"/>
    <s v="1010"/>
    <x v="7"/>
    <s v="2026-08-14 07:03:03"/>
    <s v="월수금"/>
    <x v="1"/>
  </r>
  <r>
    <d v="2026-08-14T07:02:08"/>
    <s v="19012691"/>
    <x v="6"/>
    <x v="6"/>
    <n v="36"/>
    <m/>
    <n v="36"/>
    <s v="20270206000000"/>
    <s v="디캔팅"/>
    <s v="입고"/>
    <s v="작업완료"/>
    <s v="1010"/>
    <x v="7"/>
    <s v="2026-08-14 07:00:12"/>
    <s v="월수금"/>
    <x v="1"/>
  </r>
  <r>
    <d v="2026-08-14T07:01:59"/>
    <s v="19008341"/>
    <x v="6"/>
    <x v="6"/>
    <n v="36"/>
    <m/>
    <n v="36"/>
    <s v="20270206000000"/>
    <s v="디캔팅"/>
    <s v="입고"/>
    <s v="작업완료"/>
    <s v="1010"/>
    <x v="7"/>
    <s v="2026-08-14 06:59:50"/>
    <s v="월수금"/>
    <x v="1"/>
  </r>
  <r>
    <d v="2026-08-14T07:01:46"/>
    <s v="19002215"/>
    <x v="6"/>
    <x v="6"/>
    <n v="36"/>
    <m/>
    <n v="36"/>
    <s v="20270206000000"/>
    <s v="디캔팅"/>
    <s v="입고"/>
    <s v="작업완료"/>
    <s v="1010"/>
    <x v="7"/>
    <s v="2026-08-14 06:59:41"/>
    <s v="월수금"/>
    <x v="1"/>
  </r>
  <r>
    <d v="2026-08-14T06:59:33"/>
    <s v="19023160"/>
    <x v="6"/>
    <x v="6"/>
    <n v="36"/>
    <m/>
    <n v="36"/>
    <s v="20270206000000"/>
    <s v="디캔팅"/>
    <s v="입고"/>
    <s v="작업완료"/>
    <s v="1010"/>
    <x v="7"/>
    <s v="2026-08-14 06:57:27"/>
    <s v="월수금"/>
    <x v="1"/>
  </r>
  <r>
    <d v="2026-08-14T06:59:22"/>
    <s v="19014034"/>
    <x v="6"/>
    <x v="6"/>
    <n v="36"/>
    <m/>
    <n v="36"/>
    <s v="20270206000000"/>
    <s v="디캔팅"/>
    <s v="입고"/>
    <s v="작업완료"/>
    <s v="1010"/>
    <x v="7"/>
    <s v="2026-08-14 06:57:34"/>
    <s v="월수금"/>
    <x v="1"/>
  </r>
  <r>
    <d v="2026-08-14T06:58:55"/>
    <s v="19012714"/>
    <x v="6"/>
    <x v="6"/>
    <n v="36"/>
    <m/>
    <n v="36"/>
    <s v="20270206000000"/>
    <s v="디캔팅"/>
    <s v="입고"/>
    <s v="작업완료"/>
    <s v="1010"/>
    <x v="7"/>
    <s v="2026-08-14 06:57:20"/>
    <s v="월수금"/>
    <x v="1"/>
  </r>
  <r>
    <d v="2026-08-14T06:57:06"/>
    <s v="19020639"/>
    <x v="6"/>
    <x v="6"/>
    <n v="36"/>
    <m/>
    <n v="36"/>
    <s v="20270206000000"/>
    <s v="디캔팅"/>
    <s v="입고"/>
    <s v="작업완료"/>
    <s v="1010"/>
    <x v="7"/>
    <s v="2026-08-14 06:55:07"/>
    <s v="월수금"/>
    <x v="1"/>
  </r>
  <r>
    <d v="2026-08-14T06:56:55"/>
    <s v="19013981"/>
    <x v="6"/>
    <x v="6"/>
    <n v="36"/>
    <m/>
    <n v="36"/>
    <s v="20270206000000"/>
    <s v="디캔팅"/>
    <s v="입고"/>
    <s v="작업완료"/>
    <s v="1010"/>
    <x v="7"/>
    <s v="2026-08-14 06:54:51"/>
    <s v="월수금"/>
    <x v="1"/>
  </r>
  <r>
    <d v="2026-08-14T06:56:28"/>
    <s v="19008317"/>
    <x v="6"/>
    <x v="6"/>
    <n v="36"/>
    <m/>
    <n v="36"/>
    <s v="20270206000000"/>
    <s v="디캔팅"/>
    <s v="입고"/>
    <s v="작업완료"/>
    <s v="1010"/>
    <x v="7"/>
    <s v="2026-08-14 06:54:47"/>
    <s v="월수금"/>
    <x v="1"/>
  </r>
  <r>
    <d v="2026-08-14T06:54:40"/>
    <s v="19021513"/>
    <x v="6"/>
    <x v="6"/>
    <n v="36"/>
    <m/>
    <n v="36"/>
    <s v="20270206000000"/>
    <s v="디캔팅"/>
    <s v="입고"/>
    <s v="작업완료"/>
    <s v="1010"/>
    <x v="7"/>
    <s v="2026-08-14 06:52:36"/>
    <s v="월수금"/>
    <x v="1"/>
  </r>
  <r>
    <d v="2026-08-14T06:54:34"/>
    <s v="19003978"/>
    <x v="6"/>
    <x v="6"/>
    <n v="36"/>
    <m/>
    <n v="36"/>
    <s v="20270206000000"/>
    <s v="디캔팅"/>
    <s v="입고"/>
    <s v="작업완료"/>
    <s v="1010"/>
    <x v="7"/>
    <s v="2026-08-14 06:52:52"/>
    <s v="월수금"/>
    <x v="1"/>
  </r>
  <r>
    <d v="2026-08-14T06:54:34"/>
    <s v="19016558"/>
    <x v="6"/>
    <x v="6"/>
    <n v="36"/>
    <m/>
    <n v="36"/>
    <s v="20270206000000"/>
    <s v="디캔팅"/>
    <s v="입고"/>
    <s v="작업완료"/>
    <s v="1010"/>
    <x v="7"/>
    <s v="2026-08-14 06:52:44"/>
    <s v="월수금"/>
    <x v="1"/>
  </r>
  <r>
    <d v="2026-08-14T06:51:27"/>
    <s v="19029824"/>
    <x v="6"/>
    <x v="6"/>
    <n v="36"/>
    <m/>
    <n v="36"/>
    <s v="20270206000000"/>
    <s v="디캔팅"/>
    <s v="입고"/>
    <s v="작업완료"/>
    <s v="1010"/>
    <x v="7"/>
    <s v="2026-08-14 06:49:35"/>
    <s v="월수금"/>
    <x v="1"/>
  </r>
  <r>
    <d v="2026-08-14T06:51:24"/>
    <s v="19000975"/>
    <x v="6"/>
    <x v="6"/>
    <n v="36"/>
    <m/>
    <n v="36"/>
    <s v="20270206000000"/>
    <s v="디캔팅"/>
    <s v="입고"/>
    <s v="작업완료"/>
    <s v="1010"/>
    <x v="7"/>
    <s v="2026-08-14 06:49:28"/>
    <s v="월수금"/>
    <x v="1"/>
  </r>
  <r>
    <d v="2026-08-14T06:51:18"/>
    <s v="19009397"/>
    <x v="6"/>
    <x v="6"/>
    <n v="36"/>
    <m/>
    <n v="36"/>
    <s v="20270206000000"/>
    <s v="디캔팅"/>
    <s v="입고"/>
    <s v="작업완료"/>
    <s v="1010"/>
    <x v="7"/>
    <s v="2026-08-14 06:49:21"/>
    <s v="월수금"/>
    <x v="1"/>
  </r>
  <r>
    <d v="2026-08-14T06:49:03"/>
    <s v="19010363"/>
    <x v="6"/>
    <x v="6"/>
    <n v="36"/>
    <m/>
    <n v="36"/>
    <s v="20270206000000"/>
    <s v="디캔팅"/>
    <s v="입고"/>
    <s v="작업완료"/>
    <s v="1010"/>
    <x v="7"/>
    <s v="2026-08-14 06:47:06"/>
    <s v="월수금"/>
    <x v="1"/>
  </r>
  <r>
    <d v="2026-08-14T06:48:57"/>
    <s v="19013847"/>
    <x v="6"/>
    <x v="6"/>
    <n v="36"/>
    <m/>
    <n v="36"/>
    <s v="20270206000000"/>
    <s v="디캔팅"/>
    <s v="입고"/>
    <s v="작업완료"/>
    <s v="1010"/>
    <x v="7"/>
    <s v="2026-08-14 06:47:00"/>
    <s v="월수금"/>
    <x v="1"/>
  </r>
  <r>
    <d v="2026-08-14T06:48:49"/>
    <s v="19025563"/>
    <x v="6"/>
    <x v="6"/>
    <n v="36"/>
    <m/>
    <n v="36"/>
    <s v="20270206000000"/>
    <s v="디캔팅"/>
    <s v="입고"/>
    <s v="작업완료"/>
    <s v="1010"/>
    <x v="7"/>
    <s v="2026-08-14 06:46:56"/>
    <s v="월수금"/>
    <x v="1"/>
  </r>
  <r>
    <d v="2026-08-14T06:47:01"/>
    <s v="19021084"/>
    <x v="6"/>
    <x v="6"/>
    <n v="36"/>
    <m/>
    <n v="36"/>
    <s v="20270206000000"/>
    <s v="디캔팅"/>
    <s v="입고"/>
    <s v="작업완료"/>
    <s v="1010"/>
    <x v="7"/>
    <s v="2026-08-14 06:45:00"/>
    <s v="월수금"/>
    <x v="1"/>
  </r>
  <r>
    <d v="2026-08-14T06:46:57"/>
    <s v="19019919"/>
    <x v="6"/>
    <x v="6"/>
    <n v="36"/>
    <m/>
    <n v="36"/>
    <s v="20270206000000"/>
    <s v="디캔팅"/>
    <s v="입고"/>
    <s v="작업완료"/>
    <s v="1010"/>
    <x v="7"/>
    <s v="2026-08-14 06:45:05"/>
    <s v="월수금"/>
    <x v="1"/>
  </r>
  <r>
    <d v="2026-08-12T18:51:35"/>
    <s v="19027328"/>
    <x v="6"/>
    <x v="6"/>
    <n v="36"/>
    <m/>
    <n v="36"/>
    <s v="20270205150000"/>
    <s v="디캔팅"/>
    <s v="입고"/>
    <s v="작업완료"/>
    <s v="1005"/>
    <x v="2"/>
    <s v="2026-08-12 18:48:13"/>
    <s v="월수금"/>
    <x v="2"/>
  </r>
  <r>
    <d v="2026-08-12T18:51:19"/>
    <s v="19019350"/>
    <x v="6"/>
    <x v="6"/>
    <n v="36"/>
    <m/>
    <n v="36"/>
    <s v="20270205150000"/>
    <s v="디캔팅"/>
    <s v="입고"/>
    <s v="작업완료"/>
    <s v="1005"/>
    <x v="2"/>
    <s v="2026-08-12 18:49:22"/>
    <s v="월수금"/>
    <x v="2"/>
  </r>
  <r>
    <d v="2026-08-12T18:50:42"/>
    <s v="19009095"/>
    <x v="6"/>
    <x v="6"/>
    <n v="36"/>
    <m/>
    <n v="36"/>
    <s v="20270205150000"/>
    <s v="디캔팅"/>
    <s v="입고"/>
    <s v="작업완료"/>
    <s v="1005"/>
    <x v="2"/>
    <s v="2026-08-12 18:49:17"/>
    <s v="월수금"/>
    <x v="2"/>
  </r>
  <r>
    <d v="2026-08-12T18:50:32"/>
    <s v="19016632"/>
    <x v="6"/>
    <x v="6"/>
    <n v="36"/>
    <m/>
    <n v="36"/>
    <s v="20270205150000"/>
    <s v="디캔팅"/>
    <s v="입고"/>
    <s v="작업완료"/>
    <s v="1005"/>
    <x v="2"/>
    <s v="2026-08-12 18:46:03"/>
    <s v="월수금"/>
    <x v="2"/>
  </r>
  <r>
    <d v="2026-08-12T18:49:51"/>
    <s v="19008999"/>
    <x v="6"/>
    <x v="6"/>
    <n v="36"/>
    <m/>
    <n v="36"/>
    <s v="20270205150000"/>
    <s v="디캔팅"/>
    <s v="입고"/>
    <s v="작업완료"/>
    <s v="1005"/>
    <x v="2"/>
    <s v="2026-08-12 18:48:04"/>
    <s v="월수금"/>
    <x v="2"/>
  </r>
  <r>
    <d v="2026-08-12T18:49:29"/>
    <s v="19010642"/>
    <x v="6"/>
    <x v="6"/>
    <n v="36"/>
    <m/>
    <n v="36"/>
    <s v="20270205150000"/>
    <s v="디캔팅"/>
    <s v="입고"/>
    <s v="작업완료"/>
    <s v="1005"/>
    <x v="2"/>
    <s v="2026-08-12 18:47:59"/>
    <s v="월수금"/>
    <x v="2"/>
  </r>
  <r>
    <d v="2026-08-12T18:47:57"/>
    <s v="19001812"/>
    <x v="6"/>
    <x v="6"/>
    <n v="36"/>
    <m/>
    <n v="36"/>
    <s v="20270205150000"/>
    <s v="디캔팅"/>
    <s v="입고"/>
    <s v="작업완료"/>
    <s v="1005"/>
    <x v="2"/>
    <s v="2026-08-12 18:46:13"/>
    <s v="월수금"/>
    <x v="2"/>
  </r>
  <r>
    <d v="2026-08-12T18:47:46"/>
    <s v="19008788"/>
    <x v="6"/>
    <x v="6"/>
    <n v="36"/>
    <m/>
    <n v="36"/>
    <s v="20270205150000"/>
    <s v="디캔팅"/>
    <s v="입고"/>
    <s v="작업완료"/>
    <s v="1005"/>
    <x v="2"/>
    <s v="2026-08-12 18:46:09"/>
    <s v="월수금"/>
    <x v="2"/>
  </r>
  <r>
    <d v="2026-08-12T18:46:10"/>
    <s v="19000069"/>
    <x v="6"/>
    <x v="6"/>
    <n v="36"/>
    <m/>
    <n v="36"/>
    <s v="20270205150000"/>
    <s v="디캔팅"/>
    <s v="입고"/>
    <s v="작업완료"/>
    <s v="1005"/>
    <x v="2"/>
    <s v="2026-08-12 18:44:02"/>
    <s v="월수금"/>
    <x v="2"/>
  </r>
  <r>
    <d v="2026-08-12T18:45:57"/>
    <s v="19006409"/>
    <x v="6"/>
    <x v="6"/>
    <n v="36"/>
    <m/>
    <n v="36"/>
    <s v="20270205150000"/>
    <s v="디캔팅"/>
    <s v="입고"/>
    <s v="작업완료"/>
    <s v="1005"/>
    <x v="2"/>
    <s v="2026-08-12 18:44:08"/>
    <s v="월수금"/>
    <x v="2"/>
  </r>
  <r>
    <d v="2026-08-12T18:45:50"/>
    <s v="19000310"/>
    <x v="6"/>
    <x v="6"/>
    <n v="36"/>
    <m/>
    <n v="36"/>
    <s v="20270205150000"/>
    <s v="디캔팅"/>
    <s v="입고"/>
    <s v="작업완료"/>
    <s v="1005"/>
    <x v="2"/>
    <s v="2026-08-12 18:43:55"/>
    <s v="월수금"/>
    <x v="2"/>
  </r>
  <r>
    <d v="2026-08-12T18:43:46"/>
    <s v="19000762"/>
    <x v="6"/>
    <x v="6"/>
    <n v="36"/>
    <m/>
    <n v="36"/>
    <s v="20270205150000"/>
    <s v="디캔팅"/>
    <s v="입고"/>
    <s v="작업완료"/>
    <s v="1005"/>
    <x v="2"/>
    <s v="2026-08-12 18:41:50"/>
    <s v="월수금"/>
    <x v="2"/>
  </r>
  <r>
    <d v="2026-08-12T18:43:38"/>
    <s v="19003403"/>
    <x v="6"/>
    <x v="6"/>
    <n v="36"/>
    <m/>
    <n v="36"/>
    <s v="20270205150000"/>
    <s v="디캔팅"/>
    <s v="입고"/>
    <s v="작업완료"/>
    <s v="1005"/>
    <x v="2"/>
    <s v="2026-08-12 18:41:59"/>
    <s v="월수금"/>
    <x v="2"/>
  </r>
  <r>
    <d v="2026-08-12T18:43:25"/>
    <s v="19001248"/>
    <x v="6"/>
    <x v="6"/>
    <n v="36"/>
    <m/>
    <n v="36"/>
    <s v="20270205150000"/>
    <s v="디캔팅"/>
    <s v="입고"/>
    <s v="작업완료"/>
    <s v="1005"/>
    <x v="2"/>
    <s v="2026-08-12 18:41:54"/>
    <s v="월수금"/>
    <x v="2"/>
  </r>
  <r>
    <d v="2026-08-12T18:43:00"/>
    <s v="19017336"/>
    <x v="6"/>
    <x v="6"/>
    <n v="36"/>
    <m/>
    <n v="36"/>
    <s v="20270205150000"/>
    <s v="디캔팅"/>
    <s v="입고"/>
    <s v="작업완료"/>
    <s v="1005"/>
    <x v="2"/>
    <s v="2026-08-12 18:40:15"/>
    <s v="월수금"/>
    <x v="2"/>
  </r>
  <r>
    <d v="2026-08-12T18:42:45"/>
    <s v="19000202"/>
    <x v="6"/>
    <x v="6"/>
    <n v="36"/>
    <m/>
    <n v="36"/>
    <s v="20270205150000"/>
    <s v="디캔팅"/>
    <s v="입고"/>
    <s v="작업완료"/>
    <s v="1005"/>
    <x v="2"/>
    <s v="2026-08-12 18:40:05"/>
    <s v="월수금"/>
    <x v="2"/>
  </r>
  <r>
    <d v="2026-08-12T18:42:20"/>
    <s v="19013464"/>
    <x v="6"/>
    <x v="6"/>
    <n v="36"/>
    <m/>
    <n v="36"/>
    <s v="20270205150000"/>
    <s v="디캔팅"/>
    <s v="입고"/>
    <s v="작업완료"/>
    <s v="1005"/>
    <x v="2"/>
    <s v="2026-08-12 18:40:01"/>
    <s v="월수금"/>
    <x v="2"/>
  </r>
  <r>
    <d v="2026-08-12T18:39:45"/>
    <s v="19000342"/>
    <x v="6"/>
    <x v="6"/>
    <n v="36"/>
    <m/>
    <n v="36"/>
    <s v="20270205150000"/>
    <s v="디캔팅"/>
    <s v="입고"/>
    <s v="작업완료"/>
    <s v="1005"/>
    <x v="2"/>
    <s v="2026-08-12 18:37:59"/>
    <s v="월수금"/>
    <x v="2"/>
  </r>
  <r>
    <d v="2026-08-12T18:39:41"/>
    <s v="19029316"/>
    <x v="6"/>
    <x v="6"/>
    <n v="36"/>
    <m/>
    <n v="36"/>
    <s v="20270205150000"/>
    <s v="디캔팅"/>
    <s v="입고"/>
    <s v="작업완료"/>
    <s v="1005"/>
    <x v="2"/>
    <s v="2026-08-12 18:38:10"/>
    <s v="월수금"/>
    <x v="2"/>
  </r>
  <r>
    <d v="2026-08-12T18:39:24"/>
    <s v="19022415"/>
    <x v="6"/>
    <x v="6"/>
    <n v="36"/>
    <m/>
    <n v="36"/>
    <s v="20270205150000"/>
    <s v="디캔팅"/>
    <s v="입고"/>
    <s v="작업완료"/>
    <s v="1005"/>
    <x v="2"/>
    <s v="2026-08-12 18:38:05"/>
    <s v="월수금"/>
    <x v="2"/>
  </r>
  <r>
    <d v="2026-08-12T18:38:13"/>
    <s v="19004711"/>
    <x v="6"/>
    <x v="6"/>
    <n v="36"/>
    <m/>
    <n v="36"/>
    <s v="20270205150000"/>
    <s v="디캔팅"/>
    <s v="입고"/>
    <s v="작업완료"/>
    <s v="1005"/>
    <x v="2"/>
    <s v="2026-08-12 18:36:16"/>
    <s v="월수금"/>
    <x v="2"/>
  </r>
  <r>
    <d v="2026-08-12T18:38:02"/>
    <s v="19009293"/>
    <x v="6"/>
    <x v="6"/>
    <n v="36"/>
    <m/>
    <n v="36"/>
    <s v="20270205150000"/>
    <s v="디캔팅"/>
    <s v="입고"/>
    <s v="작업완료"/>
    <s v="1005"/>
    <x v="2"/>
    <s v="2026-08-12 18:36:11"/>
    <s v="월수금"/>
    <x v="2"/>
  </r>
  <r>
    <d v="2026-08-12T18:37:46"/>
    <s v="19028366"/>
    <x v="6"/>
    <x v="6"/>
    <n v="36"/>
    <m/>
    <n v="36"/>
    <s v="20270205150000"/>
    <s v="디캔팅"/>
    <s v="입고"/>
    <s v="작업완료"/>
    <s v="1005"/>
    <x v="2"/>
    <s v="2026-08-12 18:36:22"/>
    <s v="월수금"/>
    <x v="2"/>
  </r>
  <r>
    <d v="2026-08-12T18:36:15"/>
    <s v="19004587"/>
    <x v="6"/>
    <x v="6"/>
    <n v="36"/>
    <m/>
    <n v="36"/>
    <s v="20270205150000"/>
    <s v="디캔팅"/>
    <s v="입고"/>
    <s v="작업완료"/>
    <s v="1005"/>
    <x v="2"/>
    <s v="2026-08-12 18:34:11"/>
    <s v="월수금"/>
    <x v="2"/>
  </r>
  <r>
    <d v="2026-08-12T18:35:52"/>
    <s v="19008018"/>
    <x v="6"/>
    <x v="6"/>
    <n v="36"/>
    <m/>
    <n v="36"/>
    <s v="20270205150000"/>
    <s v="디캔팅"/>
    <s v="입고"/>
    <s v="작업완료"/>
    <s v="1005"/>
    <x v="2"/>
    <s v="2026-08-12 18:34:17"/>
    <s v="월수금"/>
    <x v="2"/>
  </r>
  <r>
    <d v="2026-08-12T18:35:35"/>
    <s v="19002011"/>
    <x v="6"/>
    <x v="6"/>
    <n v="36"/>
    <m/>
    <n v="36"/>
    <s v="20270205150000"/>
    <s v="디캔팅"/>
    <s v="입고"/>
    <s v="작업완료"/>
    <s v="1005"/>
    <x v="2"/>
    <s v="2026-08-12 18:34:06"/>
    <s v="월수금"/>
    <x v="2"/>
  </r>
  <r>
    <d v="2026-08-12T18:34:07"/>
    <s v="19016779"/>
    <x v="6"/>
    <x v="6"/>
    <n v="36"/>
    <m/>
    <n v="36"/>
    <s v="20270205150000"/>
    <s v="디캔팅"/>
    <s v="입고"/>
    <s v="작업완료"/>
    <s v="1005"/>
    <x v="2"/>
    <s v="2026-08-12 18:32:00"/>
    <s v="월수금"/>
    <x v="2"/>
  </r>
  <r>
    <d v="2026-08-12T18:33:53"/>
    <s v="19016169"/>
    <x v="6"/>
    <x v="6"/>
    <n v="36"/>
    <m/>
    <n v="36"/>
    <s v="20270205150000"/>
    <s v="디캔팅"/>
    <s v="입고"/>
    <s v="작업완료"/>
    <s v="1005"/>
    <x v="2"/>
    <s v="2026-08-12 18:31:55"/>
    <s v="월수금"/>
    <x v="2"/>
  </r>
  <r>
    <d v="2026-08-12T18:33:39"/>
    <s v="19024340"/>
    <x v="6"/>
    <x v="6"/>
    <n v="36"/>
    <m/>
    <n v="36"/>
    <s v="20270205150000"/>
    <s v="디캔팅"/>
    <s v="입고"/>
    <s v="작업완료"/>
    <s v="1005"/>
    <x v="2"/>
    <s v="2026-08-12 18:32:07"/>
    <s v="월수금"/>
    <x v="2"/>
  </r>
  <r>
    <d v="2026-08-12T18:32:12"/>
    <s v="19006622"/>
    <x v="6"/>
    <x v="6"/>
    <n v="36"/>
    <m/>
    <n v="36"/>
    <s v="20270205150000"/>
    <s v="디캔팅"/>
    <s v="입고"/>
    <s v="작업완료"/>
    <s v="1005"/>
    <x v="2"/>
    <s v="2026-08-12 18:30:17"/>
    <s v="월수금"/>
    <x v="2"/>
  </r>
  <r>
    <d v="2026-08-12T18:31:52"/>
    <s v="19013867"/>
    <x v="6"/>
    <x v="6"/>
    <n v="36"/>
    <m/>
    <n v="36"/>
    <s v="20270205150000"/>
    <s v="디캔팅"/>
    <s v="입고"/>
    <s v="작업완료"/>
    <s v="1005"/>
    <x v="2"/>
    <s v="2026-08-12 18:30:12"/>
    <s v="월수금"/>
    <x v="2"/>
  </r>
  <r>
    <d v="2026-08-12T18:31:21"/>
    <s v="19005161"/>
    <x v="6"/>
    <x v="6"/>
    <n v="36"/>
    <m/>
    <n v="36"/>
    <s v="20270205150000"/>
    <s v="디캔팅"/>
    <s v="입고"/>
    <s v="작업완료"/>
    <s v="1005"/>
    <x v="2"/>
    <s v="2026-08-12 18:30:05"/>
    <s v="월수금"/>
    <x v="2"/>
  </r>
  <r>
    <d v="2026-08-12T18:31:07"/>
    <s v="19007214"/>
    <x v="6"/>
    <x v="6"/>
    <n v="36"/>
    <m/>
    <n v="36"/>
    <s v="20270205150000"/>
    <s v="디캔팅"/>
    <s v="입고"/>
    <s v="작업완료"/>
    <s v="1005"/>
    <x v="2"/>
    <s v="2026-08-12 18:28:27"/>
    <s v="월수금"/>
    <x v="2"/>
  </r>
  <r>
    <d v="2026-08-12T18:30:41"/>
    <s v="19004543"/>
    <x v="6"/>
    <x v="6"/>
    <n v="36"/>
    <m/>
    <n v="36"/>
    <s v="20270205150000"/>
    <s v="디캔팅"/>
    <s v="입고"/>
    <s v="작업완료"/>
    <s v="1005"/>
    <x v="2"/>
    <s v="2026-08-12 18:28:32"/>
    <s v="월수금"/>
    <x v="2"/>
  </r>
  <r>
    <d v="2026-08-12T18:30:13"/>
    <s v="19011119"/>
    <x v="6"/>
    <x v="6"/>
    <n v="36"/>
    <m/>
    <n v="36"/>
    <s v="20270205150000"/>
    <s v="디캔팅"/>
    <s v="입고"/>
    <s v="작업완료"/>
    <s v="1005"/>
    <x v="2"/>
    <s v="2026-08-12 18:28:23"/>
    <s v="월수금"/>
    <x v="2"/>
  </r>
  <r>
    <d v="2026-08-12T18:28:12"/>
    <s v="19009558"/>
    <x v="6"/>
    <x v="6"/>
    <n v="36"/>
    <m/>
    <n v="36"/>
    <s v="20270205150000"/>
    <s v="디캔팅"/>
    <s v="입고"/>
    <s v="작업완료"/>
    <s v="1005"/>
    <x v="2"/>
    <s v="2026-08-12 18:26:12"/>
    <s v="월수금"/>
    <x v="2"/>
  </r>
  <r>
    <d v="2026-08-12T18:27:51"/>
    <s v="19004936"/>
    <x v="6"/>
    <x v="6"/>
    <n v="36"/>
    <m/>
    <n v="36"/>
    <s v="20270205150000"/>
    <s v="디캔팅"/>
    <s v="입고"/>
    <s v="작업완료"/>
    <s v="1005"/>
    <x v="2"/>
    <s v="2026-08-12 18:26:08"/>
    <s v="월수금"/>
    <x v="2"/>
  </r>
  <r>
    <d v="2026-08-12T18:27:33"/>
    <s v="19005615"/>
    <x v="6"/>
    <x v="6"/>
    <n v="36"/>
    <m/>
    <n v="36"/>
    <s v="20270205150000"/>
    <s v="디캔팅"/>
    <s v="입고"/>
    <s v="작업완료"/>
    <s v="1005"/>
    <x v="2"/>
    <s v="2026-08-12 18:26:02"/>
    <s v="월수금"/>
    <x v="2"/>
  </r>
  <r>
    <d v="2026-08-12T18:25:44"/>
    <s v="19005939"/>
    <x v="6"/>
    <x v="6"/>
    <n v="36"/>
    <m/>
    <n v="36"/>
    <s v="20270205150000"/>
    <s v="디캔팅"/>
    <s v="입고"/>
    <s v="작업완료"/>
    <s v="1005"/>
    <x v="2"/>
    <s v="2026-08-12 18:23:53"/>
    <s v="월수금"/>
    <x v="2"/>
  </r>
  <r>
    <d v="2026-08-12T18:25:34"/>
    <s v="19011414"/>
    <x v="6"/>
    <x v="6"/>
    <n v="36"/>
    <m/>
    <n v="36"/>
    <s v="20270205150000"/>
    <s v="디캔팅"/>
    <s v="입고"/>
    <s v="작업완료"/>
    <s v="1005"/>
    <x v="2"/>
    <s v="2026-08-12 18:23:57"/>
    <s v="월수금"/>
    <x v="2"/>
  </r>
  <r>
    <d v="2026-08-12T15:04:32"/>
    <s v="19024665"/>
    <x v="6"/>
    <x v="6"/>
    <n v="36"/>
    <m/>
    <n v="36"/>
    <s v="20270205150000"/>
    <s v="디캔팅"/>
    <s v="입고"/>
    <s v="작업완료"/>
    <s v="1012"/>
    <x v="4"/>
    <s v="2026-08-12 13:39:00"/>
    <s v="월수금"/>
    <x v="2"/>
  </r>
  <r>
    <d v="2026-08-12T13:52:20"/>
    <s v="19023584"/>
    <x v="6"/>
    <x v="6"/>
    <n v="36"/>
    <m/>
    <n v="36"/>
    <s v="20270205150000"/>
    <s v="디캔팅"/>
    <s v="입고"/>
    <s v="작업완료"/>
    <s v="1012"/>
    <x v="4"/>
    <s v="2026-08-12 13:42:50"/>
    <s v="월수금"/>
    <x v="2"/>
  </r>
  <r>
    <d v="2026-08-12T13:46:17"/>
    <s v="19006958"/>
    <x v="6"/>
    <x v="6"/>
    <n v="36"/>
    <m/>
    <n v="36"/>
    <s v="20270205150000"/>
    <s v="디캔팅"/>
    <s v="입고"/>
    <s v="작업완료"/>
    <s v="1012"/>
    <x v="4"/>
    <s v="2026-08-12 13:44:04"/>
    <s v="월수금"/>
    <x v="2"/>
  </r>
  <r>
    <d v="2026-08-12T13:46:00"/>
    <s v="19015526"/>
    <x v="6"/>
    <x v="6"/>
    <n v="36"/>
    <m/>
    <n v="36"/>
    <s v="20270205150000"/>
    <s v="디캔팅"/>
    <s v="입고"/>
    <s v="작업완료"/>
    <s v="1012"/>
    <x v="4"/>
    <s v="2026-08-12 13:44:07"/>
    <s v="월수금"/>
    <x v="2"/>
  </r>
  <r>
    <d v="2026-08-12T13:45:48"/>
    <s v="19026143"/>
    <x v="6"/>
    <x v="6"/>
    <n v="36"/>
    <m/>
    <n v="36"/>
    <s v="20270205150000"/>
    <s v="디캔팅"/>
    <s v="입고"/>
    <s v="작업완료"/>
    <s v="1012"/>
    <x v="4"/>
    <s v="2026-08-12 13:44:01"/>
    <s v="월수금"/>
    <x v="2"/>
  </r>
  <r>
    <d v="2026-08-12T13:44:53"/>
    <s v="19000557"/>
    <x v="6"/>
    <x v="6"/>
    <n v="36"/>
    <m/>
    <n v="36"/>
    <s v="20270205150000"/>
    <s v="디캔팅"/>
    <s v="입고"/>
    <s v="작업완료"/>
    <s v="1012"/>
    <x v="4"/>
    <s v="2026-08-12 13:42:42"/>
    <s v="월수금"/>
    <x v="2"/>
  </r>
  <r>
    <d v="2026-08-12T13:43:41"/>
    <s v="19015381"/>
    <x v="6"/>
    <x v="6"/>
    <n v="36"/>
    <m/>
    <n v="36"/>
    <s v="20270205150000"/>
    <s v="디캔팅"/>
    <s v="입고"/>
    <s v="작업완료"/>
    <s v="1012"/>
    <x v="4"/>
    <s v="2026-08-12 13:41:32"/>
    <s v="월수금"/>
    <x v="2"/>
  </r>
  <r>
    <d v="2026-08-12T13:43:37"/>
    <s v="19008208"/>
    <x v="6"/>
    <x v="6"/>
    <n v="36"/>
    <m/>
    <n v="36"/>
    <s v="20270205150000"/>
    <s v="디캔팅"/>
    <s v="입고"/>
    <s v="작업완료"/>
    <s v="1012"/>
    <x v="4"/>
    <s v="2026-08-12 13:41:29"/>
    <s v="월수금"/>
    <x v="2"/>
  </r>
  <r>
    <d v="2026-08-12T13:43:34"/>
    <s v="19011173"/>
    <x v="6"/>
    <x v="6"/>
    <n v="36"/>
    <m/>
    <n v="36"/>
    <s v="20270205150000"/>
    <s v="디캔팅"/>
    <s v="입고"/>
    <s v="작업완료"/>
    <s v="1012"/>
    <x v="4"/>
    <s v="2026-08-12 13:41:44"/>
    <s v="월수금"/>
    <x v="2"/>
  </r>
  <r>
    <d v="2026-08-12T13:43:09"/>
    <s v="19002066"/>
    <x v="6"/>
    <x v="6"/>
    <n v="36"/>
    <m/>
    <n v="36"/>
    <s v="20270205150000"/>
    <s v="디캔팅"/>
    <s v="입고"/>
    <s v="작업완료"/>
    <s v="1012"/>
    <x v="4"/>
    <s v="2026-08-12 13:40:22"/>
    <s v="월수금"/>
    <x v="2"/>
  </r>
  <r>
    <d v="2026-08-12T13:43:09"/>
    <s v="19019127"/>
    <x v="6"/>
    <x v="6"/>
    <n v="36"/>
    <m/>
    <n v="36"/>
    <s v="20270205150000"/>
    <s v="디캔팅"/>
    <s v="입고"/>
    <s v="작업완료"/>
    <s v="1012"/>
    <x v="4"/>
    <s v="2026-08-12 13:40:25"/>
    <s v="월수금"/>
    <x v="2"/>
  </r>
  <r>
    <d v="2026-08-12T13:42:54"/>
    <s v="19024441"/>
    <x v="6"/>
    <x v="6"/>
    <n v="36"/>
    <m/>
    <n v="36"/>
    <s v="20270205150000"/>
    <s v="디캔팅"/>
    <s v="입고"/>
    <s v="작업완료"/>
    <s v="1012"/>
    <x v="4"/>
    <s v="2026-08-12 13:40:19"/>
    <s v="월수금"/>
    <x v="2"/>
  </r>
  <r>
    <d v="2026-08-12T13:42:52"/>
    <s v="19018150"/>
    <x v="6"/>
    <x v="6"/>
    <n v="36"/>
    <m/>
    <n v="36"/>
    <s v="20270205150000"/>
    <s v="디캔팅"/>
    <s v="입고"/>
    <s v="작업완료"/>
    <s v="1012"/>
    <x v="4"/>
    <s v="2026-08-12 13:39:18"/>
    <s v="월수금"/>
    <x v="2"/>
  </r>
  <r>
    <d v="2026-08-12T13:42:24"/>
    <s v="19022861"/>
    <x v="6"/>
    <x v="6"/>
    <n v="36"/>
    <m/>
    <n v="36"/>
    <s v="20270205150000"/>
    <s v="디캔팅"/>
    <s v="입고"/>
    <s v="작업완료"/>
    <s v="1012"/>
    <x v="4"/>
    <s v="2026-08-12 13:39:03"/>
    <s v="월수금"/>
    <x v="2"/>
  </r>
  <r>
    <d v="2026-08-12T13:40:15"/>
    <s v="19013932"/>
    <x v="6"/>
    <x v="6"/>
    <n v="36"/>
    <m/>
    <n v="36"/>
    <s v="20270205150000"/>
    <s v="디캔팅"/>
    <s v="입고"/>
    <s v="작업완료"/>
    <s v="1012"/>
    <x v="4"/>
    <s v="2026-08-12 13:38:07"/>
    <s v="월수금"/>
    <x v="2"/>
  </r>
  <r>
    <d v="2026-08-12T13:40:13"/>
    <s v="19028738"/>
    <x v="6"/>
    <x v="6"/>
    <n v="36"/>
    <m/>
    <n v="36"/>
    <s v="20270205150000"/>
    <s v="디캔팅"/>
    <s v="입고"/>
    <s v="작업완료"/>
    <s v="1012"/>
    <x v="4"/>
    <s v="2026-08-12 13:38:09"/>
    <s v="월수금"/>
    <x v="2"/>
  </r>
  <r>
    <d v="2026-08-12T13:40:06"/>
    <s v="19005234"/>
    <x v="6"/>
    <x v="6"/>
    <n v="36"/>
    <m/>
    <n v="36"/>
    <s v="20270205150000"/>
    <s v="디캔팅"/>
    <s v="입고"/>
    <s v="작업완료"/>
    <s v="1012"/>
    <x v="4"/>
    <s v="2026-08-12 13:38:13"/>
    <s v="월수금"/>
    <x v="2"/>
  </r>
  <r>
    <d v="2026-08-12T13:39:44"/>
    <s v="19005920"/>
    <x v="6"/>
    <x v="6"/>
    <n v="36"/>
    <m/>
    <n v="36"/>
    <s v="20270205150000"/>
    <s v="디캔팅"/>
    <s v="입고"/>
    <s v="작업완료"/>
    <s v="1012"/>
    <x v="4"/>
    <s v="2026-08-12 13:37:17"/>
    <s v="월수금"/>
    <x v="2"/>
  </r>
  <r>
    <d v="2026-08-12T13:39:15"/>
    <s v="19003345"/>
    <x v="6"/>
    <x v="6"/>
    <n v="36"/>
    <m/>
    <n v="36"/>
    <s v="20270205150000"/>
    <s v="디캔팅"/>
    <s v="입고"/>
    <s v="작업완료"/>
    <s v="1012"/>
    <x v="4"/>
    <s v="2026-08-12 13:37:14"/>
    <s v="월수금"/>
    <x v="2"/>
  </r>
  <r>
    <d v="2026-08-12T13:39:01"/>
    <s v="19020980"/>
    <x v="6"/>
    <x v="6"/>
    <n v="36"/>
    <m/>
    <n v="36"/>
    <s v="20270205150000"/>
    <s v="디캔팅"/>
    <s v="입고"/>
    <s v="작업완료"/>
    <s v="1012"/>
    <x v="4"/>
    <s v="2026-08-12 13:37:12"/>
    <s v="월수금"/>
    <x v="2"/>
  </r>
  <r>
    <d v="2026-08-12T13:38:58"/>
    <s v="19005179"/>
    <x v="6"/>
    <x v="6"/>
    <n v="36"/>
    <m/>
    <n v="36"/>
    <s v="20270205150000"/>
    <s v="디캔팅"/>
    <s v="입고"/>
    <s v="작업완료"/>
    <s v="1012"/>
    <x v="4"/>
    <s v="2026-08-12 13:36:05"/>
    <s v="월수금"/>
    <x v="2"/>
  </r>
  <r>
    <d v="2026-08-12T13:38:20"/>
    <s v="19005365"/>
    <x v="6"/>
    <x v="6"/>
    <n v="36"/>
    <m/>
    <n v="36"/>
    <s v="20270205150000"/>
    <s v="디캔팅"/>
    <s v="입고"/>
    <s v="작업완료"/>
    <s v="1012"/>
    <x v="4"/>
    <s v="2026-08-12 13:36:07"/>
    <s v="월수금"/>
    <x v="2"/>
  </r>
  <r>
    <d v="2026-08-12T13:38:02"/>
    <s v="19003436"/>
    <x v="6"/>
    <x v="6"/>
    <n v="36"/>
    <m/>
    <n v="36"/>
    <s v="20270205150000"/>
    <s v="디캔팅"/>
    <s v="입고"/>
    <s v="작업완료"/>
    <s v="1012"/>
    <x v="4"/>
    <s v="2026-08-12 13:36:02"/>
    <s v="월수금"/>
    <x v="2"/>
  </r>
  <r>
    <d v="2026-08-12T13:38:02"/>
    <s v="19002203"/>
    <x v="6"/>
    <x v="6"/>
    <n v="36"/>
    <m/>
    <n v="36"/>
    <s v="20270205150000"/>
    <s v="디캔팅"/>
    <s v="입고"/>
    <s v="작업완료"/>
    <s v="1012"/>
    <x v="4"/>
    <s v="2026-08-12 13:34:27"/>
    <s v="월수금"/>
    <x v="2"/>
  </r>
  <r>
    <d v="2026-08-12T13:37:44"/>
    <s v="19013644"/>
    <x v="6"/>
    <x v="6"/>
    <n v="36"/>
    <m/>
    <n v="36"/>
    <s v="20270205150000"/>
    <s v="디캔팅"/>
    <s v="입고"/>
    <s v="작업완료"/>
    <s v="1012"/>
    <x v="4"/>
    <s v="2026-08-12 13:35:21"/>
    <s v="월수금"/>
    <x v="2"/>
  </r>
  <r>
    <d v="2026-08-12T13:37:28"/>
    <s v="19006235"/>
    <x v="6"/>
    <x v="6"/>
    <n v="36"/>
    <m/>
    <n v="36"/>
    <s v="20270205150000"/>
    <s v="디캔팅"/>
    <s v="입고"/>
    <s v="작업완료"/>
    <s v="1012"/>
    <x v="4"/>
    <s v="2026-08-12 13:35:24"/>
    <s v="월수금"/>
    <x v="2"/>
  </r>
  <r>
    <d v="2026-08-12T13:37:23"/>
    <s v="19006334"/>
    <x v="6"/>
    <x v="6"/>
    <n v="36"/>
    <m/>
    <n v="36"/>
    <s v="20270205150000"/>
    <s v="디캔팅"/>
    <s v="입고"/>
    <s v="작업완료"/>
    <s v="1012"/>
    <x v="4"/>
    <s v="2026-08-12 13:35:18"/>
    <s v="월수금"/>
    <x v="2"/>
  </r>
  <r>
    <d v="2026-08-12T13:36:55"/>
    <s v="19003432"/>
    <x v="6"/>
    <x v="6"/>
    <n v="36"/>
    <m/>
    <n v="36"/>
    <s v="20270205150000"/>
    <s v="디캔팅"/>
    <s v="입고"/>
    <s v="작업완료"/>
    <s v="1012"/>
    <x v="4"/>
    <s v="2026-08-12 13:34:34"/>
    <s v="월수금"/>
    <x v="2"/>
  </r>
  <r>
    <d v="2026-08-12T13:36:52"/>
    <s v="19013635"/>
    <x v="6"/>
    <x v="6"/>
    <n v="36"/>
    <m/>
    <n v="36"/>
    <s v="20270205150000"/>
    <s v="디캔팅"/>
    <s v="입고"/>
    <s v="작업완료"/>
    <s v="1012"/>
    <x v="4"/>
    <s v="2026-08-12 13:34:25"/>
    <s v="월수금"/>
    <x v="2"/>
  </r>
  <r>
    <d v="2026-08-12T13:35:52"/>
    <s v="19001755"/>
    <x v="6"/>
    <x v="6"/>
    <n v="36"/>
    <m/>
    <n v="36"/>
    <s v="20270205150000"/>
    <s v="디캔팅"/>
    <s v="입고"/>
    <s v="작업완료"/>
    <s v="1012"/>
    <x v="4"/>
    <s v="2026-08-12 13:32:43"/>
    <s v="월수금"/>
    <x v="2"/>
  </r>
  <r>
    <d v="2026-08-12T13:35:09"/>
    <s v="19000266"/>
    <x v="6"/>
    <x v="6"/>
    <n v="36"/>
    <m/>
    <n v="36"/>
    <s v="20270205150000"/>
    <s v="디캔팅"/>
    <s v="입고"/>
    <s v="작업완료"/>
    <s v="1012"/>
    <x v="4"/>
    <s v="2026-08-12 13:32:51"/>
    <s v="월수금"/>
    <x v="2"/>
  </r>
  <r>
    <d v="2026-08-12T13:34:35"/>
    <s v="19001026"/>
    <x v="6"/>
    <x v="6"/>
    <n v="36"/>
    <m/>
    <n v="36"/>
    <s v="20270205150000"/>
    <s v="디캔팅"/>
    <s v="입고"/>
    <s v="작업완료"/>
    <s v="1012"/>
    <x v="4"/>
    <s v="2026-08-12 13:32:32"/>
    <s v="월수금"/>
    <x v="2"/>
  </r>
  <r>
    <d v="2026-08-12T13:33:24"/>
    <s v="19025376"/>
    <x v="6"/>
    <x v="6"/>
    <n v="36"/>
    <m/>
    <n v="36"/>
    <s v="20270205150000"/>
    <s v="디캔팅"/>
    <s v="입고"/>
    <s v="작업완료"/>
    <s v="1012"/>
    <x v="4"/>
    <s v="2026-08-12 13:31:05"/>
    <s v="월수금"/>
    <x v="2"/>
  </r>
  <r>
    <d v="2026-08-12T13:33:07"/>
    <s v="19017060"/>
    <x v="6"/>
    <x v="6"/>
    <n v="36"/>
    <m/>
    <n v="36"/>
    <s v="20270205150000"/>
    <s v="디캔팅"/>
    <s v="입고"/>
    <s v="작업완료"/>
    <s v="1012"/>
    <x v="4"/>
    <s v="2026-08-12 13:31:00"/>
    <s v="월수금"/>
    <x v="2"/>
  </r>
  <r>
    <d v="2026-08-12T13:33:04"/>
    <s v="19006086"/>
    <x v="6"/>
    <x v="6"/>
    <n v="36"/>
    <m/>
    <n v="36"/>
    <s v="20270205150000"/>
    <s v="디캔팅"/>
    <s v="입고"/>
    <s v="작업완료"/>
    <s v="1012"/>
    <x v="4"/>
    <s v="2026-08-12 13:31:08"/>
    <s v="월수금"/>
    <x v="2"/>
  </r>
  <r>
    <d v="2026-08-12T13:32:07"/>
    <s v="19003488"/>
    <x v="6"/>
    <x v="6"/>
    <n v="36"/>
    <m/>
    <n v="36"/>
    <s v="20270205150000"/>
    <s v="디캔팅"/>
    <s v="입고"/>
    <s v="작업완료"/>
    <s v="1012"/>
    <x v="4"/>
    <s v="2026-08-12 13:29:57"/>
    <s v="월수금"/>
    <x v="2"/>
  </r>
  <r>
    <d v="2026-08-12T13:32:03"/>
    <s v="19014080"/>
    <x v="6"/>
    <x v="6"/>
    <n v="36"/>
    <m/>
    <n v="36"/>
    <s v="20270205150000"/>
    <s v="디캔팅"/>
    <s v="입고"/>
    <s v="작업완료"/>
    <s v="1012"/>
    <x v="4"/>
    <s v="2026-08-12 13:29:52"/>
    <s v="월수금"/>
    <x v="2"/>
  </r>
  <r>
    <d v="2026-08-12T13:31:58"/>
    <s v="19005064"/>
    <x v="6"/>
    <x v="6"/>
    <n v="36"/>
    <m/>
    <n v="36"/>
    <s v="20270205150000"/>
    <s v="디캔팅"/>
    <s v="입고"/>
    <s v="작업완료"/>
    <s v="1014"/>
    <x v="10"/>
    <s v="2026-08-12 13:28:48"/>
    <s v="월수금"/>
    <x v="2"/>
  </r>
  <r>
    <d v="2026-08-12T13:31:45"/>
    <s v="19001593"/>
    <x v="6"/>
    <x v="6"/>
    <n v="36"/>
    <m/>
    <n v="36"/>
    <s v="20270205150000"/>
    <s v="디캔팅"/>
    <s v="입고"/>
    <s v="작업완료"/>
    <s v="1012"/>
    <x v="4"/>
    <s v="2026-08-12 13:29:55"/>
    <s v="월수금"/>
    <x v="2"/>
  </r>
  <r>
    <d v="2026-08-12T13:31:18"/>
    <s v="19013178"/>
    <x v="6"/>
    <x v="6"/>
    <n v="36"/>
    <m/>
    <n v="36"/>
    <s v="20270205150000"/>
    <s v="디캔팅"/>
    <s v="입고"/>
    <s v="작업완료"/>
    <s v="1012"/>
    <x v="4"/>
    <s v="2026-08-12 13:28:30"/>
    <s v="월수금"/>
    <x v="2"/>
  </r>
  <r>
    <d v="2026-08-12T13:30:58"/>
    <s v="19012430"/>
    <x v="6"/>
    <x v="6"/>
    <n v="36"/>
    <m/>
    <n v="36"/>
    <s v="20270205150000"/>
    <s v="디캔팅"/>
    <s v="입고"/>
    <s v="작업완료"/>
    <s v="1014"/>
    <x v="10"/>
    <s v="2026-08-12 13:28:52"/>
    <s v="월수금"/>
    <x v="2"/>
  </r>
  <r>
    <d v="2026-08-12T13:30:52"/>
    <s v="19011754"/>
    <x v="6"/>
    <x v="6"/>
    <n v="36"/>
    <m/>
    <n v="36"/>
    <s v="20270205150000"/>
    <s v="디캔팅"/>
    <s v="입고"/>
    <s v="작업완료"/>
    <s v="1014"/>
    <x v="10"/>
    <s v="2026-08-12 13:28:56"/>
    <s v="월수금"/>
    <x v="2"/>
  </r>
  <r>
    <d v="2026-08-12T13:30:24"/>
    <s v="19004715"/>
    <x v="6"/>
    <x v="6"/>
    <n v="36"/>
    <m/>
    <n v="36"/>
    <s v="20270205150000"/>
    <s v="디캔팅"/>
    <s v="입고"/>
    <s v="작업완료"/>
    <s v="1012"/>
    <x v="4"/>
    <s v="2026-08-12 13:28:27"/>
    <s v="월수금"/>
    <x v="2"/>
  </r>
  <r>
    <d v="2026-08-12T13:29:48"/>
    <s v="19001431"/>
    <x v="6"/>
    <x v="6"/>
    <n v="36"/>
    <m/>
    <n v="36"/>
    <s v="20270205150000"/>
    <s v="디캔팅"/>
    <s v="입고"/>
    <s v="작업완료"/>
    <s v="1014"/>
    <x v="10"/>
    <s v="2026-08-12 13:27:25"/>
    <s v="월수금"/>
    <x v="2"/>
  </r>
  <r>
    <d v="2026-08-12T13:29:45"/>
    <s v="19006382"/>
    <x v="6"/>
    <x v="6"/>
    <n v="36"/>
    <m/>
    <n v="36"/>
    <s v="20270205150000"/>
    <s v="디캔팅"/>
    <s v="입고"/>
    <s v="작업완료"/>
    <s v="1014"/>
    <x v="10"/>
    <s v="2026-08-12 13:27:20"/>
    <s v="월수금"/>
    <x v="2"/>
  </r>
  <r>
    <d v="2026-08-12T13:29:39"/>
    <s v="19003172"/>
    <x v="6"/>
    <x v="6"/>
    <n v="36"/>
    <m/>
    <n v="36"/>
    <s v="20270205150000"/>
    <s v="디캔팅"/>
    <s v="입고"/>
    <s v="작업완료"/>
    <s v="1014"/>
    <x v="10"/>
    <s v="2026-08-12 13:27:10"/>
    <s v="월수금"/>
    <x v="2"/>
  </r>
  <r>
    <d v="2026-08-12T13:28:02"/>
    <s v="19002004"/>
    <x v="6"/>
    <x v="6"/>
    <n v="36"/>
    <m/>
    <n v="36"/>
    <s v="20270205150000"/>
    <s v="디캔팅"/>
    <s v="입고"/>
    <s v="작업완료"/>
    <s v="1014"/>
    <x v="10"/>
    <s v="2026-08-12 13:25:39"/>
    <s v="월수금"/>
    <x v="2"/>
  </r>
  <r>
    <d v="2026-08-12T13:27:58"/>
    <s v="19013192"/>
    <x v="6"/>
    <x v="6"/>
    <n v="36"/>
    <m/>
    <n v="36"/>
    <s v="20270205150000"/>
    <s v="디캔팅"/>
    <s v="입고"/>
    <s v="작업완료"/>
    <s v="1014"/>
    <x v="10"/>
    <s v="2026-08-12 13:25:23"/>
    <s v="월수금"/>
    <x v="2"/>
  </r>
  <r>
    <d v="2026-08-12T13:27:28"/>
    <s v="19002621"/>
    <x v="6"/>
    <x v="6"/>
    <n v="36"/>
    <m/>
    <n v="36"/>
    <s v="20270205150000"/>
    <s v="디캔팅"/>
    <s v="입고"/>
    <s v="작업완료"/>
    <s v="1014"/>
    <x v="10"/>
    <s v="2026-08-12 13:25:34"/>
    <s v="월수금"/>
    <x v="2"/>
  </r>
  <r>
    <d v="2026-08-12T13:25:28"/>
    <s v="19009881"/>
    <x v="6"/>
    <x v="6"/>
    <n v="36"/>
    <m/>
    <n v="36"/>
    <s v="20270205150000"/>
    <s v="디캔팅"/>
    <s v="입고"/>
    <s v="작업완료"/>
    <s v="1014"/>
    <x v="10"/>
    <s v="2026-08-12 13:22:56"/>
    <s v="월수금"/>
    <x v="2"/>
  </r>
  <r>
    <d v="2026-08-12T13:25:20"/>
    <s v="19005987"/>
    <x v="6"/>
    <x v="6"/>
    <n v="36"/>
    <m/>
    <n v="36"/>
    <s v="20270205150000"/>
    <s v="디캔팅"/>
    <s v="입고"/>
    <s v="작업완료"/>
    <s v="1014"/>
    <x v="10"/>
    <s v="2026-08-12 13:23:08"/>
    <s v="월수금"/>
    <x v="2"/>
  </r>
  <r>
    <d v="2026-08-12T13:25:19"/>
    <s v="19013007"/>
    <x v="6"/>
    <x v="6"/>
    <n v="36"/>
    <m/>
    <n v="36"/>
    <s v="20270205150000"/>
    <s v="디캔팅"/>
    <s v="입고"/>
    <s v="작업완료"/>
    <s v="1014"/>
    <x v="10"/>
    <s v="2026-08-12 13:23:00"/>
    <s v="월수금"/>
    <x v="2"/>
  </r>
  <r>
    <d v="2026-08-12T13:23:45"/>
    <s v="19026905"/>
    <x v="6"/>
    <x v="6"/>
    <n v="36"/>
    <m/>
    <n v="36"/>
    <s v="20270205150000"/>
    <s v="디캔팅"/>
    <s v="입고"/>
    <s v="작업완료"/>
    <s v="1014"/>
    <x v="10"/>
    <s v="2026-08-12 13:20:56"/>
    <s v="월수금"/>
    <x v="2"/>
  </r>
  <r>
    <d v="2026-08-12T13:23:11"/>
    <s v="19023360"/>
    <x v="6"/>
    <x v="6"/>
    <n v="36"/>
    <m/>
    <n v="36"/>
    <s v="20270205150000"/>
    <s v="디캔팅"/>
    <s v="입고"/>
    <s v="작업완료"/>
    <s v="1014"/>
    <x v="10"/>
    <s v="2026-08-12 13:21:01"/>
    <s v="월수금"/>
    <x v="2"/>
  </r>
  <r>
    <d v="2026-08-12T13:22:55"/>
    <s v="19004711"/>
    <x v="6"/>
    <x v="6"/>
    <n v="36"/>
    <m/>
    <n v="36"/>
    <s v="20270205150000"/>
    <s v="디캔팅"/>
    <s v="입고"/>
    <s v="작업완료"/>
    <s v="1014"/>
    <x v="10"/>
    <s v="2026-08-12 13:20:50"/>
    <s v="월수금"/>
    <x v="2"/>
  </r>
  <r>
    <d v="2026-08-12T13:21:02"/>
    <s v="19012066"/>
    <x v="6"/>
    <x v="6"/>
    <n v="36"/>
    <m/>
    <n v="36"/>
    <s v="20270205150000"/>
    <s v="디캔팅"/>
    <s v="입고"/>
    <s v="작업완료"/>
    <s v="1014"/>
    <x v="10"/>
    <s v="2026-08-12 13:19:04"/>
    <s v="월수금"/>
    <x v="2"/>
  </r>
  <r>
    <d v="2026-08-12T13:20:55"/>
    <s v="19024368"/>
    <x v="6"/>
    <x v="6"/>
    <n v="36"/>
    <m/>
    <n v="36"/>
    <s v="20270205150000"/>
    <s v="디캔팅"/>
    <s v="입고"/>
    <s v="작업완료"/>
    <s v="1014"/>
    <x v="10"/>
    <s v="2026-08-12 13:18:53"/>
    <s v="월수금"/>
    <x v="2"/>
  </r>
  <r>
    <d v="2026-08-12T13:20:53"/>
    <s v="19023757"/>
    <x v="6"/>
    <x v="6"/>
    <n v="36"/>
    <m/>
    <n v="36"/>
    <s v="20270205150000"/>
    <s v="디캔팅"/>
    <s v="입고"/>
    <s v="작업완료"/>
    <s v="1014"/>
    <x v="10"/>
    <s v="2026-08-12 13:18:58"/>
    <s v="월수금"/>
    <x v="2"/>
  </r>
  <r>
    <d v="2026-08-12T13:19:49"/>
    <s v="19004587"/>
    <x v="6"/>
    <x v="6"/>
    <n v="36"/>
    <m/>
    <n v="36"/>
    <s v="20270205150000"/>
    <s v="디캔팅"/>
    <s v="입고"/>
    <s v="작업완료"/>
    <s v="1014"/>
    <x v="10"/>
    <s v="2026-08-12 13:17:15"/>
    <s v="월수금"/>
    <x v="2"/>
  </r>
  <r>
    <d v="2026-08-12T13:19:18"/>
    <s v="19015538"/>
    <x v="6"/>
    <x v="6"/>
    <n v="36"/>
    <m/>
    <n v="36"/>
    <s v="20270205150000"/>
    <s v="디캔팅"/>
    <s v="입고"/>
    <s v="작업완료"/>
    <s v="1014"/>
    <x v="10"/>
    <s v="2026-08-12 13:17:20"/>
    <s v="월수금"/>
    <x v="2"/>
  </r>
  <r>
    <d v="2026-08-12T13:19:08"/>
    <s v="19025604"/>
    <x v="6"/>
    <x v="6"/>
    <n v="36"/>
    <m/>
    <n v="36"/>
    <s v="20270205150000"/>
    <s v="디캔팅"/>
    <s v="입고"/>
    <s v="작업완료"/>
    <s v="1014"/>
    <x v="10"/>
    <s v="2026-08-12 13:17:06"/>
    <s v="월수금"/>
    <x v="2"/>
  </r>
  <r>
    <d v="2026-08-12T13:17:26"/>
    <s v="19019921"/>
    <x v="6"/>
    <x v="6"/>
    <n v="36"/>
    <m/>
    <n v="36"/>
    <s v="20270205150000"/>
    <s v="디캔팅"/>
    <s v="입고"/>
    <s v="작업완료"/>
    <s v="1014"/>
    <x v="10"/>
    <s v="2026-08-12 13:15:29"/>
    <s v="월수금"/>
    <x v="2"/>
  </r>
  <r>
    <d v="2026-08-12T13:17:25"/>
    <s v="19029404"/>
    <x v="6"/>
    <x v="6"/>
    <n v="36"/>
    <m/>
    <n v="36"/>
    <s v="20270205150000"/>
    <s v="디캔팅"/>
    <s v="입고"/>
    <s v="작업완료"/>
    <s v="1014"/>
    <x v="10"/>
    <s v="2026-08-12 13:15:24"/>
    <s v="월수금"/>
    <x v="2"/>
  </r>
  <r>
    <d v="2026-08-12T13:17:12"/>
    <s v="19001643"/>
    <x v="6"/>
    <x v="6"/>
    <n v="36"/>
    <m/>
    <n v="36"/>
    <s v="20270205150000"/>
    <s v="디캔팅"/>
    <s v="입고"/>
    <s v="작업완료"/>
    <s v="1014"/>
    <x v="10"/>
    <s v="2026-08-12 13:15:35"/>
    <s v="월수금"/>
    <x v="2"/>
  </r>
  <r>
    <d v="2026-08-12T13:16:38"/>
    <s v="19012304"/>
    <x v="6"/>
    <x v="6"/>
    <n v="36"/>
    <m/>
    <n v="36"/>
    <s v="20270205150000"/>
    <s v="디캔팅"/>
    <s v="입고"/>
    <s v="작업완료"/>
    <s v="1014"/>
    <x v="10"/>
    <s v="2026-08-12 13:13:57"/>
    <s v="월수금"/>
    <x v="2"/>
  </r>
  <r>
    <d v="2026-08-12T13:15:54"/>
    <s v="19018566"/>
    <x v="6"/>
    <x v="6"/>
    <n v="36"/>
    <m/>
    <n v="36"/>
    <s v="20270205150000"/>
    <s v="디캔팅"/>
    <s v="입고"/>
    <s v="작업완료"/>
    <s v="1014"/>
    <x v="10"/>
    <s v="2026-08-12 13:14:02"/>
    <s v="월수금"/>
    <x v="2"/>
  </r>
  <r>
    <d v="2026-08-12T13:15:48"/>
    <s v="19016824"/>
    <x v="6"/>
    <x v="6"/>
    <n v="36"/>
    <m/>
    <n v="36"/>
    <s v="20270205150000"/>
    <s v="디캔팅"/>
    <s v="입고"/>
    <s v="작업완료"/>
    <s v="1014"/>
    <x v="10"/>
    <s v="2026-08-12 13:13:53"/>
    <s v="월수금"/>
    <x v="2"/>
  </r>
  <r>
    <d v="2026-08-12T13:14:55"/>
    <s v="19019350"/>
    <x v="6"/>
    <x v="6"/>
    <n v="36"/>
    <m/>
    <n v="36"/>
    <s v="20270205150000"/>
    <s v="디캔팅"/>
    <s v="입고"/>
    <s v="작업완료"/>
    <s v="1014"/>
    <x v="10"/>
    <s v="2026-08-12 13:12:24"/>
    <s v="월수금"/>
    <x v="2"/>
  </r>
  <r>
    <d v="2026-08-12T13:14:26"/>
    <s v="19001385"/>
    <x v="6"/>
    <x v="6"/>
    <n v="36"/>
    <m/>
    <n v="36"/>
    <s v="20270205150000"/>
    <s v="디캔팅"/>
    <s v="입고"/>
    <s v="작업완료"/>
    <s v="1014"/>
    <x v="10"/>
    <s v="2026-08-12 13:12:29"/>
    <s v="월수금"/>
    <x v="2"/>
  </r>
  <r>
    <d v="2026-08-12T13:14:22"/>
    <s v="19023534"/>
    <x v="6"/>
    <x v="6"/>
    <n v="36"/>
    <m/>
    <n v="36"/>
    <s v="20270205150000"/>
    <s v="디캔팅"/>
    <s v="입고"/>
    <s v="작업완료"/>
    <s v="1014"/>
    <x v="10"/>
    <s v="2026-08-12 13:12:20"/>
    <s v="월수금"/>
    <x v="2"/>
  </r>
  <r>
    <d v="2026-08-12T13:13:20"/>
    <s v="19000463"/>
    <x v="6"/>
    <x v="6"/>
    <n v="36"/>
    <m/>
    <n v="36"/>
    <s v="20270205150000"/>
    <s v="디캔팅"/>
    <s v="입고"/>
    <s v="작업완료"/>
    <s v="1014"/>
    <x v="10"/>
    <s v="2026-08-12 13:11:00"/>
    <s v="월수금"/>
    <x v="2"/>
  </r>
  <r>
    <d v="2026-08-12T13:12:53"/>
    <s v="19001491"/>
    <x v="6"/>
    <x v="6"/>
    <n v="36"/>
    <m/>
    <n v="36"/>
    <s v="20270205150000"/>
    <s v="디캔팅"/>
    <s v="입고"/>
    <s v="작업완료"/>
    <s v="1014"/>
    <x v="10"/>
    <s v="2026-08-12 13:11:07"/>
    <s v="월수금"/>
    <x v="2"/>
  </r>
  <r>
    <d v="2026-08-12T01:02:49"/>
    <s v="19011264"/>
    <x v="6"/>
    <x v="6"/>
    <n v="36"/>
    <m/>
    <n v="36"/>
    <s v="20270131000000"/>
    <s v="디캔팅"/>
    <s v="입고"/>
    <s v="작업완료"/>
    <s v="1002"/>
    <x v="12"/>
    <s v="2026-08-12 01:00:40"/>
    <s v="월수금"/>
    <x v="5"/>
  </r>
  <r>
    <d v="2026-08-12T01:02:27"/>
    <s v="19011424"/>
    <x v="6"/>
    <x v="6"/>
    <n v="36"/>
    <m/>
    <n v="36"/>
    <s v="20270131000000"/>
    <s v="디캔팅"/>
    <s v="입고"/>
    <s v="작업완료"/>
    <s v="1002"/>
    <x v="12"/>
    <s v="2026-08-12 01:00:36"/>
    <s v="월수금"/>
    <x v="5"/>
  </r>
  <r>
    <d v="2026-08-12T01:01:10"/>
    <s v="19022549"/>
    <x v="6"/>
    <x v="6"/>
    <n v="36"/>
    <m/>
    <n v="36"/>
    <s v="20270131000000"/>
    <s v="디캔팅"/>
    <s v="입고"/>
    <s v="작업완료"/>
    <s v="1002"/>
    <x v="12"/>
    <s v="2026-08-12 00:59:14"/>
    <s v="월수금"/>
    <x v="5"/>
  </r>
  <r>
    <d v="2026-08-12T01:00:27"/>
    <s v="19012871"/>
    <x v="6"/>
    <x v="6"/>
    <n v="36"/>
    <m/>
    <n v="36"/>
    <s v="20270131000000"/>
    <s v="디캔팅"/>
    <s v="입고"/>
    <s v="작업완료"/>
    <s v="1002"/>
    <x v="12"/>
    <s v="2026-08-12 00:58:13"/>
    <s v="월수금"/>
    <x v="5"/>
  </r>
  <r>
    <d v="2026-08-12T01:00:27"/>
    <s v="19011601"/>
    <x v="6"/>
    <x v="6"/>
    <n v="36"/>
    <m/>
    <n v="36"/>
    <s v="20270131000000"/>
    <s v="디캔팅"/>
    <s v="입고"/>
    <s v="작업완료"/>
    <s v="1002"/>
    <x v="12"/>
    <s v="2026-08-12 00:59:11"/>
    <s v="월수금"/>
    <x v="5"/>
  </r>
  <r>
    <d v="2026-08-12T01:00:07"/>
    <s v="19017598"/>
    <x v="6"/>
    <x v="6"/>
    <n v="36"/>
    <m/>
    <n v="36"/>
    <s v="20270131000000"/>
    <s v="디캔팅"/>
    <s v="입고"/>
    <s v="작업완료"/>
    <s v="1002"/>
    <x v="12"/>
    <s v="2026-08-12 00:58:11"/>
    <s v="월수금"/>
    <x v="5"/>
  </r>
  <r>
    <d v="2026-08-12T00:58:46"/>
    <s v="19011437"/>
    <x v="6"/>
    <x v="6"/>
    <n v="36"/>
    <m/>
    <n v="36"/>
    <s v="20270131000000"/>
    <s v="디캔팅"/>
    <s v="입고"/>
    <s v="작업완료"/>
    <s v="1002"/>
    <x v="12"/>
    <s v="2026-08-12 00:57:07"/>
    <s v="월수금"/>
    <x v="5"/>
  </r>
  <r>
    <d v="2026-08-12T00:58:34"/>
    <s v="19000630"/>
    <x v="6"/>
    <x v="6"/>
    <n v="36"/>
    <m/>
    <n v="36"/>
    <s v="20270131000000"/>
    <s v="디캔팅"/>
    <s v="입고"/>
    <s v="작업완료"/>
    <s v="1002"/>
    <x v="12"/>
    <s v="2026-08-12 00:57:04"/>
    <s v="월수금"/>
    <x v="5"/>
  </r>
  <r>
    <d v="2026-08-12T00:53:22"/>
    <s v="19000452"/>
    <x v="6"/>
    <x v="6"/>
    <n v="36"/>
    <m/>
    <n v="36"/>
    <s v="20270131000000"/>
    <s v="디캔팅"/>
    <s v="입고"/>
    <s v="작업완료"/>
    <s v="1002"/>
    <x v="12"/>
    <s v="2026-08-12 00:51:22"/>
    <s v="월수금"/>
    <x v="5"/>
  </r>
  <r>
    <d v="2026-08-12T00:53:02"/>
    <s v="19027156"/>
    <x v="6"/>
    <x v="6"/>
    <n v="36"/>
    <m/>
    <n v="36"/>
    <s v="20270131000000"/>
    <s v="디캔팅"/>
    <s v="입고"/>
    <s v="작업완료"/>
    <s v="1002"/>
    <x v="12"/>
    <s v="2026-08-12 00:51:16"/>
    <s v="월수금"/>
    <x v="5"/>
  </r>
  <r>
    <d v="2026-08-12T00:51:16"/>
    <s v="19005191"/>
    <x v="6"/>
    <x v="6"/>
    <n v="36"/>
    <m/>
    <n v="36"/>
    <s v="20270131000000"/>
    <s v="디캔팅"/>
    <s v="입고"/>
    <s v="작업완료"/>
    <s v="1002"/>
    <x v="12"/>
    <s v="2026-08-12 00:49:50"/>
    <s v="월수금"/>
    <x v="5"/>
  </r>
  <r>
    <d v="2026-08-12T00:51:05"/>
    <s v="19019660"/>
    <x v="6"/>
    <x v="6"/>
    <n v="36"/>
    <m/>
    <n v="36"/>
    <s v="20270131000000"/>
    <s v="디캔팅"/>
    <s v="입고"/>
    <s v="작업완료"/>
    <s v="1002"/>
    <x v="12"/>
    <s v="2026-08-12 00:49:56"/>
    <s v="월수금"/>
    <x v="5"/>
  </r>
  <r>
    <d v="2026-08-12T00:50:43"/>
    <s v="19006374"/>
    <x v="6"/>
    <x v="6"/>
    <n v="36"/>
    <m/>
    <n v="36"/>
    <s v="20270131000000"/>
    <s v="디캔팅"/>
    <s v="입고"/>
    <s v="작업완료"/>
    <s v="1002"/>
    <x v="12"/>
    <s v="2026-08-12 00:48:40"/>
    <s v="월수금"/>
    <x v="5"/>
  </r>
  <r>
    <d v="2026-08-12T00:50:00"/>
    <s v="19008393"/>
    <x v="6"/>
    <x v="6"/>
    <n v="36"/>
    <m/>
    <n v="36"/>
    <s v="20270131000000"/>
    <s v="디캔팅"/>
    <s v="입고"/>
    <s v="작업완료"/>
    <s v="1002"/>
    <x v="12"/>
    <s v="2026-08-12 00:48:35"/>
    <s v="월수금"/>
    <x v="5"/>
  </r>
  <r>
    <d v="2026-08-12T00:49:10"/>
    <s v="19004805"/>
    <x v="6"/>
    <x v="6"/>
    <n v="36"/>
    <m/>
    <n v="36"/>
    <s v="20270131000000"/>
    <s v="디캔팅"/>
    <s v="입고"/>
    <s v="작업완료"/>
    <s v="1002"/>
    <x v="12"/>
    <s v="2026-08-12 00:47:17"/>
    <s v="월수금"/>
    <x v="5"/>
  </r>
  <r>
    <d v="2026-08-12T00:49:09"/>
    <s v="19014868"/>
    <x v="6"/>
    <x v="6"/>
    <n v="36"/>
    <m/>
    <n v="36"/>
    <s v="20270131000000"/>
    <s v="디캔팅"/>
    <s v="입고"/>
    <s v="작업완료"/>
    <s v="1002"/>
    <x v="12"/>
    <s v="2026-08-12 00:47:14"/>
    <s v="월수금"/>
    <x v="5"/>
  </r>
  <r>
    <d v="2026-08-12T00:47:29"/>
    <s v="19003497"/>
    <x v="6"/>
    <x v="6"/>
    <n v="36"/>
    <m/>
    <n v="36"/>
    <s v="20270131000000"/>
    <s v="디캔팅"/>
    <s v="입고"/>
    <s v="작업완료"/>
    <s v="1002"/>
    <x v="12"/>
    <s v="2026-08-12 00:45:56"/>
    <s v="월수금"/>
    <x v="5"/>
  </r>
  <r>
    <d v="2026-08-12T00:47:20"/>
    <s v="19005513"/>
    <x v="6"/>
    <x v="6"/>
    <n v="36"/>
    <m/>
    <n v="36"/>
    <s v="20270131000000"/>
    <s v="디캔팅"/>
    <s v="입고"/>
    <s v="작업완료"/>
    <s v="1002"/>
    <x v="12"/>
    <s v="2026-08-12 00:45:53"/>
    <s v="월수금"/>
    <x v="5"/>
  </r>
  <r>
    <d v="2026-08-12T00:47:02"/>
    <s v="19002611"/>
    <x v="6"/>
    <x v="6"/>
    <n v="36"/>
    <m/>
    <n v="36"/>
    <s v="20270131000000"/>
    <s v="디캔팅"/>
    <s v="입고"/>
    <s v="작업완료"/>
    <s v="1002"/>
    <x v="12"/>
    <s v="2026-08-12 00:44:47"/>
    <s v="월수금"/>
    <x v="5"/>
  </r>
  <r>
    <d v="2026-08-12T00:46:26"/>
    <s v="19021363"/>
    <x v="6"/>
    <x v="6"/>
    <n v="36"/>
    <m/>
    <n v="36"/>
    <s v="20270131000000"/>
    <s v="디캔팅"/>
    <s v="입고"/>
    <s v="작업완료"/>
    <s v="1002"/>
    <x v="12"/>
    <s v="2026-08-12 00:44:44"/>
    <s v="월수금"/>
    <x v="5"/>
  </r>
  <r>
    <d v="2026-08-12T00:46:02"/>
    <s v="19000474"/>
    <x v="6"/>
    <x v="6"/>
    <n v="36"/>
    <m/>
    <n v="36"/>
    <s v="20270131000000"/>
    <s v="디캔팅"/>
    <s v="입고"/>
    <s v="작업완료"/>
    <s v="1002"/>
    <x v="12"/>
    <s v="2026-08-12 00:43:57"/>
    <s v="월수금"/>
    <x v="5"/>
  </r>
  <r>
    <d v="2026-08-12T00:45:19"/>
    <s v="19019464"/>
    <x v="6"/>
    <x v="6"/>
    <n v="36"/>
    <m/>
    <n v="36"/>
    <s v="20270131000000"/>
    <s v="디캔팅"/>
    <s v="입고"/>
    <s v="작업완료"/>
    <s v="1002"/>
    <x v="12"/>
    <s v="2026-08-12 00:43:54"/>
    <s v="월수금"/>
    <x v="5"/>
  </r>
  <r>
    <d v="2026-08-12T00:44:35"/>
    <s v="19007353"/>
    <x v="6"/>
    <x v="6"/>
    <n v="36"/>
    <m/>
    <n v="36"/>
    <s v="20270131000000"/>
    <s v="디캔팅"/>
    <s v="입고"/>
    <s v="작업완료"/>
    <s v="1002"/>
    <x v="12"/>
    <s v="2026-08-12 00:42:55"/>
    <s v="월수금"/>
    <x v="5"/>
  </r>
  <r>
    <d v="2026-08-12T00:44:27"/>
    <s v="19004633"/>
    <x v="6"/>
    <x v="6"/>
    <n v="36"/>
    <m/>
    <n v="36"/>
    <s v="20270131000000"/>
    <s v="디캔팅"/>
    <s v="입고"/>
    <s v="작업완료"/>
    <s v="1002"/>
    <x v="12"/>
    <s v="2026-08-12 00:42:57"/>
    <s v="월수금"/>
    <x v="5"/>
  </r>
  <r>
    <d v="2026-08-12T00:43:35"/>
    <s v="19010240"/>
    <x v="6"/>
    <x v="6"/>
    <n v="36"/>
    <m/>
    <n v="36"/>
    <s v="20270131000000"/>
    <s v="디캔팅"/>
    <s v="입고"/>
    <s v="작업완료"/>
    <s v="1002"/>
    <x v="12"/>
    <s v="2026-08-12 00:41:51"/>
    <s v="월수금"/>
    <x v="5"/>
  </r>
  <r>
    <d v="2026-08-12T00:43:33"/>
    <s v="19009811"/>
    <x v="6"/>
    <x v="6"/>
    <n v="36"/>
    <m/>
    <n v="36"/>
    <s v="20270131000000"/>
    <s v="디캔팅"/>
    <s v="입고"/>
    <s v="작업완료"/>
    <s v="1002"/>
    <x v="12"/>
    <s v="2026-08-12 00:41:54"/>
    <s v="월수금"/>
    <x v="5"/>
  </r>
  <r>
    <d v="2026-08-12T00:42:11"/>
    <s v="19010496"/>
    <x v="6"/>
    <x v="6"/>
    <n v="36"/>
    <m/>
    <n v="36"/>
    <s v="20270131000000"/>
    <s v="디캔팅"/>
    <s v="입고"/>
    <s v="작업완료"/>
    <s v="1002"/>
    <x v="12"/>
    <s v="2026-08-12 00:40:35"/>
    <s v="월수금"/>
    <x v="5"/>
  </r>
  <r>
    <d v="2026-08-12T00:42:06"/>
    <s v="19004358"/>
    <x v="6"/>
    <x v="6"/>
    <n v="36"/>
    <m/>
    <n v="36"/>
    <s v="20270131000000"/>
    <s v="디캔팅"/>
    <s v="입고"/>
    <s v="작업완료"/>
    <s v="1002"/>
    <x v="12"/>
    <s v="2026-08-12 00:40:37"/>
    <s v="월수금"/>
    <x v="5"/>
  </r>
  <r>
    <d v="2026-08-12T00:41:32"/>
    <s v="19014284"/>
    <x v="6"/>
    <x v="6"/>
    <n v="36"/>
    <m/>
    <n v="36"/>
    <s v="20270131000000"/>
    <s v="디캔팅"/>
    <s v="입고"/>
    <s v="작업완료"/>
    <s v="1002"/>
    <x v="12"/>
    <s v="2026-08-12 00:39:47"/>
    <s v="월수금"/>
    <x v="5"/>
  </r>
  <r>
    <d v="2026-08-12T00:41:06"/>
    <s v="19016049"/>
    <x v="6"/>
    <x v="6"/>
    <n v="36"/>
    <m/>
    <n v="36"/>
    <s v="20270131000000"/>
    <s v="디캔팅"/>
    <s v="입고"/>
    <s v="작업완료"/>
    <s v="1002"/>
    <x v="12"/>
    <s v="2026-08-12 00:39:44"/>
    <s v="월수금"/>
    <x v="5"/>
  </r>
  <r>
    <d v="2026-08-12T00:40:38"/>
    <s v="19009096"/>
    <x v="6"/>
    <x v="6"/>
    <n v="36"/>
    <m/>
    <n v="36"/>
    <s v="20270131000000"/>
    <s v="디캔팅"/>
    <s v="입고"/>
    <s v="작업완료"/>
    <s v="1002"/>
    <x v="12"/>
    <s v="2026-08-12 00:38:55"/>
    <s v="월수금"/>
    <x v="5"/>
  </r>
  <r>
    <d v="2026-08-12T00:40:24"/>
    <s v="19011398"/>
    <x v="6"/>
    <x v="6"/>
    <n v="36"/>
    <m/>
    <n v="36"/>
    <s v="20270131000000"/>
    <s v="디캔팅"/>
    <s v="입고"/>
    <s v="작업완료"/>
    <s v="1002"/>
    <x v="12"/>
    <s v="2026-08-12 00:38:58"/>
    <s v="월수금"/>
    <x v="5"/>
  </r>
  <r>
    <d v="2026-08-12T00:39:29"/>
    <s v="19002759"/>
    <x v="6"/>
    <x v="6"/>
    <n v="36"/>
    <m/>
    <n v="36"/>
    <s v="20270131000000"/>
    <s v="디캔팅"/>
    <s v="입고"/>
    <s v="작업완료"/>
    <s v="1002"/>
    <x v="12"/>
    <s v="2026-08-12 00:38:01"/>
    <s v="월수금"/>
    <x v="5"/>
  </r>
  <r>
    <d v="2026-08-12T00:39:21"/>
    <s v="19010478"/>
    <x v="6"/>
    <x v="6"/>
    <n v="36"/>
    <m/>
    <n v="36"/>
    <s v="20270131000000"/>
    <s v="디캔팅"/>
    <s v="입고"/>
    <s v="작업완료"/>
    <s v="1002"/>
    <x v="12"/>
    <s v="2026-08-12 00:37:57"/>
    <s v="월수금"/>
    <x v="5"/>
  </r>
  <r>
    <d v="2026-08-12T00:38:39"/>
    <s v="19012682"/>
    <x v="6"/>
    <x v="6"/>
    <n v="36"/>
    <m/>
    <n v="36"/>
    <s v="20270131000000"/>
    <s v="디캔팅"/>
    <s v="입고"/>
    <s v="작업완료"/>
    <s v="1002"/>
    <x v="12"/>
    <s v="2026-08-12 00:37:09"/>
    <s v="월수금"/>
    <x v="5"/>
  </r>
  <r>
    <d v="2026-08-12T00:38:39"/>
    <s v="19019349"/>
    <x v="6"/>
    <x v="6"/>
    <n v="36"/>
    <m/>
    <n v="36"/>
    <s v="20270131000000"/>
    <s v="디캔팅"/>
    <s v="입고"/>
    <s v="작업완료"/>
    <s v="1002"/>
    <x v="12"/>
    <s v="2026-08-12 00:37:05"/>
    <s v="월수금"/>
    <x v="5"/>
  </r>
  <r>
    <d v="2026-08-12T00:37:58"/>
    <s v="19005504"/>
    <x v="6"/>
    <x v="6"/>
    <n v="36"/>
    <m/>
    <n v="36"/>
    <s v="20270131000000"/>
    <s v="디캔팅"/>
    <s v="입고"/>
    <s v="작업완료"/>
    <s v="1002"/>
    <x v="12"/>
    <s v="2026-08-12 00:36:13"/>
    <s v="월수금"/>
    <x v="5"/>
  </r>
  <r>
    <d v="2026-08-12T00:37:57"/>
    <s v="19006032"/>
    <x v="6"/>
    <x v="6"/>
    <n v="36"/>
    <m/>
    <n v="36"/>
    <s v="20270131000000"/>
    <s v="디캔팅"/>
    <s v="입고"/>
    <s v="작업완료"/>
    <s v="1002"/>
    <x v="12"/>
    <s v="2026-08-12 00:35:29"/>
    <s v="월수금"/>
    <x v="5"/>
  </r>
  <r>
    <d v="2026-08-12T00:37:02"/>
    <s v="19004418"/>
    <x v="6"/>
    <x v="6"/>
    <n v="36"/>
    <m/>
    <n v="36"/>
    <s v="20270131000000"/>
    <s v="디캔팅"/>
    <s v="입고"/>
    <s v="작업완료"/>
    <s v="1002"/>
    <x v="12"/>
    <s v="2026-08-12 00:35:21"/>
    <s v="월수금"/>
    <x v="5"/>
  </r>
  <r>
    <d v="2026-08-12T00:36:39"/>
    <s v="19004426"/>
    <x v="6"/>
    <x v="6"/>
    <n v="36"/>
    <m/>
    <n v="36"/>
    <s v="20270131000000"/>
    <s v="디캔팅"/>
    <s v="입고"/>
    <s v="작업완료"/>
    <s v="1002"/>
    <x v="12"/>
    <s v="2026-08-12 00:35:15"/>
    <s v="월수금"/>
    <x v="5"/>
  </r>
  <r>
    <d v="2026-08-11T04:19:44"/>
    <s v="19015261"/>
    <x v="6"/>
    <x v="6"/>
    <n v="36"/>
    <m/>
    <n v="36"/>
    <s v="20270205150000"/>
    <s v="디캔팅"/>
    <s v="입고"/>
    <s v="작업완료"/>
    <s v="1005"/>
    <x v="2"/>
    <s v="2026-08-11 04:12:30"/>
    <s v="월수금"/>
    <x v="3"/>
  </r>
  <r>
    <d v="2026-08-11T04:19:42"/>
    <s v="19001664"/>
    <x v="6"/>
    <x v="6"/>
    <n v="36"/>
    <m/>
    <n v="36"/>
    <s v="20270205150000"/>
    <s v="디캔팅"/>
    <s v="입고"/>
    <s v="작업완료"/>
    <s v="1005"/>
    <x v="2"/>
    <s v="2026-08-11 04:12:28"/>
    <s v="월수금"/>
    <x v="3"/>
  </r>
  <r>
    <d v="2026-08-11T04:19:36"/>
    <s v="19001923"/>
    <x v="6"/>
    <x v="6"/>
    <n v="36"/>
    <m/>
    <n v="36"/>
    <s v="20270205150000"/>
    <s v="디캔팅"/>
    <s v="입고"/>
    <s v="작업완료"/>
    <s v="1005"/>
    <x v="2"/>
    <s v="2026-08-11 04:11:29"/>
    <s v="월수금"/>
    <x v="3"/>
  </r>
  <r>
    <d v="2026-08-11T04:19:34"/>
    <s v="19007456"/>
    <x v="6"/>
    <x v="6"/>
    <n v="36"/>
    <m/>
    <n v="36"/>
    <s v="20270205150000"/>
    <s v="디캔팅"/>
    <s v="입고"/>
    <s v="작업완료"/>
    <s v="1005"/>
    <x v="2"/>
    <s v="2026-08-11 04:12:08"/>
    <s v="월수금"/>
    <x v="3"/>
  </r>
  <r>
    <d v="2026-08-11T04:19:34"/>
    <s v="19001227"/>
    <x v="6"/>
    <x v="6"/>
    <n v="36"/>
    <m/>
    <n v="36"/>
    <s v="20270205150000"/>
    <s v="디캔팅"/>
    <s v="입고"/>
    <s v="작업완료"/>
    <s v="1005"/>
    <x v="2"/>
    <s v="2026-08-11 04:12:19"/>
    <s v="월수금"/>
    <x v="3"/>
  </r>
  <r>
    <d v="2026-08-11T04:19:29"/>
    <s v="19018491"/>
    <x v="6"/>
    <x v="6"/>
    <n v="36"/>
    <m/>
    <n v="36"/>
    <s v="20270205150000"/>
    <s v="디캔팅"/>
    <s v="입고"/>
    <s v="작업완료"/>
    <s v="1005"/>
    <x v="2"/>
    <s v="2026-08-11 04:11:59"/>
    <s v="월수금"/>
    <x v="3"/>
  </r>
  <r>
    <d v="2026-08-11T04:19:21"/>
    <s v="19017326"/>
    <x v="6"/>
    <x v="6"/>
    <n v="36"/>
    <m/>
    <n v="36"/>
    <s v="20270205150000"/>
    <s v="디캔팅"/>
    <s v="입고"/>
    <s v="작업완료"/>
    <s v="1005"/>
    <x v="2"/>
    <s v="2026-08-11 04:11:03"/>
    <s v="월수금"/>
    <x v="3"/>
  </r>
  <r>
    <d v="2026-08-11T04:19:07"/>
    <s v="19011959"/>
    <x v="6"/>
    <x v="6"/>
    <n v="36"/>
    <m/>
    <n v="36"/>
    <s v="20270205150000"/>
    <s v="디캔팅"/>
    <s v="입고"/>
    <s v="작업완료"/>
    <s v="1005"/>
    <x v="2"/>
    <s v="2026-08-11 04:10:31"/>
    <s v="월수금"/>
    <x v="3"/>
  </r>
  <r>
    <d v="2026-08-10T21:10:55"/>
    <s v="19003469"/>
    <x v="6"/>
    <x v="6"/>
    <n v="36"/>
    <m/>
    <n v="36"/>
    <s v="20270130150000"/>
    <s v="디캔팅"/>
    <s v="입고"/>
    <s v="작업완료"/>
    <s v="1004"/>
    <x v="8"/>
    <s v="2026-08-10 21:05:41"/>
    <s v="월수금"/>
    <x v="3"/>
  </r>
  <r>
    <d v="2026-08-10T21:08:25"/>
    <s v="19017094"/>
    <x v="6"/>
    <x v="6"/>
    <n v="36"/>
    <m/>
    <n v="36"/>
    <s v="20270130150000"/>
    <s v="디캔팅"/>
    <s v="입고"/>
    <s v="작업완료"/>
    <s v="1004"/>
    <x v="8"/>
    <s v="2026-08-10 21:06:42"/>
    <s v="월수금"/>
    <x v="3"/>
  </r>
  <r>
    <d v="2026-08-10T21:08:12"/>
    <s v="19006210"/>
    <x v="6"/>
    <x v="6"/>
    <n v="36"/>
    <m/>
    <n v="36"/>
    <s v="20270130150000"/>
    <s v="디캔팅"/>
    <s v="입고"/>
    <s v="작업완료"/>
    <s v="1004"/>
    <x v="8"/>
    <s v="2026-08-10 21:06:38"/>
    <s v="월수금"/>
    <x v="3"/>
  </r>
  <r>
    <d v="2026-08-10T21:07:55"/>
    <s v="19026077"/>
    <x v="6"/>
    <x v="6"/>
    <n v="36"/>
    <m/>
    <n v="36"/>
    <s v="20270130150000"/>
    <s v="디캔팅"/>
    <s v="입고"/>
    <s v="작업완료"/>
    <s v="1004"/>
    <x v="8"/>
    <s v="2026-08-10 21:05:38"/>
    <s v="월수금"/>
    <x v="3"/>
  </r>
  <r>
    <d v="2026-08-10T21:06:12"/>
    <s v="19018899"/>
    <x v="6"/>
    <x v="6"/>
    <n v="36"/>
    <m/>
    <n v="36"/>
    <s v="20270130150000"/>
    <s v="디캔팅"/>
    <s v="입고"/>
    <s v="작업완료"/>
    <s v="1004"/>
    <x v="8"/>
    <s v="2026-08-10 21:04:36"/>
    <s v="월수금"/>
    <x v="3"/>
  </r>
  <r>
    <d v="2026-08-10T21:05:57"/>
    <s v="19010895"/>
    <x v="6"/>
    <x v="6"/>
    <n v="36"/>
    <m/>
    <n v="36"/>
    <s v="20270130150000"/>
    <s v="디캔팅"/>
    <s v="입고"/>
    <s v="작업완료"/>
    <s v="1004"/>
    <x v="8"/>
    <s v="2026-08-10 21:04:15"/>
    <s v="월수금"/>
    <x v="3"/>
  </r>
  <r>
    <d v="2026-08-10T21:05:32"/>
    <s v="19013960"/>
    <x v="6"/>
    <x v="6"/>
    <n v="36"/>
    <m/>
    <n v="36"/>
    <s v="20270130150000"/>
    <s v="디캔팅"/>
    <s v="입고"/>
    <s v="작업완료"/>
    <s v="1004"/>
    <x v="8"/>
    <s v="2026-08-10 21:04:12"/>
    <s v="월수금"/>
    <x v="3"/>
  </r>
  <r>
    <d v="2026-08-10T21:05:28"/>
    <s v="19002514"/>
    <x v="6"/>
    <x v="6"/>
    <n v="36"/>
    <m/>
    <n v="36"/>
    <s v="20270130150000"/>
    <s v="디캔팅"/>
    <s v="입고"/>
    <s v="작업완료"/>
    <s v="1004"/>
    <x v="8"/>
    <s v="2026-08-10 21:03:25"/>
    <s v="월수금"/>
    <x v="3"/>
  </r>
  <r>
    <d v="2026-08-10T21:05:19"/>
    <s v="19010422"/>
    <x v="6"/>
    <x v="6"/>
    <n v="36"/>
    <m/>
    <n v="36"/>
    <s v="20270130150000"/>
    <s v="디캔팅"/>
    <s v="입고"/>
    <s v="작업완료"/>
    <s v="1004"/>
    <x v="8"/>
    <s v="2026-08-10 21:03:29"/>
    <s v="월수금"/>
    <x v="3"/>
  </r>
  <r>
    <d v="2026-08-10T21:04:51"/>
    <s v="19017628"/>
    <x v="6"/>
    <x v="6"/>
    <n v="36"/>
    <m/>
    <n v="36"/>
    <s v="20270130150000"/>
    <s v="디캔팅"/>
    <s v="입고"/>
    <s v="작업완료"/>
    <s v="1004"/>
    <x v="8"/>
    <s v="2026-08-10 21:03:22"/>
    <s v="월수금"/>
    <x v="3"/>
  </r>
  <r>
    <d v="2026-08-10T21:03:48"/>
    <s v="19024208"/>
    <x v="6"/>
    <x v="6"/>
    <n v="36"/>
    <m/>
    <n v="36"/>
    <s v="20270130150000"/>
    <s v="디캔팅"/>
    <s v="입고"/>
    <s v="작업완료"/>
    <s v="1004"/>
    <x v="8"/>
    <s v="2026-08-10 21:02:03"/>
    <s v="월수금"/>
    <x v="3"/>
  </r>
  <r>
    <d v="2026-08-10T21:03:40"/>
    <s v="19027140"/>
    <x v="6"/>
    <x v="6"/>
    <n v="36"/>
    <m/>
    <n v="36"/>
    <s v="20270130150000"/>
    <s v="디캔팅"/>
    <s v="입고"/>
    <s v="작업완료"/>
    <s v="1004"/>
    <x v="8"/>
    <s v="2026-08-10 21:01:57"/>
    <s v="월수금"/>
    <x v="3"/>
  </r>
  <r>
    <d v="2026-08-10T21:03:36"/>
    <s v="19006642"/>
    <x v="6"/>
    <x v="6"/>
    <n v="36"/>
    <m/>
    <n v="36"/>
    <s v="20270130150000"/>
    <s v="디캔팅"/>
    <s v="입고"/>
    <s v="작업완료"/>
    <s v="1004"/>
    <x v="8"/>
    <s v="2026-08-10 21:01:59"/>
    <s v="월수금"/>
    <x v="3"/>
  </r>
  <r>
    <d v="2026-08-10T21:02:28"/>
    <s v="19001608"/>
    <x v="6"/>
    <x v="6"/>
    <n v="36"/>
    <m/>
    <n v="36"/>
    <s v="20270130150000"/>
    <s v="디캔팅"/>
    <s v="입고"/>
    <s v="작업완료"/>
    <s v="1004"/>
    <x v="8"/>
    <s v="2026-08-10 21:00:53"/>
    <s v="월수금"/>
    <x v="3"/>
  </r>
  <r>
    <d v="2026-08-10T21:02:27"/>
    <s v="19013204"/>
    <x v="6"/>
    <x v="6"/>
    <n v="36"/>
    <m/>
    <n v="36"/>
    <s v="20270130150000"/>
    <s v="디캔팅"/>
    <s v="입고"/>
    <s v="작업완료"/>
    <s v="1004"/>
    <x v="8"/>
    <s v="2026-08-10 21:00:50"/>
    <s v="월수금"/>
    <x v="3"/>
  </r>
  <r>
    <d v="2026-08-10T21:02:21"/>
    <s v="19011558"/>
    <x v="6"/>
    <x v="6"/>
    <n v="36"/>
    <m/>
    <n v="36"/>
    <s v="20270130150000"/>
    <s v="디캔팅"/>
    <s v="입고"/>
    <s v="작업완료"/>
    <s v="1004"/>
    <x v="8"/>
    <s v="2026-08-10 21:00:57"/>
    <s v="월수금"/>
    <x v="3"/>
  </r>
  <r>
    <d v="2026-08-10T21:00:32"/>
    <s v="19012268"/>
    <x v="6"/>
    <x v="6"/>
    <n v="36"/>
    <m/>
    <n v="36"/>
    <s v="20270130150000"/>
    <s v="디캔팅"/>
    <s v="입고"/>
    <s v="작업완료"/>
    <s v="1004"/>
    <x v="8"/>
    <s v="2026-08-10 20:58:52"/>
    <s v="월수금"/>
    <x v="3"/>
  </r>
  <r>
    <d v="2026-08-10T21:00:27"/>
    <s v="19016550"/>
    <x v="6"/>
    <x v="6"/>
    <n v="36"/>
    <m/>
    <n v="36"/>
    <s v="20270130150000"/>
    <s v="디캔팅"/>
    <s v="입고"/>
    <s v="작업완료"/>
    <s v="1004"/>
    <x v="8"/>
    <s v="2026-08-10 20:58:43"/>
    <s v="월수금"/>
    <x v="3"/>
  </r>
  <r>
    <d v="2026-08-10T21:00:18"/>
    <s v="19015750"/>
    <x v="6"/>
    <x v="6"/>
    <n v="36"/>
    <m/>
    <n v="36"/>
    <s v="20270130150000"/>
    <s v="디캔팅"/>
    <s v="입고"/>
    <s v="작업완료"/>
    <s v="1004"/>
    <x v="8"/>
    <s v="2026-08-10 20:58:46"/>
    <s v="월수금"/>
    <x v="3"/>
  </r>
  <r>
    <d v="2026-08-10T20:59:23"/>
    <s v="19027243"/>
    <x v="6"/>
    <x v="6"/>
    <n v="36"/>
    <m/>
    <n v="36"/>
    <s v="20270130150000"/>
    <s v="디캔팅"/>
    <s v="입고"/>
    <s v="작업완료"/>
    <s v="1004"/>
    <x v="8"/>
    <s v="2026-08-10 20:57:27"/>
    <s v="월수금"/>
    <x v="3"/>
  </r>
  <r>
    <d v="2026-08-10T20:59:15"/>
    <s v="19009563"/>
    <x v="6"/>
    <x v="6"/>
    <n v="36"/>
    <m/>
    <n v="36"/>
    <s v="20270130150000"/>
    <s v="디캔팅"/>
    <s v="입고"/>
    <s v="작업완료"/>
    <s v="1004"/>
    <x v="8"/>
    <s v="2026-08-10 20:57:30"/>
    <s v="월수금"/>
    <x v="3"/>
  </r>
  <r>
    <d v="2026-08-10T20:59:13"/>
    <s v="19015207"/>
    <x v="6"/>
    <x v="6"/>
    <n v="36"/>
    <m/>
    <n v="36"/>
    <s v="20270130150000"/>
    <s v="디캔팅"/>
    <s v="입고"/>
    <s v="작업완료"/>
    <s v="1004"/>
    <x v="8"/>
    <s v="2026-08-10 20:57:34"/>
    <s v="월수금"/>
    <x v="3"/>
  </r>
  <r>
    <d v="2026-08-10T20:58:18"/>
    <s v="19007660"/>
    <x v="6"/>
    <x v="6"/>
    <n v="36"/>
    <m/>
    <n v="36"/>
    <s v="20270130150000"/>
    <s v="디캔팅"/>
    <s v="입고"/>
    <s v="작업완료"/>
    <s v="1004"/>
    <x v="8"/>
    <s v="2026-08-10 20:56:24"/>
    <s v="월수금"/>
    <x v="3"/>
  </r>
  <r>
    <d v="2026-08-10T20:58:09"/>
    <s v="19023657"/>
    <x v="6"/>
    <x v="6"/>
    <n v="36"/>
    <m/>
    <n v="36"/>
    <s v="20270130150000"/>
    <s v="디캔팅"/>
    <s v="입고"/>
    <s v="작업완료"/>
    <s v="1004"/>
    <x v="8"/>
    <s v="2026-08-10 20:56:20"/>
    <s v="월수금"/>
    <x v="3"/>
  </r>
  <r>
    <d v="2026-08-10T20:57:57"/>
    <s v="19003416"/>
    <x v="6"/>
    <x v="6"/>
    <n v="36"/>
    <m/>
    <n v="36"/>
    <s v="20270130150000"/>
    <s v="디캔팅"/>
    <s v="입고"/>
    <s v="작업완료"/>
    <s v="1004"/>
    <x v="8"/>
    <s v="2026-08-10 20:56:29"/>
    <s v="월수금"/>
    <x v="3"/>
  </r>
  <r>
    <d v="2026-08-10T20:56:55"/>
    <s v="19013941"/>
    <x v="6"/>
    <x v="6"/>
    <n v="36"/>
    <m/>
    <n v="36"/>
    <s v="20270130150000"/>
    <s v="디캔팅"/>
    <s v="입고"/>
    <s v="작업완료"/>
    <s v="1004"/>
    <x v="8"/>
    <s v="2026-08-10 20:55:00"/>
    <s v="월수금"/>
    <x v="3"/>
  </r>
  <r>
    <d v="2026-08-10T20:56:41"/>
    <s v="19028795"/>
    <x v="6"/>
    <x v="6"/>
    <n v="36"/>
    <m/>
    <n v="36"/>
    <s v="20270130150000"/>
    <s v="디캔팅"/>
    <s v="입고"/>
    <s v="작업완료"/>
    <s v="1004"/>
    <x v="8"/>
    <s v="2026-08-10 20:54:56"/>
    <s v="월수금"/>
    <x v="3"/>
  </r>
  <r>
    <d v="2026-08-10T20:56:23"/>
    <s v="19022697"/>
    <x v="6"/>
    <x v="6"/>
    <n v="36"/>
    <m/>
    <n v="36"/>
    <s v="20270130150000"/>
    <s v="디캔팅"/>
    <s v="입고"/>
    <s v="작업완료"/>
    <s v="1004"/>
    <x v="8"/>
    <s v="2026-08-10 20:54:53"/>
    <s v="월수금"/>
    <x v="3"/>
  </r>
  <r>
    <d v="2026-08-10T20:56:13"/>
    <s v="19002861"/>
    <x v="6"/>
    <x v="6"/>
    <n v="36"/>
    <m/>
    <n v="36"/>
    <s v="20270130150000"/>
    <s v="디캔팅"/>
    <s v="입고"/>
    <s v="작업완료"/>
    <s v="1004"/>
    <x v="8"/>
    <s v="2026-08-10 20:53:31"/>
    <s v="월수금"/>
    <x v="3"/>
  </r>
  <r>
    <d v="2026-08-10T20:55:26"/>
    <s v="19009507"/>
    <x v="6"/>
    <x v="6"/>
    <n v="36"/>
    <m/>
    <n v="36"/>
    <s v="20270130150000"/>
    <s v="디캔팅"/>
    <s v="입고"/>
    <s v="작업완료"/>
    <s v="1004"/>
    <x v="8"/>
    <s v="2026-08-10 20:53:34"/>
    <s v="월수금"/>
    <x v="3"/>
  </r>
  <r>
    <d v="2026-08-10T20:55:08"/>
    <s v="19008454"/>
    <x v="6"/>
    <x v="6"/>
    <n v="36"/>
    <m/>
    <n v="36"/>
    <s v="20270130150000"/>
    <s v="디캔팅"/>
    <s v="입고"/>
    <s v="작업완료"/>
    <s v="1004"/>
    <x v="8"/>
    <s v="2026-08-10 20:53:28"/>
    <s v="월수금"/>
    <x v="3"/>
  </r>
  <r>
    <d v="2026-08-10T20:54:02"/>
    <s v="19013337"/>
    <x v="6"/>
    <x v="6"/>
    <n v="36"/>
    <m/>
    <n v="36"/>
    <s v="20270130150000"/>
    <s v="디캔팅"/>
    <s v="입고"/>
    <s v="작업완료"/>
    <s v="1004"/>
    <x v="8"/>
    <s v="2026-08-10 20:51:56"/>
    <s v="월수금"/>
    <x v="3"/>
  </r>
  <r>
    <d v="2026-08-10T20:53:28"/>
    <s v="19004730"/>
    <x v="6"/>
    <x v="6"/>
    <n v="36"/>
    <m/>
    <n v="36"/>
    <s v="20270130150000"/>
    <s v="디캔팅"/>
    <s v="입고"/>
    <s v="작업완료"/>
    <s v="1004"/>
    <x v="8"/>
    <s v="2026-08-10 20:51:46"/>
    <s v="월수금"/>
    <x v="3"/>
  </r>
  <r>
    <d v="2026-08-10T20:53:22"/>
    <s v="19016628"/>
    <x v="6"/>
    <x v="6"/>
    <n v="36"/>
    <m/>
    <n v="36"/>
    <s v="20270130150000"/>
    <s v="디캔팅"/>
    <s v="입고"/>
    <s v="작업완료"/>
    <s v="1004"/>
    <x v="8"/>
    <s v="2026-08-10 20:51:49"/>
    <s v="월수금"/>
    <x v="3"/>
  </r>
  <r>
    <d v="2026-08-10T20:52:24"/>
    <s v="19006728"/>
    <x v="6"/>
    <x v="6"/>
    <n v="36"/>
    <m/>
    <n v="36"/>
    <s v="20270130150000"/>
    <s v="디캔팅"/>
    <s v="입고"/>
    <s v="작업완료"/>
    <s v="1004"/>
    <x v="8"/>
    <s v="2026-08-10 20:50:41"/>
    <s v="월수금"/>
    <x v="3"/>
  </r>
  <r>
    <d v="2026-08-10T20:52:19"/>
    <s v="19006846"/>
    <x v="6"/>
    <x v="6"/>
    <n v="36"/>
    <m/>
    <n v="36"/>
    <s v="20270130150000"/>
    <s v="디캔팅"/>
    <s v="입고"/>
    <s v="작업완료"/>
    <s v="1004"/>
    <x v="8"/>
    <s v="2026-08-10 20:50:36"/>
    <s v="월수금"/>
    <x v="3"/>
  </r>
  <r>
    <d v="2026-08-10T20:51:51"/>
    <s v="19022735"/>
    <x v="6"/>
    <x v="6"/>
    <n v="36"/>
    <m/>
    <n v="36"/>
    <s v="20270130150000"/>
    <s v="디캔팅"/>
    <s v="입고"/>
    <s v="작업완료"/>
    <s v="1004"/>
    <x v="8"/>
    <s v="2026-08-10 20:50:33"/>
    <s v="월수금"/>
    <x v="3"/>
  </r>
  <r>
    <d v="2026-08-10T20:51:19"/>
    <s v="19006091"/>
    <x v="6"/>
    <x v="6"/>
    <n v="36"/>
    <m/>
    <n v="36"/>
    <s v="20270130150000"/>
    <s v="디캔팅"/>
    <s v="입고"/>
    <s v="작업완료"/>
    <s v="1004"/>
    <x v="8"/>
    <s v="2026-08-10 20:49:26"/>
    <s v="월수금"/>
    <x v="3"/>
  </r>
  <r>
    <d v="2026-08-10T20:51:14"/>
    <s v="19012417"/>
    <x v="6"/>
    <x v="6"/>
    <n v="36"/>
    <m/>
    <n v="36"/>
    <s v="20270130150000"/>
    <s v="디캔팅"/>
    <s v="입고"/>
    <s v="작업완료"/>
    <s v="1004"/>
    <x v="8"/>
    <s v="2026-08-10 20:49:33"/>
    <s v="월수금"/>
    <x v="3"/>
  </r>
  <r>
    <d v="2026-08-10T20:50:56"/>
    <s v="19010242"/>
    <x v="6"/>
    <x v="6"/>
    <n v="36"/>
    <m/>
    <n v="36"/>
    <s v="20270130150000"/>
    <s v="디캔팅"/>
    <s v="입고"/>
    <s v="작업완료"/>
    <s v="1004"/>
    <x v="8"/>
    <s v="2026-08-10 20:49:28"/>
    <s v="월수금"/>
    <x v="3"/>
  </r>
  <r>
    <d v="2026-08-10T15:58:28"/>
    <s v="19010075"/>
    <x v="6"/>
    <x v="6"/>
    <n v="36"/>
    <m/>
    <n v="36"/>
    <s v="20270130150000"/>
    <s v="디캔팅"/>
    <s v="입고"/>
    <s v="작업완료"/>
    <s v="1006"/>
    <x v="6"/>
    <s v="2026-08-10 15:56:30"/>
    <s v="월수금"/>
    <x v="3"/>
  </r>
  <r>
    <d v="2026-08-10T15:58:27"/>
    <s v="19001981"/>
    <x v="6"/>
    <x v="6"/>
    <n v="36"/>
    <m/>
    <n v="36"/>
    <s v="20270130150000"/>
    <s v="디캔팅"/>
    <s v="입고"/>
    <s v="작업완료"/>
    <s v="1006"/>
    <x v="6"/>
    <s v="2026-08-10 15:56:36"/>
    <s v="월수금"/>
    <x v="3"/>
  </r>
  <r>
    <d v="2026-08-10T15:57:25"/>
    <s v="19006611"/>
    <x v="6"/>
    <x v="6"/>
    <n v="36"/>
    <m/>
    <n v="36"/>
    <s v="20270130150000"/>
    <s v="디캔팅"/>
    <s v="입고"/>
    <s v="작업완료"/>
    <s v="1006"/>
    <x v="6"/>
    <s v="2026-08-10 15:55:27"/>
    <s v="월수금"/>
    <x v="3"/>
  </r>
  <r>
    <d v="2026-08-10T15:57:20"/>
    <s v="19006107"/>
    <x v="6"/>
    <x v="6"/>
    <n v="36"/>
    <m/>
    <n v="36"/>
    <s v="20270130150000"/>
    <s v="디캔팅"/>
    <s v="입고"/>
    <s v="작업완료"/>
    <s v="1006"/>
    <x v="6"/>
    <s v="2026-08-10 15:55:32"/>
    <s v="월수금"/>
    <x v="3"/>
  </r>
  <r>
    <d v="2026-08-10T15:56:33"/>
    <s v="19021395"/>
    <x v="6"/>
    <x v="6"/>
    <n v="36"/>
    <m/>
    <n v="36"/>
    <s v="20270130150000"/>
    <s v="디캔팅"/>
    <s v="입고"/>
    <s v="작업완료"/>
    <s v="1006"/>
    <x v="6"/>
    <s v="2026-08-10 15:54:25"/>
    <s v="월수금"/>
    <x v="3"/>
  </r>
  <r>
    <d v="2026-08-10T15:56:19"/>
    <s v="19009674"/>
    <x v="6"/>
    <x v="6"/>
    <n v="36"/>
    <m/>
    <n v="36"/>
    <s v="20270130150000"/>
    <s v="디캔팅"/>
    <s v="입고"/>
    <s v="작업완료"/>
    <s v="1006"/>
    <x v="6"/>
    <s v="2026-08-10 15:54:30"/>
    <s v="월수금"/>
    <x v="3"/>
  </r>
  <r>
    <d v="2026-08-10T15:55:08"/>
    <s v="19007453"/>
    <x v="6"/>
    <x v="6"/>
    <n v="36"/>
    <m/>
    <n v="36"/>
    <s v="20270130150000"/>
    <s v="디캔팅"/>
    <s v="입고"/>
    <s v="작업완료"/>
    <s v="1006"/>
    <x v="6"/>
    <s v="2026-08-10 15:53:20"/>
    <s v="월수금"/>
    <x v="3"/>
  </r>
  <r>
    <d v="2026-08-10T15:55:01"/>
    <s v="19002433"/>
    <x v="6"/>
    <x v="6"/>
    <n v="36"/>
    <m/>
    <n v="36"/>
    <s v="20270130150000"/>
    <s v="디캔팅"/>
    <s v="입고"/>
    <s v="작업완료"/>
    <s v="1006"/>
    <x v="6"/>
    <s v="2026-08-10 15:53:15"/>
    <s v="월수금"/>
    <x v="3"/>
  </r>
  <r>
    <d v="2026-08-10T15:54:18"/>
    <s v="19018532"/>
    <x v="6"/>
    <x v="6"/>
    <n v="36"/>
    <m/>
    <n v="36"/>
    <s v="20270130150000"/>
    <s v="디캔팅"/>
    <s v="입고"/>
    <s v="작업완료"/>
    <s v="1006"/>
    <x v="6"/>
    <s v="2026-08-10 15:52:11"/>
    <s v="월수금"/>
    <x v="3"/>
  </r>
  <r>
    <d v="2026-08-10T15:53:46"/>
    <s v="19002598"/>
    <x v="6"/>
    <x v="6"/>
    <n v="36"/>
    <m/>
    <n v="36"/>
    <s v="20270130150000"/>
    <s v="디캔팅"/>
    <s v="입고"/>
    <s v="작업완료"/>
    <s v="1006"/>
    <x v="6"/>
    <s v="2026-08-10 15:52:06"/>
    <s v="월수금"/>
    <x v="3"/>
  </r>
  <r>
    <d v="2026-08-10T15:53:29"/>
    <s v="19002675"/>
    <x v="6"/>
    <x v="6"/>
    <n v="36"/>
    <m/>
    <n v="36"/>
    <s v="20270130150000"/>
    <s v="디캔팅"/>
    <s v="입고"/>
    <s v="작업완료"/>
    <s v="1006"/>
    <x v="6"/>
    <s v="2026-08-10 15:51:03"/>
    <s v="월수금"/>
    <x v="3"/>
  </r>
  <r>
    <d v="2026-08-10T15:52:35"/>
    <s v="19017094"/>
    <x v="6"/>
    <x v="6"/>
    <n v="36"/>
    <m/>
    <n v="36"/>
    <s v="20270130150000"/>
    <s v="디캔팅"/>
    <s v="입고"/>
    <s v="작업완료"/>
    <s v="1006"/>
    <x v="6"/>
    <s v="2026-08-10 15:50:59"/>
    <s v="월수금"/>
    <x v="3"/>
  </r>
  <r>
    <d v="2026-08-10T15:52:05"/>
    <s v="19019321"/>
    <x v="6"/>
    <x v="6"/>
    <n v="36"/>
    <m/>
    <n v="36"/>
    <s v="20270130150000"/>
    <s v="디캔팅"/>
    <s v="입고"/>
    <s v="작업완료"/>
    <s v="1006"/>
    <x v="6"/>
    <s v="2026-08-10 15:49:33"/>
    <s v="월수금"/>
    <x v="3"/>
  </r>
  <r>
    <d v="2026-08-10T15:51:39"/>
    <s v="19007360"/>
    <x v="6"/>
    <x v="6"/>
    <n v="36"/>
    <m/>
    <n v="36"/>
    <s v="20270130150000"/>
    <s v="디캔팅"/>
    <s v="입고"/>
    <s v="작업완료"/>
    <s v="1006"/>
    <x v="6"/>
    <s v="2026-08-10 15:49:39"/>
    <s v="월수금"/>
    <x v="3"/>
  </r>
  <r>
    <d v="2026-08-10T15:50:21"/>
    <s v="19001536"/>
    <x v="6"/>
    <x v="6"/>
    <n v="36"/>
    <m/>
    <n v="36"/>
    <s v="20270130150000"/>
    <s v="디캔팅"/>
    <s v="입고"/>
    <s v="작업완료"/>
    <s v="1006"/>
    <x v="6"/>
    <s v="2026-08-10 15:48:05"/>
    <s v="월수금"/>
    <x v="3"/>
  </r>
  <r>
    <d v="2026-08-10T15:50:02"/>
    <s v="19010284"/>
    <x v="6"/>
    <x v="6"/>
    <n v="36"/>
    <m/>
    <n v="36"/>
    <s v="20270130150000"/>
    <s v="디캔팅"/>
    <s v="입고"/>
    <s v="작업완료"/>
    <s v="1006"/>
    <x v="6"/>
    <s v="2026-08-10 15:48:10"/>
    <s v="월수금"/>
    <x v="3"/>
  </r>
  <r>
    <d v="2026-08-10T15:48:31"/>
    <s v="19001813"/>
    <x v="6"/>
    <x v="6"/>
    <n v="36"/>
    <m/>
    <n v="36"/>
    <s v="20270130150000"/>
    <s v="디캔팅"/>
    <s v="입고"/>
    <s v="작업완료"/>
    <s v="1006"/>
    <x v="6"/>
    <s v="2026-08-10 15:46:47"/>
    <s v="월수금"/>
    <x v="3"/>
  </r>
  <r>
    <d v="2026-08-10T15:48:00"/>
    <s v="19005366"/>
    <x v="6"/>
    <x v="6"/>
    <n v="36"/>
    <m/>
    <n v="36"/>
    <s v="20270130150000"/>
    <s v="디캔팅"/>
    <s v="입고"/>
    <s v="작업완료"/>
    <s v="1006"/>
    <x v="6"/>
    <s v="2026-08-10 15:46:42"/>
    <s v="월수금"/>
    <x v="3"/>
  </r>
  <r>
    <d v="2026-08-10T15:47:23"/>
    <s v="19001541"/>
    <x v="6"/>
    <x v="6"/>
    <n v="36"/>
    <m/>
    <n v="36"/>
    <s v="20270130150000"/>
    <s v="디캔팅"/>
    <s v="입고"/>
    <s v="작업완료"/>
    <s v="1006"/>
    <x v="6"/>
    <s v="2026-08-10 15:45:38"/>
    <s v="월수금"/>
    <x v="3"/>
  </r>
  <r>
    <d v="2026-08-10T15:47:07"/>
    <s v="19021306"/>
    <x v="6"/>
    <x v="6"/>
    <n v="36"/>
    <m/>
    <n v="36"/>
    <s v="20270130150000"/>
    <s v="디캔팅"/>
    <s v="입고"/>
    <s v="작업완료"/>
    <s v="1006"/>
    <x v="6"/>
    <s v="2026-08-10 15:45:33"/>
    <s v="월수금"/>
    <x v="3"/>
  </r>
  <r>
    <d v="2026-08-10T15:46:00"/>
    <s v="19004989"/>
    <x v="6"/>
    <x v="6"/>
    <n v="36"/>
    <m/>
    <n v="36"/>
    <s v="20270130150000"/>
    <s v="디캔팅"/>
    <s v="입고"/>
    <s v="작업완료"/>
    <s v="1006"/>
    <x v="6"/>
    <s v="2026-08-10 15:44:30"/>
    <s v="월수금"/>
    <x v="3"/>
  </r>
  <r>
    <d v="2026-08-10T15:45:59"/>
    <s v="19000751"/>
    <x v="6"/>
    <x v="6"/>
    <n v="36"/>
    <m/>
    <n v="36"/>
    <s v="20270130150000"/>
    <s v="디캔팅"/>
    <s v="입고"/>
    <s v="작업완료"/>
    <s v="1006"/>
    <x v="6"/>
    <s v="2026-08-10 15:44:25"/>
    <s v="월수금"/>
    <x v="3"/>
  </r>
  <r>
    <d v="2026-08-10T15:45:10"/>
    <s v="19021355"/>
    <x v="6"/>
    <x v="6"/>
    <n v="36"/>
    <m/>
    <n v="36"/>
    <s v="20270130150000"/>
    <s v="디캔팅"/>
    <s v="입고"/>
    <s v="작업완료"/>
    <s v="1006"/>
    <x v="6"/>
    <s v="2026-08-10 15:43:17"/>
    <s v="월수금"/>
    <x v="3"/>
  </r>
  <r>
    <d v="2026-08-10T15:44:53"/>
    <s v="19006451"/>
    <x v="6"/>
    <x v="6"/>
    <n v="36"/>
    <m/>
    <n v="36"/>
    <s v="20270130150000"/>
    <s v="디캔팅"/>
    <s v="입고"/>
    <s v="작업완료"/>
    <s v="1006"/>
    <x v="6"/>
    <s v="2026-08-10 15:43:13"/>
    <s v="월수금"/>
    <x v="3"/>
  </r>
  <r>
    <d v="2026-08-10T15:44:33"/>
    <s v="19021506"/>
    <x v="6"/>
    <x v="6"/>
    <n v="36"/>
    <m/>
    <n v="36"/>
    <s v="20270130150000"/>
    <s v="디캔팅"/>
    <s v="입고"/>
    <s v="작업완료"/>
    <s v="1006"/>
    <x v="6"/>
    <s v="2026-08-10 15:42:03"/>
    <s v="월수금"/>
    <x v="3"/>
  </r>
  <r>
    <d v="2026-08-10T15:44:31"/>
    <s v="19008622"/>
    <x v="6"/>
    <x v="6"/>
    <n v="36"/>
    <m/>
    <n v="36"/>
    <s v="20270130150000"/>
    <s v="디캔팅"/>
    <s v="입고"/>
    <s v="작업완료"/>
    <s v="1006"/>
    <x v="6"/>
    <s v="2026-08-10 15:41:58"/>
    <s v="월수금"/>
    <x v="3"/>
  </r>
  <r>
    <d v="2026-08-10T15:41:40"/>
    <s v="19000353"/>
    <x v="6"/>
    <x v="6"/>
    <n v="36"/>
    <m/>
    <n v="36"/>
    <s v="20270130150000"/>
    <s v="디캔팅"/>
    <s v="입고"/>
    <s v="작업완료"/>
    <s v="1006"/>
    <x v="6"/>
    <s v="2026-08-10 15:39:59"/>
    <s v="월수금"/>
    <x v="3"/>
  </r>
  <r>
    <d v="2026-08-10T15:41:22"/>
    <s v="19000961"/>
    <x v="6"/>
    <x v="6"/>
    <n v="36"/>
    <m/>
    <n v="36"/>
    <s v="20270130150000"/>
    <s v="디캔팅"/>
    <s v="입고"/>
    <s v="작업완료"/>
    <s v="1006"/>
    <x v="6"/>
    <s v="2026-08-10 15:39:55"/>
    <s v="월수금"/>
    <x v="3"/>
  </r>
  <r>
    <d v="2026-08-10T15:39:08"/>
    <s v="19017309"/>
    <x v="6"/>
    <x v="6"/>
    <n v="36"/>
    <m/>
    <n v="36"/>
    <s v="20270130150000"/>
    <s v="디캔팅"/>
    <s v="입고"/>
    <s v="작업완료"/>
    <s v="1006"/>
    <x v="6"/>
    <s v="2026-08-10 15:36:05"/>
    <s v="월수금"/>
    <x v="3"/>
  </r>
  <r>
    <d v="2026-08-10T15:38:19"/>
    <s v="19002704"/>
    <x v="6"/>
    <x v="6"/>
    <n v="36"/>
    <m/>
    <n v="36"/>
    <s v="20270130150000"/>
    <s v="디캔팅"/>
    <s v="입고"/>
    <s v="작업완료"/>
    <s v="1006"/>
    <x v="6"/>
    <s v="2026-08-10 15:36:26"/>
    <s v="월수금"/>
    <x v="3"/>
  </r>
  <r>
    <d v="2026-08-10T15:36:12"/>
    <s v="19004103"/>
    <x v="6"/>
    <x v="6"/>
    <n v="36"/>
    <m/>
    <n v="36"/>
    <s v="20270130150000"/>
    <s v="디캔팅"/>
    <s v="입고"/>
    <s v="작업완료"/>
    <s v="1006"/>
    <x v="6"/>
    <s v="2026-08-10 15:34:23"/>
    <s v="월수금"/>
    <x v="3"/>
  </r>
  <r>
    <d v="2026-08-10T15:35:55"/>
    <s v="19010228"/>
    <x v="6"/>
    <x v="6"/>
    <n v="36"/>
    <m/>
    <n v="36"/>
    <s v="20270130150000"/>
    <s v="디캔팅"/>
    <s v="입고"/>
    <s v="작업완료"/>
    <s v="1006"/>
    <x v="6"/>
    <s v="2026-08-10 15:34:19"/>
    <s v="월수금"/>
    <x v="3"/>
  </r>
  <r>
    <d v="2026-08-10T15:35:19"/>
    <s v="19016077"/>
    <x v="6"/>
    <x v="6"/>
    <n v="36"/>
    <m/>
    <n v="36"/>
    <s v="20270130150000"/>
    <s v="디캔팅"/>
    <s v="입고"/>
    <s v="작업완료"/>
    <s v="1006"/>
    <x v="6"/>
    <s v="2026-08-10 15:33:17"/>
    <s v="월수금"/>
    <x v="3"/>
  </r>
  <r>
    <d v="2026-08-10T15:35:17"/>
    <s v="19019831"/>
    <x v="6"/>
    <x v="6"/>
    <n v="36"/>
    <m/>
    <n v="36"/>
    <s v="20270130150000"/>
    <s v="디캔팅"/>
    <s v="입고"/>
    <s v="작업완료"/>
    <s v="1006"/>
    <x v="6"/>
    <s v="2026-08-10 15:33:21"/>
    <s v="월수금"/>
    <x v="3"/>
  </r>
  <r>
    <d v="2026-08-10T15:33:50"/>
    <s v="19007008"/>
    <x v="6"/>
    <x v="6"/>
    <n v="36"/>
    <m/>
    <n v="36"/>
    <s v="20270130150000"/>
    <s v="디캔팅"/>
    <s v="입고"/>
    <s v="작업완료"/>
    <s v="1006"/>
    <x v="6"/>
    <s v="2026-08-10 15:32:01"/>
    <s v="월수금"/>
    <x v="3"/>
  </r>
  <r>
    <d v="2026-08-10T15:33:29"/>
    <s v="19021577"/>
    <x v="6"/>
    <x v="6"/>
    <n v="36"/>
    <m/>
    <n v="36"/>
    <s v="20270130150000"/>
    <s v="디캔팅"/>
    <s v="입고"/>
    <s v="작업완료"/>
    <s v="1006"/>
    <x v="6"/>
    <s v="2026-08-10 15:31:52"/>
    <s v="월수금"/>
    <x v="3"/>
  </r>
  <r>
    <d v="2026-08-10T15:32:37"/>
    <s v="19012102"/>
    <x v="6"/>
    <x v="6"/>
    <n v="36"/>
    <m/>
    <n v="36"/>
    <s v="20270130150000"/>
    <s v="디캔팅"/>
    <s v="입고"/>
    <s v="작업완료"/>
    <s v="1006"/>
    <x v="6"/>
    <s v="2026-08-10 15:30:52"/>
    <s v="월수금"/>
    <x v="3"/>
  </r>
  <r>
    <d v="2026-08-10T15:32:36"/>
    <s v="19018847"/>
    <x v="6"/>
    <x v="6"/>
    <n v="36"/>
    <m/>
    <n v="36"/>
    <s v="20270130150000"/>
    <s v="디캔팅"/>
    <s v="입고"/>
    <s v="작업완료"/>
    <s v="1006"/>
    <x v="6"/>
    <s v="2026-08-10 15:30:57"/>
    <s v="월수금"/>
    <x v="3"/>
  </r>
  <r>
    <d v="2026-08-10T15:31:50"/>
    <s v="19006561"/>
    <x v="6"/>
    <x v="6"/>
    <n v="36"/>
    <m/>
    <n v="36"/>
    <s v="20270130150000"/>
    <s v="디캔팅"/>
    <s v="입고"/>
    <s v="작업완료"/>
    <s v="1006"/>
    <x v="6"/>
    <s v="2026-08-10 15:29:44"/>
    <s v="월수금"/>
    <x v="3"/>
  </r>
  <r>
    <d v="2026-08-10T15:31:21"/>
    <s v="19020118"/>
    <x v="6"/>
    <x v="6"/>
    <n v="36"/>
    <m/>
    <n v="36"/>
    <s v="20270130150000"/>
    <s v="디캔팅"/>
    <s v="입고"/>
    <s v="작업완료"/>
    <s v="1006"/>
    <x v="6"/>
    <s v="2026-08-10 15:29:39"/>
    <s v="월수금"/>
    <x v="3"/>
  </r>
  <r>
    <d v="2026-08-10T14:08:28"/>
    <s v="19014910"/>
    <x v="6"/>
    <x v="6"/>
    <n v="36"/>
    <m/>
    <n v="36"/>
    <s v="20270130150000"/>
    <s v="디캔팅"/>
    <s v="입고"/>
    <s v="작업완료"/>
    <s v="1014"/>
    <x v="10"/>
    <s v="2026-08-10 14:06:34"/>
    <s v="월수금"/>
    <x v="3"/>
  </r>
  <r>
    <d v="2026-08-10T14:08:09"/>
    <s v="19023272"/>
    <x v="6"/>
    <x v="6"/>
    <n v="36"/>
    <m/>
    <n v="36"/>
    <s v="20270130150000"/>
    <s v="디캔팅"/>
    <s v="입고"/>
    <s v="작업완료"/>
    <s v="1014"/>
    <x v="10"/>
    <s v="2026-08-10 14:06:22"/>
    <s v="월수금"/>
    <x v="3"/>
  </r>
  <r>
    <d v="2026-08-10T14:07:16"/>
    <s v="19005770"/>
    <x v="6"/>
    <x v="6"/>
    <n v="36"/>
    <m/>
    <n v="36"/>
    <s v="20270130150000"/>
    <s v="디캔팅"/>
    <s v="입고"/>
    <s v="작업완료"/>
    <s v="1014"/>
    <x v="10"/>
    <s v="2026-08-10 14:05:10"/>
    <s v="월수금"/>
    <x v="3"/>
  </r>
  <r>
    <d v="2026-08-10T14:06:56"/>
    <s v="19007008"/>
    <x v="6"/>
    <x v="6"/>
    <n v="36"/>
    <m/>
    <n v="36"/>
    <s v="20270130150000"/>
    <s v="디캔팅"/>
    <s v="입고"/>
    <s v="작업완료"/>
    <s v="1014"/>
    <x v="10"/>
    <s v="2026-08-10 14:04:51"/>
    <s v="월수금"/>
    <x v="3"/>
  </r>
  <r>
    <d v="2026-08-10T14:05:06"/>
    <s v="19015576"/>
    <x v="6"/>
    <x v="6"/>
    <n v="36"/>
    <m/>
    <n v="36"/>
    <s v="20270130150000"/>
    <s v="디캔팅"/>
    <s v="입고"/>
    <s v="작업완료"/>
    <s v="1014"/>
    <x v="10"/>
    <s v="2026-08-10 14:02:30"/>
    <s v="월수금"/>
    <x v="3"/>
  </r>
  <r>
    <d v="2026-08-10T14:04:50"/>
    <s v="19000766"/>
    <x v="6"/>
    <x v="6"/>
    <n v="36"/>
    <m/>
    <n v="36"/>
    <s v="20270130150000"/>
    <s v="디캔팅"/>
    <s v="입고"/>
    <s v="작업완료"/>
    <s v="1014"/>
    <x v="10"/>
    <s v="2026-08-10 14:02:46"/>
    <s v="월수금"/>
    <x v="3"/>
  </r>
  <r>
    <d v="2026-08-10T14:03:37"/>
    <s v="19001443"/>
    <x v="6"/>
    <x v="6"/>
    <n v="36"/>
    <m/>
    <n v="36"/>
    <s v="20270130150000"/>
    <s v="디캔팅"/>
    <s v="입고"/>
    <s v="작업완료"/>
    <s v="1014"/>
    <x v="10"/>
    <s v="2026-08-10 14:01:16"/>
    <s v="월수금"/>
    <x v="3"/>
  </r>
  <r>
    <d v="2026-08-10T14:03:33"/>
    <s v="19009224"/>
    <x v="6"/>
    <x v="6"/>
    <n v="36"/>
    <m/>
    <n v="36"/>
    <s v="20270130150000"/>
    <s v="디캔팅"/>
    <s v="입고"/>
    <s v="작업완료"/>
    <s v="1014"/>
    <x v="10"/>
    <s v="2026-08-10 14:01:11"/>
    <s v="월수금"/>
    <x v="3"/>
  </r>
  <r>
    <d v="2026-08-10T14:02:20"/>
    <s v="19001473"/>
    <x v="6"/>
    <x v="6"/>
    <n v="36"/>
    <m/>
    <n v="36"/>
    <s v="20270130150000"/>
    <s v="디캔팅"/>
    <s v="입고"/>
    <s v="작업완료"/>
    <s v="1014"/>
    <x v="10"/>
    <s v="2026-08-10 14:00:07"/>
    <s v="월수금"/>
    <x v="3"/>
  </r>
  <r>
    <d v="2026-08-10T14:02:01"/>
    <s v="19001025"/>
    <x v="6"/>
    <x v="6"/>
    <n v="36"/>
    <m/>
    <n v="36"/>
    <s v="20270130150000"/>
    <s v="디캔팅"/>
    <s v="입고"/>
    <s v="작업완료"/>
    <s v="1014"/>
    <x v="10"/>
    <s v="2026-08-10 14:00:02"/>
    <s v="월수금"/>
    <x v="3"/>
  </r>
  <r>
    <d v="2026-08-10T14:00:36"/>
    <s v="19021276"/>
    <x v="6"/>
    <x v="6"/>
    <n v="36"/>
    <m/>
    <n v="36"/>
    <s v="20270130150000"/>
    <s v="디캔팅"/>
    <s v="입고"/>
    <s v="작업완료"/>
    <s v="1014"/>
    <x v="10"/>
    <s v="2026-08-10 13:58:11"/>
    <s v="월수금"/>
    <x v="3"/>
  </r>
  <r>
    <d v="2026-08-10T13:59:59"/>
    <s v="19023350"/>
    <x v="6"/>
    <x v="6"/>
    <n v="36"/>
    <m/>
    <n v="36"/>
    <s v="20270130150000"/>
    <s v="디캔팅"/>
    <s v="입고"/>
    <s v="작업완료"/>
    <s v="1014"/>
    <x v="10"/>
    <s v="2026-08-10 13:58:07"/>
    <s v="월수금"/>
    <x v="3"/>
  </r>
  <r>
    <d v="2026-08-10T13:59:04"/>
    <s v="19015147"/>
    <x v="6"/>
    <x v="6"/>
    <n v="36"/>
    <m/>
    <n v="36"/>
    <s v="20270130150000"/>
    <s v="디캔팅"/>
    <s v="입고"/>
    <s v="작업완료"/>
    <s v="1014"/>
    <x v="10"/>
    <s v="2026-08-10 13:56:50"/>
    <s v="월수금"/>
    <x v="3"/>
  </r>
  <r>
    <d v="2026-08-10T13:59:01"/>
    <s v="19027254"/>
    <x v="6"/>
    <x v="6"/>
    <n v="36"/>
    <m/>
    <n v="36"/>
    <s v="20270130150000"/>
    <s v="디캔팅"/>
    <s v="입고"/>
    <s v="작업완료"/>
    <s v="1014"/>
    <x v="10"/>
    <s v="2026-08-10 13:56:43"/>
    <s v="월수금"/>
    <x v="3"/>
  </r>
  <r>
    <d v="2026-08-10T13:58:49"/>
    <s v="19000998"/>
    <x v="6"/>
    <x v="6"/>
    <n v="36"/>
    <m/>
    <n v="36"/>
    <s v="20270130150000"/>
    <s v="디캔팅"/>
    <s v="입고"/>
    <s v="작업완료"/>
    <s v="1014"/>
    <x v="10"/>
    <s v="2026-08-10 13:55:35"/>
    <s v="월수금"/>
    <x v="3"/>
  </r>
  <r>
    <d v="2026-08-10T13:58:46"/>
    <s v="19009597"/>
    <x v="6"/>
    <x v="6"/>
    <n v="36"/>
    <m/>
    <n v="36"/>
    <s v="20270130150000"/>
    <s v="디캔팅"/>
    <s v="입고"/>
    <s v="작업완료"/>
    <s v="1014"/>
    <x v="10"/>
    <s v="2026-08-10 13:55:30"/>
    <s v="월수금"/>
    <x v="3"/>
  </r>
  <r>
    <d v="2026-08-10T13:58:41"/>
    <s v="19018671"/>
    <x v="6"/>
    <x v="6"/>
    <n v="36"/>
    <m/>
    <n v="36"/>
    <s v="20270130150000"/>
    <s v="디캔팅"/>
    <s v="입고"/>
    <s v="작업완료"/>
    <s v="1014"/>
    <x v="10"/>
    <s v="2026-08-10 13:54:17"/>
    <s v="월수금"/>
    <x v="3"/>
  </r>
  <r>
    <d v="2026-08-10T13:58:39"/>
    <s v="19028770"/>
    <x v="6"/>
    <x v="6"/>
    <n v="36"/>
    <m/>
    <n v="36"/>
    <s v="20270130150000"/>
    <s v="디캔팅"/>
    <s v="입고"/>
    <s v="작업완료"/>
    <s v="1014"/>
    <x v="10"/>
    <s v="2026-08-10 13:54:23"/>
    <s v="월수금"/>
    <x v="3"/>
  </r>
  <r>
    <d v="2026-08-10T13:57:22"/>
    <s v="19015490"/>
    <x v="6"/>
    <x v="6"/>
    <n v="36"/>
    <m/>
    <n v="36"/>
    <s v="20270130150000"/>
    <s v="디캔팅"/>
    <s v="입고"/>
    <s v="작업완료"/>
    <s v="1014"/>
    <x v="10"/>
    <s v="2026-08-10 13:52:58"/>
    <s v="월수금"/>
    <x v="3"/>
  </r>
  <r>
    <d v="2026-08-10T13:55:19"/>
    <s v="19008788"/>
    <x v="6"/>
    <x v="6"/>
    <n v="36"/>
    <m/>
    <n v="36"/>
    <s v="20270130150000"/>
    <s v="디캔팅"/>
    <s v="입고"/>
    <s v="작업완료"/>
    <s v="1014"/>
    <x v="10"/>
    <s v="2026-08-10 13:52:54"/>
    <s v="월수금"/>
    <x v="3"/>
  </r>
  <r>
    <d v="2026-08-10T13:53:53"/>
    <s v="19018663"/>
    <x v="6"/>
    <x v="6"/>
    <n v="36"/>
    <m/>
    <n v="36"/>
    <s v="20270130150000"/>
    <s v="디캔팅"/>
    <s v="입고"/>
    <s v="작업완료"/>
    <s v="1014"/>
    <x v="10"/>
    <s v="2026-08-10 13:51:18"/>
    <s v="월수금"/>
    <x v="3"/>
  </r>
  <r>
    <d v="2026-08-10T13:53:25"/>
    <s v="19014903"/>
    <x v="6"/>
    <x v="6"/>
    <n v="36"/>
    <m/>
    <n v="36"/>
    <s v="20270130150000"/>
    <s v="디캔팅"/>
    <s v="입고"/>
    <s v="작업완료"/>
    <s v="1014"/>
    <x v="10"/>
    <s v="2026-08-10 13:51:14"/>
    <s v="월수금"/>
    <x v="3"/>
  </r>
  <r>
    <d v="2026-08-10T13:52:16"/>
    <s v="19018445"/>
    <x v="6"/>
    <x v="6"/>
    <n v="36"/>
    <m/>
    <n v="36"/>
    <s v="20270130150000"/>
    <s v="디캔팅"/>
    <s v="입고"/>
    <s v="작업완료"/>
    <s v="1014"/>
    <x v="10"/>
    <s v="2026-08-10 13:50:11"/>
    <s v="월수금"/>
    <x v="3"/>
  </r>
  <r>
    <d v="2026-08-10T13:51:47"/>
    <s v="19003873"/>
    <x v="6"/>
    <x v="6"/>
    <n v="36"/>
    <m/>
    <n v="36"/>
    <s v="20270130150000"/>
    <s v="디캔팅"/>
    <s v="입고"/>
    <s v="작업완료"/>
    <s v="1014"/>
    <x v="10"/>
    <s v="2026-08-10 13:50:07"/>
    <s v="월수금"/>
    <x v="3"/>
  </r>
  <r>
    <d v="2026-08-10T13:51:28"/>
    <s v="19025857"/>
    <x v="6"/>
    <x v="6"/>
    <n v="36"/>
    <m/>
    <n v="36"/>
    <s v="20270130150000"/>
    <s v="디캔팅"/>
    <s v="입고"/>
    <s v="작업완료"/>
    <s v="1014"/>
    <x v="10"/>
    <s v="2026-08-10 13:49:17"/>
    <s v="월수금"/>
    <x v="3"/>
  </r>
  <r>
    <d v="2026-08-10T13:50:54"/>
    <s v="19007016"/>
    <x v="6"/>
    <x v="6"/>
    <n v="36"/>
    <m/>
    <n v="36"/>
    <s v="20270130150000"/>
    <s v="디캔팅"/>
    <s v="입고"/>
    <s v="작업완료"/>
    <s v="1014"/>
    <x v="10"/>
    <s v="2026-08-10 13:49:12"/>
    <s v="월수금"/>
    <x v="3"/>
  </r>
  <r>
    <d v="2026-08-10T13:50:29"/>
    <s v="19012675"/>
    <x v="6"/>
    <x v="6"/>
    <n v="36"/>
    <m/>
    <n v="36"/>
    <s v="20270130150000"/>
    <s v="디캔팅"/>
    <s v="입고"/>
    <s v="작업완료"/>
    <s v="1014"/>
    <x v="10"/>
    <s v="2026-08-10 13:48:18"/>
    <s v="월수금"/>
    <x v="3"/>
  </r>
  <r>
    <d v="2026-08-10T13:50:13"/>
    <s v="19003803"/>
    <x v="6"/>
    <x v="6"/>
    <n v="36"/>
    <m/>
    <n v="36"/>
    <s v="20270130150000"/>
    <s v="디캔팅"/>
    <s v="입고"/>
    <s v="작업완료"/>
    <s v="1014"/>
    <x v="10"/>
    <s v="2026-08-10 13:48:13"/>
    <s v="월수금"/>
    <x v="3"/>
  </r>
  <r>
    <d v="2026-08-10T13:49:08"/>
    <s v="19015562"/>
    <x v="6"/>
    <x v="6"/>
    <n v="36"/>
    <m/>
    <n v="36"/>
    <s v="20270130150000"/>
    <s v="디캔팅"/>
    <s v="입고"/>
    <s v="작업완료"/>
    <s v="1014"/>
    <x v="10"/>
    <s v="2026-08-10 13:47:00"/>
    <s v="월수금"/>
    <x v="3"/>
  </r>
  <r>
    <d v="2026-08-10T13:49:04"/>
    <s v="19005912"/>
    <x v="6"/>
    <x v="6"/>
    <n v="36"/>
    <m/>
    <n v="36"/>
    <s v="20270130150000"/>
    <s v="디캔팅"/>
    <s v="입고"/>
    <s v="작업완료"/>
    <s v="1014"/>
    <x v="10"/>
    <s v="2026-08-10 13:47:16"/>
    <s v="월수금"/>
    <x v="3"/>
  </r>
  <r>
    <d v="2026-08-10T13:47:56"/>
    <s v="19015093"/>
    <x v="6"/>
    <x v="6"/>
    <n v="36"/>
    <m/>
    <n v="36"/>
    <s v="20270130150000"/>
    <s v="디캔팅"/>
    <s v="입고"/>
    <s v="작업완료"/>
    <s v="1014"/>
    <x v="10"/>
    <s v="2026-08-10 13:45:49"/>
    <s v="월수금"/>
    <x v="3"/>
  </r>
  <r>
    <d v="2026-08-10T13:47:35"/>
    <s v="19018455"/>
    <x v="6"/>
    <x v="6"/>
    <n v="36"/>
    <m/>
    <n v="36"/>
    <s v="20270130150000"/>
    <s v="디캔팅"/>
    <s v="입고"/>
    <s v="작업완료"/>
    <s v="1014"/>
    <x v="10"/>
    <s v="2026-08-10 13:45:44"/>
    <s v="월수금"/>
    <x v="3"/>
  </r>
  <r>
    <d v="2026-08-10T13:46:43"/>
    <s v="19009337"/>
    <x v="6"/>
    <x v="6"/>
    <n v="36"/>
    <m/>
    <n v="36"/>
    <s v="20270130150000"/>
    <s v="디캔팅"/>
    <s v="입고"/>
    <s v="작업완료"/>
    <s v="1014"/>
    <x v="10"/>
    <s v="2026-08-10 13:44:28"/>
    <s v="월수금"/>
    <x v="3"/>
  </r>
  <r>
    <d v="2026-08-10T13:46:32"/>
    <s v="19002850"/>
    <x v="6"/>
    <x v="6"/>
    <n v="36"/>
    <m/>
    <n v="36"/>
    <s v="20270130150000"/>
    <s v="디캔팅"/>
    <s v="입고"/>
    <s v="작업완료"/>
    <s v="1014"/>
    <x v="10"/>
    <s v="2026-08-10 13:44:15"/>
    <s v="월수금"/>
    <x v="3"/>
  </r>
  <r>
    <d v="2026-08-10T13:45:07"/>
    <s v="19004973"/>
    <x v="6"/>
    <x v="6"/>
    <n v="36"/>
    <m/>
    <n v="36"/>
    <s v="20270130150000"/>
    <s v="디캔팅"/>
    <s v="입고"/>
    <s v="작업완료"/>
    <s v="1014"/>
    <x v="10"/>
    <s v="2026-08-10 13:43:03"/>
    <s v="월수금"/>
    <x v="3"/>
  </r>
  <r>
    <d v="2026-08-10T13:44:53"/>
    <s v="19003181"/>
    <x v="6"/>
    <x v="6"/>
    <n v="36"/>
    <m/>
    <n v="36"/>
    <s v="20270130150000"/>
    <s v="디캔팅"/>
    <s v="입고"/>
    <s v="작업완료"/>
    <s v="1014"/>
    <x v="10"/>
    <s v="2026-08-10 13:42:56"/>
    <s v="월수금"/>
    <x v="3"/>
  </r>
  <r>
    <d v="2026-08-10T06:35:43"/>
    <s v="19003093"/>
    <x v="6"/>
    <x v="6"/>
    <n v="36"/>
    <m/>
    <n v="36"/>
    <s v="20270131000000"/>
    <s v="디캔팅"/>
    <s v="입고"/>
    <s v="작업완료"/>
    <s v="1014"/>
    <x v="10"/>
    <s v="2026-08-10 06:33:42"/>
    <s v="월수금"/>
    <x v="3"/>
  </r>
  <r>
    <d v="2026-08-10T06:35:40"/>
    <s v="19003330"/>
    <x v="6"/>
    <x v="6"/>
    <n v="36"/>
    <m/>
    <n v="36"/>
    <s v="20270131000000"/>
    <s v="디캔팅"/>
    <s v="입고"/>
    <s v="작업완료"/>
    <s v="1014"/>
    <x v="10"/>
    <s v="2026-08-10 06:33:48"/>
    <s v="월수금"/>
    <x v="3"/>
  </r>
  <r>
    <d v="2026-08-10T06:34:32"/>
    <s v="19022980"/>
    <x v="6"/>
    <x v="6"/>
    <n v="36"/>
    <m/>
    <n v="36"/>
    <s v="20270131000000"/>
    <s v="디캔팅"/>
    <s v="입고"/>
    <s v="작업완료"/>
    <s v="1014"/>
    <x v="10"/>
    <s v="2026-08-10 06:32:18"/>
    <s v="월수금"/>
    <x v="3"/>
  </r>
  <r>
    <d v="2026-08-10T06:34:20"/>
    <s v="19003051"/>
    <x v="6"/>
    <x v="6"/>
    <n v="36"/>
    <m/>
    <n v="36"/>
    <s v="20270131000000"/>
    <s v="디캔팅"/>
    <s v="입고"/>
    <s v="작업완료"/>
    <s v="1014"/>
    <x v="10"/>
    <s v="2026-08-10 06:31:59"/>
    <s v="월수금"/>
    <x v="3"/>
  </r>
  <r>
    <d v="2026-08-10T06:32:23"/>
    <s v="19000857"/>
    <x v="6"/>
    <x v="6"/>
    <n v="36"/>
    <m/>
    <n v="36"/>
    <s v="20270131000000"/>
    <s v="디캔팅"/>
    <s v="입고"/>
    <s v="작업완료"/>
    <s v="1014"/>
    <x v="10"/>
    <s v="2026-08-10 06:30:19"/>
    <s v="월수금"/>
    <x v="3"/>
  </r>
  <r>
    <d v="2026-08-10T06:32:11"/>
    <s v="19017281"/>
    <x v="6"/>
    <x v="6"/>
    <n v="36"/>
    <m/>
    <n v="36"/>
    <s v="20270131000000"/>
    <s v="디캔팅"/>
    <s v="입고"/>
    <s v="작업완료"/>
    <s v="1014"/>
    <x v="10"/>
    <s v="2026-08-10 06:30:13"/>
    <s v="월수금"/>
    <x v="3"/>
  </r>
  <r>
    <d v="2026-08-10T06:30:43"/>
    <s v="19001701"/>
    <x v="6"/>
    <x v="6"/>
    <n v="36"/>
    <m/>
    <n v="36"/>
    <s v="20270131000000"/>
    <s v="디캔팅"/>
    <s v="입고"/>
    <s v="작업완료"/>
    <s v="1014"/>
    <x v="10"/>
    <s v="2026-08-10 06:28:38"/>
    <s v="월수금"/>
    <x v="3"/>
  </r>
  <r>
    <d v="2026-08-10T06:30:41"/>
    <s v="19007482"/>
    <x v="6"/>
    <x v="6"/>
    <n v="36"/>
    <m/>
    <n v="36"/>
    <s v="20270131000000"/>
    <s v="디캔팅"/>
    <s v="입고"/>
    <s v="작업완료"/>
    <s v="1014"/>
    <x v="10"/>
    <s v="2026-08-10 06:28:42"/>
    <s v="월수금"/>
    <x v="3"/>
  </r>
  <r>
    <d v="2026-08-10T06:29:21"/>
    <s v="19018853"/>
    <x v="6"/>
    <x v="6"/>
    <n v="36"/>
    <m/>
    <n v="36"/>
    <s v="20270131000000"/>
    <s v="디캔팅"/>
    <s v="입고"/>
    <s v="작업완료"/>
    <s v="1014"/>
    <x v="10"/>
    <s v="2026-08-10 06:27:12"/>
    <s v="월수금"/>
    <x v="3"/>
  </r>
  <r>
    <d v="2026-08-10T06:29:20"/>
    <s v="19002012"/>
    <x v="6"/>
    <x v="6"/>
    <n v="36"/>
    <m/>
    <n v="36"/>
    <s v="20270131000000"/>
    <s v="디캔팅"/>
    <s v="입고"/>
    <s v="작업완료"/>
    <s v="1014"/>
    <x v="10"/>
    <s v="2026-08-10 06:27:18"/>
    <s v="월수금"/>
    <x v="3"/>
  </r>
  <r>
    <d v="2026-08-10T06:26:54"/>
    <s v="19006563"/>
    <x v="6"/>
    <x v="6"/>
    <n v="36"/>
    <m/>
    <n v="36"/>
    <s v="20270131000000"/>
    <s v="디캔팅"/>
    <s v="입고"/>
    <s v="작업완료"/>
    <s v="1014"/>
    <x v="10"/>
    <s v="2026-08-10 06:24:43"/>
    <s v="월수금"/>
    <x v="3"/>
  </r>
  <r>
    <d v="2026-08-10T06:26:43"/>
    <s v="19015584"/>
    <x v="6"/>
    <x v="6"/>
    <n v="36"/>
    <m/>
    <n v="36"/>
    <s v="20270131000000"/>
    <s v="디캔팅"/>
    <s v="입고"/>
    <s v="작업완료"/>
    <s v="1014"/>
    <x v="10"/>
    <s v="2026-08-10 06:24:47"/>
    <s v="월수금"/>
    <x v="3"/>
  </r>
  <r>
    <d v="2026-08-10T06:25:31"/>
    <s v="19009728"/>
    <x v="6"/>
    <x v="6"/>
    <n v="36"/>
    <m/>
    <n v="36"/>
    <s v="20270131000000"/>
    <s v="디캔팅"/>
    <s v="입고"/>
    <s v="작업완료"/>
    <s v="1014"/>
    <x v="10"/>
    <s v="2026-08-10 06:23:25"/>
    <s v="월수금"/>
    <x v="3"/>
  </r>
  <r>
    <d v="2026-08-10T06:25:23"/>
    <s v="19006831"/>
    <x v="6"/>
    <x v="6"/>
    <n v="36"/>
    <m/>
    <n v="36"/>
    <s v="20270131000000"/>
    <s v="디캔팅"/>
    <s v="입고"/>
    <s v="작업완료"/>
    <s v="1014"/>
    <x v="10"/>
    <s v="2026-08-10 06:23:20"/>
    <s v="월수금"/>
    <x v="3"/>
  </r>
  <r>
    <d v="2026-08-10T06:24:09"/>
    <s v="19021120"/>
    <x v="6"/>
    <x v="6"/>
    <n v="36"/>
    <m/>
    <n v="36"/>
    <s v="20270131000000"/>
    <s v="디캔팅"/>
    <s v="입고"/>
    <s v="작업완료"/>
    <s v="1014"/>
    <x v="10"/>
    <s v="2026-08-10 06:22:04"/>
    <s v="월수금"/>
    <x v="3"/>
  </r>
  <r>
    <d v="2026-08-10T06:23:55"/>
    <s v="19004942"/>
    <x v="6"/>
    <x v="6"/>
    <n v="36"/>
    <m/>
    <n v="36"/>
    <s v="20270131000000"/>
    <s v="디캔팅"/>
    <s v="입고"/>
    <s v="작업완료"/>
    <s v="1014"/>
    <x v="10"/>
    <s v="2026-08-10 06:21:59"/>
    <s v="월수금"/>
    <x v="3"/>
  </r>
  <r>
    <d v="2026-08-10T06:22:41"/>
    <s v="19001696"/>
    <x v="6"/>
    <x v="6"/>
    <n v="36"/>
    <m/>
    <n v="36"/>
    <s v="20270131000000"/>
    <s v="디캔팅"/>
    <s v="입고"/>
    <s v="작업완료"/>
    <s v="1014"/>
    <x v="10"/>
    <s v="2026-08-10 06:20:24"/>
    <s v="월수금"/>
    <x v="3"/>
  </r>
  <r>
    <d v="2026-08-10T06:22:36"/>
    <s v="19013882"/>
    <x v="6"/>
    <x v="6"/>
    <n v="36"/>
    <m/>
    <n v="36"/>
    <s v="20270131000000"/>
    <s v="디캔팅"/>
    <s v="입고"/>
    <s v="작업완료"/>
    <s v="1014"/>
    <x v="10"/>
    <s v="2026-08-10 06:20:28"/>
    <s v="월수금"/>
    <x v="3"/>
  </r>
  <r>
    <d v="2026-08-10T06:21:33"/>
    <s v="19002516"/>
    <x v="6"/>
    <x v="6"/>
    <n v="36"/>
    <m/>
    <n v="36"/>
    <s v="20270131000000"/>
    <s v="디캔팅"/>
    <s v="입고"/>
    <s v="작업완료"/>
    <s v="1014"/>
    <x v="10"/>
    <s v="2026-08-10 06:19:14"/>
    <s v="월수금"/>
    <x v="3"/>
  </r>
  <r>
    <d v="2026-08-10T06:21:07"/>
    <s v="19015611"/>
    <x v="6"/>
    <x v="6"/>
    <n v="36"/>
    <m/>
    <n v="36"/>
    <s v="20270131000000"/>
    <s v="디캔팅"/>
    <s v="입고"/>
    <s v="작업완료"/>
    <s v="1014"/>
    <x v="10"/>
    <s v="2026-08-10 06:19:09"/>
    <s v="월수금"/>
    <x v="3"/>
  </r>
  <r>
    <d v="2026-08-10T06:19:54"/>
    <s v="19001737"/>
    <x v="6"/>
    <x v="6"/>
    <n v="36"/>
    <m/>
    <n v="36"/>
    <s v="20270131000000"/>
    <s v="디캔팅"/>
    <s v="입고"/>
    <s v="작업완료"/>
    <s v="1014"/>
    <x v="10"/>
    <s v="2026-08-10 06:17:47"/>
    <s v="월수금"/>
    <x v="3"/>
  </r>
  <r>
    <d v="2026-08-10T06:19:49"/>
    <s v="19008369"/>
    <x v="6"/>
    <x v="6"/>
    <n v="36"/>
    <m/>
    <n v="36"/>
    <s v="20270131000000"/>
    <s v="디캔팅"/>
    <s v="입고"/>
    <s v="작업완료"/>
    <s v="1014"/>
    <x v="10"/>
    <s v="2026-08-10 06:17:51"/>
    <s v="월수금"/>
    <x v="3"/>
  </r>
  <r>
    <d v="2026-08-10T06:18:08"/>
    <s v="19012577"/>
    <x v="6"/>
    <x v="6"/>
    <n v="36"/>
    <m/>
    <n v="36"/>
    <s v="20270131000000"/>
    <s v="디캔팅"/>
    <s v="입고"/>
    <s v="작업완료"/>
    <s v="1014"/>
    <x v="10"/>
    <s v="2026-08-10 06:16:08"/>
    <s v="월수금"/>
    <x v="3"/>
  </r>
  <r>
    <d v="2026-08-10T06:18:06"/>
    <s v="19016526"/>
    <x v="6"/>
    <x v="6"/>
    <n v="36"/>
    <m/>
    <n v="36"/>
    <s v="20270131000000"/>
    <s v="디캔팅"/>
    <s v="입고"/>
    <s v="작업완료"/>
    <s v="1014"/>
    <x v="10"/>
    <s v="2026-08-10 06:16:13"/>
    <s v="월수금"/>
    <x v="3"/>
  </r>
  <r>
    <d v="2026-08-10T06:17:22"/>
    <s v="19005385"/>
    <x v="6"/>
    <x v="6"/>
    <n v="36"/>
    <m/>
    <n v="36"/>
    <s v="20270131000000"/>
    <s v="디캔팅"/>
    <s v="입고"/>
    <s v="작업완료"/>
    <s v="1014"/>
    <x v="10"/>
    <s v="2026-08-10 06:15:03"/>
    <s v="월수금"/>
    <x v="3"/>
  </r>
  <r>
    <d v="2026-08-10T06:16:58"/>
    <s v="19021243"/>
    <x v="6"/>
    <x v="6"/>
    <n v="36"/>
    <m/>
    <n v="36"/>
    <s v="20270131000000"/>
    <s v="디캔팅"/>
    <s v="입고"/>
    <s v="작업완료"/>
    <s v="1014"/>
    <x v="10"/>
    <s v="2026-08-10 06:14:58"/>
    <s v="월수금"/>
    <x v="3"/>
  </r>
  <r>
    <d v="2026-08-10T06:15:56"/>
    <s v="19001079"/>
    <x v="6"/>
    <x v="6"/>
    <n v="36"/>
    <m/>
    <n v="36"/>
    <s v="20270131000000"/>
    <s v="디캔팅"/>
    <s v="입고"/>
    <s v="작업완료"/>
    <s v="1014"/>
    <x v="10"/>
    <s v="2026-08-10 06:13:49"/>
    <s v="월수금"/>
    <x v="3"/>
  </r>
  <r>
    <d v="2026-08-10T06:15:42"/>
    <s v="19002601"/>
    <x v="6"/>
    <x v="6"/>
    <n v="36"/>
    <m/>
    <n v="36"/>
    <s v="20270131000000"/>
    <s v="디캔팅"/>
    <s v="입고"/>
    <s v="작업완료"/>
    <s v="1014"/>
    <x v="10"/>
    <s v="2026-08-10 06:13:44"/>
    <s v="월수금"/>
    <x v="3"/>
  </r>
  <r>
    <d v="2026-08-10T06:14:17"/>
    <s v="19011283"/>
    <x v="6"/>
    <x v="6"/>
    <n v="36"/>
    <m/>
    <n v="36"/>
    <s v="20270131000000"/>
    <s v="디캔팅"/>
    <s v="입고"/>
    <s v="작업완료"/>
    <s v="1014"/>
    <x v="10"/>
    <s v="2026-08-10 06:12:14"/>
    <s v="월수금"/>
    <x v="3"/>
  </r>
  <r>
    <d v="2026-08-10T06:14:11"/>
    <s v="19016703"/>
    <x v="6"/>
    <x v="6"/>
    <n v="36"/>
    <m/>
    <n v="36"/>
    <s v="20270131000000"/>
    <s v="디캔팅"/>
    <s v="입고"/>
    <s v="작업완료"/>
    <s v="1014"/>
    <x v="10"/>
    <s v="2026-08-10 06:12:10"/>
    <s v="월수금"/>
    <x v="3"/>
  </r>
  <r>
    <d v="2026-08-10T06:13:08"/>
    <s v="19005129"/>
    <x v="6"/>
    <x v="6"/>
    <n v="36"/>
    <m/>
    <n v="36"/>
    <s v="20270131000000"/>
    <s v="디캔팅"/>
    <s v="입고"/>
    <s v="작업완료"/>
    <s v="1014"/>
    <x v="10"/>
    <s v="2026-08-10 06:11:01"/>
    <s v="월수금"/>
    <x v="3"/>
  </r>
  <r>
    <d v="2026-08-10T06:13:07"/>
    <s v="19002176"/>
    <x v="6"/>
    <x v="6"/>
    <n v="36"/>
    <m/>
    <n v="36"/>
    <s v="20270131000000"/>
    <s v="디캔팅"/>
    <s v="입고"/>
    <s v="작업완료"/>
    <s v="1014"/>
    <x v="10"/>
    <s v="2026-08-10 06:11:07"/>
    <s v="월수금"/>
    <x v="3"/>
  </r>
  <r>
    <d v="2026-08-10T06:11:23"/>
    <s v="19017959"/>
    <x v="6"/>
    <x v="6"/>
    <n v="36"/>
    <m/>
    <n v="36"/>
    <s v="20270131000000"/>
    <s v="디캔팅"/>
    <s v="입고"/>
    <s v="작업완료"/>
    <s v="1014"/>
    <x v="10"/>
    <s v="2026-08-10 06:09:20"/>
    <s v="월수금"/>
    <x v="3"/>
  </r>
  <r>
    <d v="2026-08-10T06:11:13"/>
    <s v="19009274"/>
    <x v="6"/>
    <x v="6"/>
    <n v="36"/>
    <m/>
    <n v="36"/>
    <s v="20270131000000"/>
    <s v="디캔팅"/>
    <s v="입고"/>
    <s v="작업완료"/>
    <s v="1014"/>
    <x v="10"/>
    <s v="2026-08-10 06:09:26"/>
    <s v="월수금"/>
    <x v="3"/>
  </r>
  <r>
    <d v="2026-08-10T06:09:39"/>
    <s v="19002228"/>
    <x v="6"/>
    <x v="6"/>
    <n v="36"/>
    <m/>
    <n v="36"/>
    <s v="20270131000000"/>
    <s v="디캔팅"/>
    <s v="입고"/>
    <s v="작업완료"/>
    <s v="1014"/>
    <x v="10"/>
    <s v="2026-08-10 06:07:43"/>
    <s v="월수금"/>
    <x v="3"/>
  </r>
  <r>
    <d v="2026-08-10T06:09:35"/>
    <s v="19016190"/>
    <x v="6"/>
    <x v="6"/>
    <n v="36"/>
    <m/>
    <n v="36"/>
    <s v="20270131000000"/>
    <s v="디캔팅"/>
    <s v="입고"/>
    <s v="작업완료"/>
    <s v="1014"/>
    <x v="10"/>
    <s v="2026-08-10 06:07:37"/>
    <s v="월수금"/>
    <x v="3"/>
  </r>
  <r>
    <d v="2026-08-10T06:08:14"/>
    <s v="19005842"/>
    <x v="6"/>
    <x v="6"/>
    <n v="36"/>
    <m/>
    <n v="36"/>
    <s v="20270131000000"/>
    <s v="디캔팅"/>
    <s v="입고"/>
    <s v="작업완료"/>
    <s v="1014"/>
    <x v="10"/>
    <s v="2026-08-10 06:06:07"/>
    <s v="월수금"/>
    <x v="3"/>
  </r>
  <r>
    <d v="2026-08-10T06:07:58"/>
    <s v="19000194"/>
    <x v="6"/>
    <x v="6"/>
    <n v="36"/>
    <m/>
    <n v="36"/>
    <s v="20270131000000"/>
    <s v="디캔팅"/>
    <s v="입고"/>
    <s v="작업완료"/>
    <s v="1014"/>
    <x v="10"/>
    <s v="2026-08-10 06:06:03"/>
    <s v="월수금"/>
    <x v="3"/>
  </r>
  <r>
    <d v="2026-08-10T06:06:43"/>
    <s v="19026622"/>
    <x v="6"/>
    <x v="6"/>
    <n v="36"/>
    <m/>
    <n v="36"/>
    <s v="20270131000000"/>
    <s v="디캔팅"/>
    <s v="입고"/>
    <s v="작업완료"/>
    <s v="1014"/>
    <x v="10"/>
    <s v="2026-08-10 06:04:47"/>
    <s v="월수금"/>
    <x v="3"/>
  </r>
  <r>
    <d v="2026-08-10T06:06:38"/>
    <s v="19007536"/>
    <x v="6"/>
    <x v="6"/>
    <n v="36"/>
    <m/>
    <n v="36"/>
    <s v="20270131000000"/>
    <s v="디캔팅"/>
    <s v="입고"/>
    <s v="작업완료"/>
    <s v="1014"/>
    <x v="10"/>
    <s v="2026-08-10 06:04:41"/>
    <s v="월수금"/>
    <x v="3"/>
  </r>
  <r>
    <d v="2026-08-15T20:16:11"/>
    <s v="19001223"/>
    <x v="7"/>
    <x v="7"/>
    <n v="80"/>
    <m/>
    <n v="80"/>
    <s v="20271228000000"/>
    <s v="디캔팅"/>
    <s v="입고"/>
    <s v="작업완료"/>
    <s v="1005"/>
    <x v="2"/>
    <s v="2026-08-15 20:14:08"/>
    <s v="월수금"/>
    <x v="0"/>
  </r>
  <r>
    <d v="2026-08-15T20:15:49"/>
    <s v="19024109"/>
    <x v="7"/>
    <x v="7"/>
    <n v="80"/>
    <m/>
    <n v="80"/>
    <s v="20271228000000"/>
    <s v="디캔팅"/>
    <s v="입고"/>
    <s v="작업완료"/>
    <s v="1005"/>
    <x v="2"/>
    <s v="2026-08-15 20:14:18"/>
    <s v="월수금"/>
    <x v="0"/>
  </r>
  <r>
    <d v="2026-08-15T20:14:15"/>
    <s v="19005597"/>
    <x v="7"/>
    <x v="7"/>
    <n v="80"/>
    <m/>
    <n v="80"/>
    <s v="20271228000000"/>
    <s v="디캔팅"/>
    <s v="입고"/>
    <s v="작업완료"/>
    <s v="1005"/>
    <x v="2"/>
    <s v="2026-08-15 20:12:29"/>
    <s v="월수금"/>
    <x v="0"/>
  </r>
  <r>
    <d v="2026-08-15T20:14:11"/>
    <s v="19017385"/>
    <x v="7"/>
    <x v="7"/>
    <n v="80"/>
    <m/>
    <n v="80"/>
    <s v="20271228000000"/>
    <s v="디캔팅"/>
    <s v="입고"/>
    <s v="작업완료"/>
    <s v="1005"/>
    <x v="2"/>
    <s v="2026-08-15 20:12:37"/>
    <s v="월수금"/>
    <x v="0"/>
  </r>
  <r>
    <d v="2026-08-15T20:14:06"/>
    <s v="19008764"/>
    <x v="7"/>
    <x v="7"/>
    <n v="80"/>
    <m/>
    <n v="80"/>
    <s v="20271228000000"/>
    <s v="디캔팅"/>
    <s v="입고"/>
    <s v="작업완료"/>
    <s v="1005"/>
    <x v="2"/>
    <s v="2026-08-15 20:12:33"/>
    <s v="월수금"/>
    <x v="0"/>
  </r>
  <r>
    <d v="2026-08-15T20:11:42"/>
    <s v="19005753"/>
    <x v="7"/>
    <x v="7"/>
    <n v="80"/>
    <m/>
    <n v="80"/>
    <s v="20271228000000"/>
    <s v="디캔팅"/>
    <s v="입고"/>
    <s v="작업완료"/>
    <s v="1005"/>
    <x v="2"/>
    <s v="2026-08-15 20:09:49"/>
    <s v="월수금"/>
    <x v="0"/>
  </r>
  <r>
    <d v="2026-08-15T20:11:41"/>
    <s v="19002988"/>
    <x v="7"/>
    <x v="7"/>
    <n v="80"/>
    <m/>
    <n v="80"/>
    <s v="20271228000000"/>
    <s v="디캔팅"/>
    <s v="입고"/>
    <s v="작업완료"/>
    <s v="1005"/>
    <x v="2"/>
    <s v="2026-08-15 20:10:02"/>
    <s v="월수금"/>
    <x v="0"/>
  </r>
  <r>
    <d v="2026-08-15T20:11:14"/>
    <s v="19016877"/>
    <x v="7"/>
    <x v="7"/>
    <n v="80"/>
    <m/>
    <n v="80"/>
    <s v="20271228000000"/>
    <s v="디캔팅"/>
    <s v="입고"/>
    <s v="작업완료"/>
    <s v="1005"/>
    <x v="2"/>
    <s v="2026-08-15 20:09:54"/>
    <s v="월수금"/>
    <x v="0"/>
  </r>
  <r>
    <d v="2026-08-14T12:46:55"/>
    <s v="19008626"/>
    <x v="7"/>
    <x v="7"/>
    <n v="80"/>
    <m/>
    <n v="80"/>
    <s v="20271227150000"/>
    <s v="디캔팅"/>
    <s v="입고"/>
    <s v="작업완료"/>
    <s v="1012"/>
    <x v="4"/>
    <s v="2026-08-14 12:40:07"/>
    <s v="월수금"/>
    <x v="1"/>
  </r>
  <r>
    <d v="2026-08-14T12:46:48"/>
    <s v="19014963"/>
    <x v="7"/>
    <x v="7"/>
    <n v="80"/>
    <m/>
    <n v="80"/>
    <s v="20271227150000"/>
    <s v="디캔팅"/>
    <s v="입고"/>
    <s v="작업완료"/>
    <s v="1012"/>
    <x v="4"/>
    <s v="2026-08-14 12:39:10"/>
    <s v="월수금"/>
    <x v="1"/>
  </r>
  <r>
    <d v="2026-08-14T12:46:46"/>
    <s v="19010192"/>
    <x v="7"/>
    <x v="7"/>
    <n v="80"/>
    <m/>
    <n v="80"/>
    <s v="20271227150000"/>
    <s v="디캔팅"/>
    <s v="입고"/>
    <s v="작업완료"/>
    <s v="1012"/>
    <x v="4"/>
    <s v="2026-08-14 12:39:14"/>
    <s v="월수금"/>
    <x v="1"/>
  </r>
  <r>
    <d v="2026-08-14T12:46:42"/>
    <s v="19004588"/>
    <x v="7"/>
    <x v="7"/>
    <n v="80"/>
    <m/>
    <n v="80"/>
    <s v="20271227150000"/>
    <s v="디캔팅"/>
    <s v="입고"/>
    <s v="작업완료"/>
    <s v="1012"/>
    <x v="4"/>
    <s v="2026-08-14 12:39:17"/>
    <s v="월수금"/>
    <x v="1"/>
  </r>
  <r>
    <d v="2026-08-12T15:36:23"/>
    <s v="19006105"/>
    <x v="7"/>
    <x v="7"/>
    <n v="60"/>
    <m/>
    <n v="60"/>
    <s v="20271227150000"/>
    <s v="디캔팅"/>
    <s v="입고"/>
    <s v="작업완료"/>
    <s v="1008"/>
    <x v="3"/>
    <s v="2026-08-12 15:33:56"/>
    <s v="월수금"/>
    <x v="2"/>
  </r>
  <r>
    <d v="2026-08-12T15:36:13"/>
    <s v="19009811"/>
    <x v="7"/>
    <x v="7"/>
    <n v="80"/>
    <m/>
    <n v="80"/>
    <s v="20271227150000"/>
    <s v="디캔팅"/>
    <s v="입고"/>
    <s v="작업완료"/>
    <s v="1008"/>
    <x v="3"/>
    <s v="2026-08-12 15:33:53"/>
    <s v="월수금"/>
    <x v="2"/>
  </r>
  <r>
    <d v="2026-08-12T15:34:57"/>
    <s v="19008542"/>
    <x v="7"/>
    <x v="7"/>
    <n v="80"/>
    <m/>
    <n v="80"/>
    <s v="20271227150000"/>
    <s v="디캔팅"/>
    <s v="입고"/>
    <s v="작업완료"/>
    <s v="1008"/>
    <x v="3"/>
    <s v="2026-08-12 15:32:30"/>
    <s v="월수금"/>
    <x v="2"/>
  </r>
  <r>
    <d v="2026-08-12T15:34:19"/>
    <s v="19022859"/>
    <x v="7"/>
    <x v="7"/>
    <n v="80"/>
    <m/>
    <n v="80"/>
    <s v="20271227150000"/>
    <s v="디캔팅"/>
    <s v="입고"/>
    <s v="작업완료"/>
    <s v="1008"/>
    <x v="3"/>
    <s v="2026-08-12 15:32:26"/>
    <s v="월수금"/>
    <x v="2"/>
  </r>
  <r>
    <d v="2026-08-12T15:34:02"/>
    <s v="19011192"/>
    <x v="7"/>
    <x v="7"/>
    <n v="80"/>
    <m/>
    <n v="80"/>
    <s v="20271227150000"/>
    <s v="디캔팅"/>
    <s v="입고"/>
    <s v="작업완료"/>
    <s v="1008"/>
    <x v="3"/>
    <s v="2026-08-12 15:32:20"/>
    <s v="월수금"/>
    <x v="2"/>
  </r>
  <r>
    <d v="2026-08-12T15:27:23"/>
    <s v="19012878"/>
    <x v="7"/>
    <x v="7"/>
    <n v="80"/>
    <m/>
    <n v="80"/>
    <s v="20271227150000"/>
    <s v="디캔팅"/>
    <s v="입고"/>
    <s v="작업완료"/>
    <s v="1008"/>
    <x v="3"/>
    <s v="2026-08-12 15:23:34"/>
    <s v="월수금"/>
    <x v="2"/>
  </r>
  <r>
    <d v="2026-08-12T15:25:23"/>
    <s v="19007546"/>
    <x v="7"/>
    <x v="7"/>
    <n v="80"/>
    <m/>
    <n v="80"/>
    <s v="20271227150000"/>
    <s v="디캔팅"/>
    <s v="입고"/>
    <s v="작업완료"/>
    <s v="1008"/>
    <x v="3"/>
    <s v="2026-08-12 15:23:29"/>
    <s v="월수금"/>
    <x v="2"/>
  </r>
  <r>
    <d v="2026-08-12T15:25:18"/>
    <s v="19012048"/>
    <x v="7"/>
    <x v="7"/>
    <n v="80"/>
    <m/>
    <n v="80"/>
    <s v="20271227150000"/>
    <s v="디캔팅"/>
    <s v="입고"/>
    <s v="작업완료"/>
    <s v="1008"/>
    <x v="3"/>
    <s v="2026-08-12 15:23:27"/>
    <s v="월수금"/>
    <x v="2"/>
  </r>
  <r>
    <d v="2026-08-10T18:09:07"/>
    <s v="19001763"/>
    <x v="7"/>
    <x v="7"/>
    <n v="80"/>
    <m/>
    <n v="80"/>
    <s v="20271227150000"/>
    <s v="디캔팅"/>
    <s v="입고"/>
    <s v="작업완료"/>
    <s v="1008"/>
    <x v="3"/>
    <s v="2026-08-10 18:07:19"/>
    <s v="월수금"/>
    <x v="3"/>
  </r>
  <r>
    <d v="2026-08-10T18:09:05"/>
    <s v="19012635"/>
    <x v="7"/>
    <x v="7"/>
    <n v="80"/>
    <m/>
    <n v="80"/>
    <s v="20271227150000"/>
    <s v="디캔팅"/>
    <s v="입고"/>
    <s v="작업완료"/>
    <s v="1008"/>
    <x v="3"/>
    <s v="2026-08-10 18:07:15"/>
    <s v="월수금"/>
    <x v="3"/>
  </r>
  <r>
    <d v="2026-08-10T18:08:10"/>
    <s v="19018696"/>
    <x v="7"/>
    <x v="7"/>
    <n v="80"/>
    <m/>
    <n v="80"/>
    <s v="20271227150000"/>
    <s v="디캔팅"/>
    <s v="입고"/>
    <s v="작업완료"/>
    <s v="1008"/>
    <x v="3"/>
    <s v="2026-08-10 18:06:06"/>
    <s v="월수금"/>
    <x v="3"/>
  </r>
  <r>
    <d v="2026-08-10T18:07:56"/>
    <s v="19001012"/>
    <x v="7"/>
    <x v="7"/>
    <n v="80"/>
    <m/>
    <n v="80"/>
    <s v="20271227150000"/>
    <s v="디캔팅"/>
    <s v="입고"/>
    <s v="작업완료"/>
    <s v="1008"/>
    <x v="3"/>
    <s v="2026-08-10 18:05:55"/>
    <s v="월수금"/>
    <x v="3"/>
  </r>
  <r>
    <d v="2026-08-10T18:07:44"/>
    <s v="19018951"/>
    <x v="7"/>
    <x v="7"/>
    <n v="80"/>
    <m/>
    <n v="80"/>
    <s v="20271227150000"/>
    <s v="디캔팅"/>
    <s v="입고"/>
    <s v="작업완료"/>
    <s v="1008"/>
    <x v="3"/>
    <s v="2026-08-10 18:06:01"/>
    <s v="월수금"/>
    <x v="3"/>
  </r>
  <r>
    <d v="2026-08-10T18:06:36"/>
    <s v="19012848"/>
    <x v="7"/>
    <x v="7"/>
    <n v="80"/>
    <m/>
    <n v="80"/>
    <s v="20271227150000"/>
    <s v="디캔팅"/>
    <s v="입고"/>
    <s v="작업완료"/>
    <s v="1008"/>
    <x v="3"/>
    <s v="2026-08-10 18:04:06"/>
    <s v="월수금"/>
    <x v="3"/>
  </r>
  <r>
    <d v="2026-08-10T18:05:52"/>
    <s v="19010871"/>
    <x v="7"/>
    <x v="7"/>
    <n v="80"/>
    <m/>
    <n v="80"/>
    <s v="20271227150000"/>
    <s v="디캔팅"/>
    <s v="입고"/>
    <s v="작업완료"/>
    <s v="1008"/>
    <x v="3"/>
    <s v="2026-08-10 18:04:10"/>
    <s v="월수금"/>
    <x v="3"/>
  </r>
  <r>
    <d v="2026-08-10T18:05:49"/>
    <s v="19012424"/>
    <x v="7"/>
    <x v="7"/>
    <n v="80"/>
    <m/>
    <n v="80"/>
    <s v="20271227150000"/>
    <s v="디캔팅"/>
    <s v="입고"/>
    <s v="작업완료"/>
    <s v="1008"/>
    <x v="3"/>
    <s v="2026-08-10 18:04:03"/>
    <s v="월수금"/>
    <x v="3"/>
  </r>
  <r>
    <d v="2026-08-11T23:46:37"/>
    <s v="19021124"/>
    <x v="8"/>
    <x v="8"/>
    <n v="140"/>
    <m/>
    <n v="140"/>
    <s v="20280430150000"/>
    <s v="디캔팅"/>
    <s v="입고"/>
    <s v="작업완료"/>
    <s v="1010"/>
    <x v="7"/>
    <s v="2026-08-11 23:43:56"/>
    <s v="월수금"/>
    <x v="5"/>
  </r>
  <r>
    <d v="2026-08-11T23:44:27"/>
    <s v="19014852"/>
    <x v="8"/>
    <x v="8"/>
    <n v="140"/>
    <m/>
    <n v="140"/>
    <s v="20280430150000"/>
    <s v="디캔팅"/>
    <s v="입고"/>
    <s v="작업완료"/>
    <s v="1010"/>
    <x v="7"/>
    <s v="2026-08-11 23:41:54"/>
    <s v="월수금"/>
    <x v="5"/>
  </r>
  <r>
    <d v="2026-08-11T23:43:55"/>
    <s v="19002094"/>
    <x v="8"/>
    <x v="8"/>
    <n v="140"/>
    <m/>
    <n v="140"/>
    <s v="20280430150000"/>
    <s v="디캔팅"/>
    <s v="입고"/>
    <s v="작업완료"/>
    <s v="1010"/>
    <x v="7"/>
    <s v="2026-08-11 23:41:59"/>
    <s v="월수금"/>
    <x v="5"/>
  </r>
  <r>
    <d v="2026-08-11T23:43:46"/>
    <s v="19001276"/>
    <x v="8"/>
    <x v="8"/>
    <n v="140"/>
    <m/>
    <n v="140"/>
    <s v="20280430150000"/>
    <s v="디캔팅"/>
    <s v="입고"/>
    <s v="작업완료"/>
    <s v="1010"/>
    <x v="7"/>
    <s v="2026-08-11 23:41:56"/>
    <s v="월수금"/>
    <x v="5"/>
  </r>
  <r>
    <d v="2026-08-11T23:40:01"/>
    <s v="19009677"/>
    <x v="8"/>
    <x v="8"/>
    <n v="140"/>
    <m/>
    <n v="140"/>
    <s v="20280430150000"/>
    <s v="디캔팅"/>
    <s v="입고"/>
    <s v="작업완료"/>
    <s v="1010"/>
    <x v="7"/>
    <s v="2026-08-11 23:37:59"/>
    <s v="월수금"/>
    <x v="5"/>
  </r>
  <r>
    <d v="2026-08-11T23:40:00"/>
    <s v="19011073"/>
    <x v="8"/>
    <x v="8"/>
    <n v="140"/>
    <m/>
    <n v="140"/>
    <s v="20280430150000"/>
    <s v="디캔팅"/>
    <s v="입고"/>
    <s v="작업완료"/>
    <s v="1010"/>
    <x v="7"/>
    <s v="2026-08-11 23:38:07"/>
    <s v="월수금"/>
    <x v="5"/>
  </r>
  <r>
    <d v="2026-08-11T23:39:46"/>
    <s v="19022812"/>
    <x v="8"/>
    <x v="8"/>
    <n v="140"/>
    <m/>
    <n v="140"/>
    <s v="20280430150000"/>
    <s v="디캔팅"/>
    <s v="입고"/>
    <s v="작업완료"/>
    <s v="1010"/>
    <x v="7"/>
    <s v="2026-08-11 23:38:03"/>
    <s v="월수금"/>
    <x v="5"/>
  </r>
  <r>
    <d v="2026-08-11T23:29:44"/>
    <s v="19002855"/>
    <x v="8"/>
    <x v="8"/>
    <n v="140"/>
    <m/>
    <n v="140"/>
    <s v="20280430150000"/>
    <s v="디캔팅"/>
    <s v="입고"/>
    <s v="작업완료"/>
    <s v="1010"/>
    <x v="7"/>
    <s v="2026-08-11 23:27:45"/>
    <s v="월수금"/>
    <x v="5"/>
  </r>
  <r>
    <d v="2026-08-11T23:29:37"/>
    <s v="19004197"/>
    <x v="8"/>
    <x v="8"/>
    <n v="140"/>
    <m/>
    <n v="140"/>
    <s v="20280430150000"/>
    <s v="디캔팅"/>
    <s v="입고"/>
    <s v="작업완료"/>
    <s v="1010"/>
    <x v="7"/>
    <s v="2026-08-11 23:27:49"/>
    <s v="월수금"/>
    <x v="5"/>
  </r>
  <r>
    <d v="2026-08-11T23:29:34"/>
    <s v="19003019"/>
    <x v="8"/>
    <x v="8"/>
    <n v="140"/>
    <m/>
    <n v="140"/>
    <s v="20280430150000"/>
    <s v="디캔팅"/>
    <s v="입고"/>
    <s v="작업완료"/>
    <s v="1010"/>
    <x v="7"/>
    <s v="2026-08-11 23:27:41"/>
    <s v="월수금"/>
    <x v="5"/>
  </r>
  <r>
    <d v="2026-08-11T23:28:20"/>
    <s v="19013237"/>
    <x v="8"/>
    <x v="8"/>
    <n v="140"/>
    <m/>
    <n v="140"/>
    <s v="20280430150000"/>
    <s v="디캔팅"/>
    <s v="입고"/>
    <s v="작업완료"/>
    <s v="1010"/>
    <x v="7"/>
    <s v="2026-08-11 23:23:21"/>
    <s v="월수금"/>
    <x v="5"/>
  </r>
  <r>
    <d v="2026-08-11T23:25:21"/>
    <s v="19002850"/>
    <x v="8"/>
    <x v="8"/>
    <n v="140"/>
    <m/>
    <n v="140"/>
    <s v="20280430150000"/>
    <s v="디캔팅"/>
    <s v="입고"/>
    <s v="작업완료"/>
    <s v="1010"/>
    <x v="7"/>
    <s v="2026-08-11 23:23:25"/>
    <s v="월수금"/>
    <x v="5"/>
  </r>
  <r>
    <d v="2026-08-11T23:25:13"/>
    <s v="19008873"/>
    <x v="8"/>
    <x v="8"/>
    <n v="140"/>
    <m/>
    <n v="140"/>
    <s v="20280430150000"/>
    <s v="디캔팅"/>
    <s v="입고"/>
    <s v="작업완료"/>
    <s v="1010"/>
    <x v="7"/>
    <s v="2026-08-11 23:23:17"/>
    <s v="월수금"/>
    <x v="5"/>
  </r>
  <r>
    <d v="2026-08-11T23:21:53"/>
    <s v="19008372"/>
    <x v="8"/>
    <x v="8"/>
    <n v="140"/>
    <m/>
    <n v="140"/>
    <s v="20280430150000"/>
    <s v="디캔팅"/>
    <s v="입고"/>
    <s v="작업완료"/>
    <s v="1010"/>
    <x v="7"/>
    <s v="2026-08-11 23:19:51"/>
    <s v="월수금"/>
    <x v="5"/>
  </r>
  <r>
    <d v="2026-08-11T23:21:43"/>
    <s v="19007311"/>
    <x v="8"/>
    <x v="8"/>
    <n v="140"/>
    <m/>
    <n v="140"/>
    <s v="20280430150000"/>
    <s v="디캔팅"/>
    <s v="입고"/>
    <s v="작업완료"/>
    <s v="1010"/>
    <x v="7"/>
    <s v="2026-08-11 23:19:55"/>
    <s v="월수금"/>
    <x v="5"/>
  </r>
  <r>
    <d v="2026-08-11T23:21:32"/>
    <s v="19000938"/>
    <x v="8"/>
    <x v="8"/>
    <n v="140"/>
    <m/>
    <n v="140"/>
    <s v="20280430150000"/>
    <s v="디캔팅"/>
    <s v="입고"/>
    <s v="작업완료"/>
    <s v="1010"/>
    <x v="7"/>
    <s v="2026-08-11 23:19:49"/>
    <s v="월수금"/>
    <x v="5"/>
  </r>
  <r>
    <d v="2026-08-11T23:00:58"/>
    <s v="19009473"/>
    <x v="8"/>
    <x v="8"/>
    <n v="140"/>
    <m/>
    <n v="140"/>
    <s v="20280430150000"/>
    <s v="디캔팅"/>
    <s v="입고"/>
    <s v="작업완료"/>
    <s v="1010"/>
    <x v="7"/>
    <s v="2026-08-11 22:58:53"/>
    <s v="월수금"/>
    <x v="5"/>
  </r>
  <r>
    <d v="2026-08-11T23:00:53"/>
    <s v="19018127"/>
    <x v="8"/>
    <x v="8"/>
    <n v="140"/>
    <m/>
    <n v="140"/>
    <s v="20280430150000"/>
    <s v="디캔팅"/>
    <s v="입고"/>
    <s v="작업완료"/>
    <s v="1010"/>
    <x v="7"/>
    <s v="2026-08-11 22:58:48"/>
    <s v="월수금"/>
    <x v="5"/>
  </r>
  <r>
    <d v="2026-08-11T23:00:45"/>
    <s v="19004542"/>
    <x v="8"/>
    <x v="8"/>
    <n v="140"/>
    <m/>
    <n v="140"/>
    <s v="20280430150000"/>
    <s v="디캔팅"/>
    <s v="입고"/>
    <s v="작업완료"/>
    <s v="1010"/>
    <x v="7"/>
    <s v="2026-08-11 22:58:50"/>
    <s v="월수금"/>
    <x v="5"/>
  </r>
  <r>
    <d v="2026-08-11T22:57:59"/>
    <s v="19011197"/>
    <x v="8"/>
    <x v="8"/>
    <n v="140"/>
    <m/>
    <n v="140"/>
    <s v="20280430150000"/>
    <s v="디캔팅"/>
    <s v="입고"/>
    <s v="작업완료"/>
    <s v="1010"/>
    <x v="7"/>
    <s v="2026-08-11 22:55:35"/>
    <s v="월수금"/>
    <x v="5"/>
  </r>
  <r>
    <d v="2026-08-11T22:57:41"/>
    <s v="19003841"/>
    <x v="8"/>
    <x v="8"/>
    <n v="140"/>
    <m/>
    <n v="140"/>
    <s v="20280430150000"/>
    <s v="디캔팅"/>
    <s v="입고"/>
    <s v="작업완료"/>
    <s v="1010"/>
    <x v="7"/>
    <s v="2026-08-11 22:55:37"/>
    <s v="월수금"/>
    <x v="5"/>
  </r>
  <r>
    <d v="2026-08-11T22:57:20"/>
    <s v="19014866"/>
    <x v="8"/>
    <x v="8"/>
    <n v="140"/>
    <m/>
    <n v="140"/>
    <s v="20280430150000"/>
    <s v="디캔팅"/>
    <s v="입고"/>
    <s v="작업완료"/>
    <s v="1010"/>
    <x v="7"/>
    <s v="2026-08-11 22:55:41"/>
    <s v="월수금"/>
    <x v="5"/>
  </r>
  <r>
    <d v="2026-08-11T22:52:52"/>
    <s v="19010733"/>
    <x v="8"/>
    <x v="8"/>
    <n v="140"/>
    <m/>
    <n v="140"/>
    <s v="20280430150000"/>
    <s v="디캔팅"/>
    <s v="입고"/>
    <s v="작업완료"/>
    <s v="1010"/>
    <x v="7"/>
    <s v="2026-08-11 22:50:27"/>
    <s v="월수금"/>
    <x v="5"/>
  </r>
  <r>
    <d v="2026-08-11T22:52:25"/>
    <s v="19007549"/>
    <x v="8"/>
    <x v="8"/>
    <n v="140"/>
    <m/>
    <n v="140"/>
    <s v="20280430150000"/>
    <s v="디캔팅"/>
    <s v="입고"/>
    <s v="작업완료"/>
    <s v="1010"/>
    <x v="7"/>
    <s v="2026-08-11 22:50:24"/>
    <s v="월수금"/>
    <x v="5"/>
  </r>
  <r>
    <d v="2026-08-11T22:52:15"/>
    <s v="19001298"/>
    <x v="8"/>
    <x v="8"/>
    <n v="140"/>
    <m/>
    <n v="140"/>
    <s v="20280430150000"/>
    <s v="디캔팅"/>
    <s v="입고"/>
    <s v="작업완료"/>
    <s v="1010"/>
    <x v="7"/>
    <s v="2026-08-11 22:50:21"/>
    <s v="월수금"/>
    <x v="5"/>
  </r>
  <r>
    <d v="2026-08-11T22:49:47"/>
    <s v="19000058"/>
    <x v="8"/>
    <x v="8"/>
    <n v="140"/>
    <m/>
    <n v="140"/>
    <s v="20280430150000"/>
    <s v="디캔팅"/>
    <s v="입고"/>
    <s v="작업완료"/>
    <s v="1010"/>
    <x v="7"/>
    <s v="2026-08-11 22:43:10"/>
    <s v="월수금"/>
    <x v="5"/>
  </r>
  <r>
    <d v="2026-08-11T22:49:47"/>
    <s v="19000291"/>
    <x v="8"/>
    <x v="8"/>
    <n v="140"/>
    <m/>
    <n v="140"/>
    <s v="20280430150000"/>
    <s v="디캔팅"/>
    <s v="입고"/>
    <s v="작업완료"/>
    <s v="1010"/>
    <x v="7"/>
    <s v="2026-08-11 22:43:24"/>
    <s v="월수금"/>
    <x v="5"/>
  </r>
  <r>
    <d v="2026-08-11T22:48:46"/>
    <s v="19004150"/>
    <x v="8"/>
    <x v="8"/>
    <n v="140"/>
    <m/>
    <n v="140"/>
    <s v="20280430150000"/>
    <s v="디캔팅"/>
    <s v="입고"/>
    <s v="작업완료"/>
    <s v="1010"/>
    <x v="7"/>
    <s v="2026-08-11 22:43:21"/>
    <s v="월수금"/>
    <x v="5"/>
  </r>
  <r>
    <d v="2026-08-10T10:50:11"/>
    <s v="19012683"/>
    <x v="8"/>
    <x v="8"/>
    <n v="140"/>
    <m/>
    <n v="140"/>
    <s v="20280501000000"/>
    <s v="디캔팅"/>
    <s v="입고"/>
    <s v="작업완료"/>
    <s v="1015"/>
    <x v="9"/>
    <s v="2026-08-10 10:46:53"/>
    <s v="월수금"/>
    <x v="3"/>
  </r>
  <r>
    <d v="2026-08-10T10:49:00"/>
    <s v="19010671"/>
    <x v="8"/>
    <x v="8"/>
    <n v="140"/>
    <m/>
    <n v="140"/>
    <s v="20280501000000"/>
    <s v="디캔팅"/>
    <s v="입고"/>
    <s v="작업완료"/>
    <s v="1015"/>
    <x v="9"/>
    <s v="2026-08-10 10:46:44"/>
    <s v="월수금"/>
    <x v="3"/>
  </r>
  <r>
    <d v="2026-08-10T10:43:05"/>
    <s v="19020417"/>
    <x v="8"/>
    <x v="8"/>
    <n v="140"/>
    <m/>
    <n v="140"/>
    <s v="20280501000000"/>
    <s v="디캔팅"/>
    <s v="입고"/>
    <s v="작업완료"/>
    <s v="1015"/>
    <x v="9"/>
    <s v="2026-08-10 10:40:56"/>
    <s v="월수금"/>
    <x v="3"/>
  </r>
  <r>
    <d v="2026-08-10T10:43:05"/>
    <s v="19001053"/>
    <x v="8"/>
    <x v="8"/>
    <n v="140"/>
    <m/>
    <n v="140"/>
    <s v="20280501000000"/>
    <s v="디캔팅"/>
    <s v="입고"/>
    <s v="작업완료"/>
    <s v="1015"/>
    <x v="9"/>
    <s v="2026-08-10 10:41:05"/>
    <s v="월수금"/>
    <x v="3"/>
  </r>
  <r>
    <d v="2026-08-10T10:40:30"/>
    <s v="19003957"/>
    <x v="8"/>
    <x v="8"/>
    <n v="140"/>
    <m/>
    <n v="140"/>
    <s v="20280501000000"/>
    <s v="디캔팅"/>
    <s v="입고"/>
    <s v="작업완료"/>
    <s v="1015"/>
    <x v="9"/>
    <s v="2026-08-10 10:38:13"/>
    <s v="월수금"/>
    <x v="3"/>
  </r>
  <r>
    <d v="2026-08-10T10:40:25"/>
    <s v="19000609"/>
    <x v="8"/>
    <x v="8"/>
    <n v="140"/>
    <m/>
    <n v="140"/>
    <s v="20280501000000"/>
    <s v="디캔팅"/>
    <s v="입고"/>
    <s v="작업완료"/>
    <s v="1015"/>
    <x v="9"/>
    <s v="2026-08-10 10:38:03"/>
    <s v="월수금"/>
    <x v="3"/>
  </r>
  <r>
    <d v="2026-08-10T10:35:57"/>
    <s v="19010740"/>
    <x v="8"/>
    <x v="8"/>
    <n v="140"/>
    <m/>
    <n v="140"/>
    <s v="20280501000000"/>
    <s v="디캔팅"/>
    <s v="입고"/>
    <s v="작업완료"/>
    <s v="1015"/>
    <x v="9"/>
    <s v="2026-08-10 10:33:26"/>
    <s v="월수금"/>
    <x v="3"/>
  </r>
  <r>
    <d v="2026-08-10T10:35:43"/>
    <s v="19021027"/>
    <x v="8"/>
    <x v="8"/>
    <n v="140"/>
    <m/>
    <n v="140"/>
    <s v="20280501000000"/>
    <s v="디캔팅"/>
    <s v="입고"/>
    <s v="작업완료"/>
    <s v="1015"/>
    <x v="9"/>
    <s v="2026-08-10 10:33:34"/>
    <s v="월수금"/>
    <x v="3"/>
  </r>
  <r>
    <d v="2026-08-10T10:31:23"/>
    <s v="19025915"/>
    <x v="8"/>
    <x v="8"/>
    <n v="140"/>
    <m/>
    <n v="140"/>
    <s v="20280501000000"/>
    <s v="디캔팅"/>
    <s v="입고"/>
    <s v="작업완료"/>
    <s v="1015"/>
    <x v="9"/>
    <s v="2026-08-10 10:29:18"/>
    <s v="월수금"/>
    <x v="3"/>
  </r>
  <r>
    <d v="2026-08-10T10:31:20"/>
    <s v="19010764"/>
    <x v="8"/>
    <x v="8"/>
    <n v="140"/>
    <m/>
    <n v="140"/>
    <s v="20280501000000"/>
    <s v="디캔팅"/>
    <s v="입고"/>
    <s v="작업완료"/>
    <s v="1015"/>
    <x v="9"/>
    <s v="2026-08-10 10:29:09"/>
    <s v="월수금"/>
    <x v="3"/>
  </r>
  <r>
    <d v="2026-08-10T10:28:06"/>
    <s v="19025053"/>
    <x v="8"/>
    <x v="8"/>
    <n v="140"/>
    <m/>
    <n v="140"/>
    <s v="20280501000000"/>
    <s v="디캔팅"/>
    <s v="입고"/>
    <s v="작업완료"/>
    <s v="1015"/>
    <x v="9"/>
    <s v="2026-08-10 10:25:50"/>
    <s v="월수금"/>
    <x v="3"/>
  </r>
  <r>
    <d v="2026-08-10T10:27:38"/>
    <s v="19002271"/>
    <x v="8"/>
    <x v="8"/>
    <n v="140"/>
    <m/>
    <n v="140"/>
    <s v="20280501000000"/>
    <s v="디캔팅"/>
    <s v="입고"/>
    <s v="작업완료"/>
    <s v="1015"/>
    <x v="9"/>
    <s v="2026-08-10 10:25:41"/>
    <s v="월수금"/>
    <x v="3"/>
  </r>
  <r>
    <d v="2026-08-10T10:24:10"/>
    <s v="19002221"/>
    <x v="8"/>
    <x v="8"/>
    <n v="140"/>
    <m/>
    <n v="140"/>
    <s v="20280501000000"/>
    <s v="디캔팅"/>
    <s v="입고"/>
    <s v="작업완료"/>
    <s v="1015"/>
    <x v="9"/>
    <s v="2026-08-10 10:22:20"/>
    <s v="월수금"/>
    <x v="3"/>
  </r>
  <r>
    <d v="2026-08-10T10:24:07"/>
    <s v="19014421"/>
    <x v="8"/>
    <x v="8"/>
    <n v="140"/>
    <m/>
    <n v="140"/>
    <s v="20280501000000"/>
    <s v="디캔팅"/>
    <s v="입고"/>
    <s v="작업완료"/>
    <s v="1015"/>
    <x v="9"/>
    <s v="2026-08-10 10:22:12"/>
    <s v="월수금"/>
    <x v="3"/>
  </r>
  <r>
    <d v="2026-08-10T10:18:45"/>
    <s v="19000632"/>
    <x v="8"/>
    <x v="8"/>
    <n v="140"/>
    <m/>
    <n v="140"/>
    <s v="20280501000000"/>
    <s v="디캔팅"/>
    <s v="입고"/>
    <s v="작업완료"/>
    <s v="1015"/>
    <x v="9"/>
    <s v="2026-08-10 10:16:20"/>
    <s v="월수금"/>
    <x v="3"/>
  </r>
  <r>
    <d v="2026-08-10T10:18:36"/>
    <s v="19021777"/>
    <x v="8"/>
    <x v="8"/>
    <n v="140"/>
    <m/>
    <n v="140"/>
    <s v="20280501000000"/>
    <s v="디캔팅"/>
    <s v="입고"/>
    <s v="작업완료"/>
    <s v="1015"/>
    <x v="9"/>
    <s v="2026-08-10 10:16:28"/>
    <s v="월수금"/>
    <x v="3"/>
  </r>
  <r>
    <d v="2026-08-10T09:56:56"/>
    <s v="19019829"/>
    <x v="8"/>
    <x v="8"/>
    <n v="140"/>
    <m/>
    <n v="140"/>
    <s v="20280501000000"/>
    <s v="디캔팅"/>
    <s v="입고"/>
    <s v="작업완료"/>
    <s v="1015"/>
    <x v="9"/>
    <s v="2026-08-10 09:54:45"/>
    <s v="월수금"/>
    <x v="3"/>
  </r>
  <r>
    <d v="2026-08-10T09:56:48"/>
    <s v="19017043"/>
    <x v="8"/>
    <x v="8"/>
    <n v="140"/>
    <m/>
    <n v="140"/>
    <s v="20280501000000"/>
    <s v="디캔팅"/>
    <s v="입고"/>
    <s v="작업완료"/>
    <s v="1015"/>
    <x v="9"/>
    <s v="2026-08-10 09:54:55"/>
    <s v="월수금"/>
    <x v="3"/>
  </r>
  <r>
    <d v="2026-08-10T09:53:21"/>
    <s v="19012681"/>
    <x v="8"/>
    <x v="8"/>
    <n v="140"/>
    <m/>
    <n v="140"/>
    <s v="20280501000000"/>
    <s v="디캔팅"/>
    <s v="입고"/>
    <s v="작업완료"/>
    <s v="1015"/>
    <x v="9"/>
    <s v="2026-08-10 09:51:07"/>
    <s v="월수금"/>
    <x v="3"/>
  </r>
  <r>
    <d v="2026-08-10T09:53:13"/>
    <s v="19001288"/>
    <x v="8"/>
    <x v="8"/>
    <n v="140"/>
    <m/>
    <n v="140"/>
    <s v="20280501000000"/>
    <s v="디캔팅"/>
    <s v="입고"/>
    <s v="작업완료"/>
    <s v="1015"/>
    <x v="9"/>
    <s v="2026-08-10 09:50:58"/>
    <s v="월수금"/>
    <x v="3"/>
  </r>
  <r>
    <d v="2026-08-10T09:47:30"/>
    <s v="19023435"/>
    <x v="8"/>
    <x v="8"/>
    <n v="140"/>
    <m/>
    <n v="140"/>
    <s v="20280501000000"/>
    <s v="디캔팅"/>
    <s v="입고"/>
    <s v="작업완료"/>
    <s v="1015"/>
    <x v="9"/>
    <s v="2026-08-10 09:45:18"/>
    <s v="월수금"/>
    <x v="3"/>
  </r>
  <r>
    <d v="2026-08-10T09:47:28"/>
    <s v="19022213"/>
    <x v="8"/>
    <x v="8"/>
    <n v="140"/>
    <m/>
    <n v="140"/>
    <s v="20280501000000"/>
    <s v="디캔팅"/>
    <s v="입고"/>
    <s v="작업완료"/>
    <s v="1015"/>
    <x v="9"/>
    <s v="2026-08-10 09:45:31"/>
    <s v="월수금"/>
    <x v="3"/>
  </r>
  <r>
    <d v="2026-08-10T09:43:58"/>
    <s v="19028235"/>
    <x v="8"/>
    <x v="8"/>
    <n v="140"/>
    <m/>
    <n v="140"/>
    <s v="20280501000000"/>
    <s v="디캔팅"/>
    <s v="입고"/>
    <s v="작업완료"/>
    <s v="1015"/>
    <x v="9"/>
    <s v="2026-08-10 09:41:49"/>
    <s v="월수금"/>
    <x v="3"/>
  </r>
  <r>
    <d v="2026-08-10T09:43:45"/>
    <s v="19024415"/>
    <x v="8"/>
    <x v="8"/>
    <n v="140"/>
    <m/>
    <n v="140"/>
    <s v="20280501000000"/>
    <s v="디캔팅"/>
    <s v="입고"/>
    <s v="작업완료"/>
    <s v="1015"/>
    <x v="9"/>
    <s v="2026-08-10 09:41:40"/>
    <s v="월수금"/>
    <x v="3"/>
  </r>
  <r>
    <d v="2026-08-10T09:40:15"/>
    <s v="19027076"/>
    <x v="8"/>
    <x v="8"/>
    <n v="140"/>
    <m/>
    <n v="140"/>
    <s v="20280501000000"/>
    <s v="디캔팅"/>
    <s v="입고"/>
    <s v="작업완료"/>
    <s v="1015"/>
    <x v="9"/>
    <s v="2026-08-10 09:38:06"/>
    <s v="월수금"/>
    <x v="3"/>
  </r>
  <r>
    <d v="2026-08-10T09:40:13"/>
    <s v="19012470"/>
    <x v="8"/>
    <x v="8"/>
    <n v="140"/>
    <m/>
    <n v="140"/>
    <s v="20280501000000"/>
    <s v="디캔팅"/>
    <s v="입고"/>
    <s v="작업완료"/>
    <s v="1015"/>
    <x v="9"/>
    <s v="2026-08-10 09:37:57"/>
    <s v="월수금"/>
    <x v="3"/>
  </r>
  <r>
    <d v="2026-08-10T09:35:08"/>
    <s v="19023257"/>
    <x v="8"/>
    <x v="8"/>
    <n v="140"/>
    <m/>
    <n v="140"/>
    <s v="20280501000000"/>
    <s v="디캔팅"/>
    <s v="입고"/>
    <s v="작업완료"/>
    <s v="1015"/>
    <x v="9"/>
    <s v="2026-08-10 09:33:15"/>
    <s v="월수금"/>
    <x v="3"/>
  </r>
  <r>
    <d v="2026-08-10T09:35:01"/>
    <s v="19019836"/>
    <x v="8"/>
    <x v="8"/>
    <n v="140"/>
    <m/>
    <n v="140"/>
    <s v="20280501000000"/>
    <s v="디캔팅"/>
    <s v="입고"/>
    <s v="작업완료"/>
    <s v="1015"/>
    <x v="9"/>
    <s v="2026-08-10 09:33:05"/>
    <s v="월수금"/>
    <x v="3"/>
  </r>
  <r>
    <d v="2026-08-14T14:26:27"/>
    <s v="19010208"/>
    <x v="9"/>
    <x v="9"/>
    <n v="16"/>
    <m/>
    <n v="16"/>
    <s v="20270802150000"/>
    <s v="디캔팅"/>
    <s v="입고"/>
    <s v="작업완료"/>
    <s v="1014"/>
    <x v="10"/>
    <s v="2026-08-14 14:24:22"/>
    <s v="월수금"/>
    <x v="1"/>
  </r>
  <r>
    <d v="2026-08-14T14:26:25"/>
    <s v="19029853"/>
    <x v="9"/>
    <x v="9"/>
    <n v="16"/>
    <m/>
    <n v="16"/>
    <s v="20270802150000"/>
    <s v="디캔팅"/>
    <s v="입고"/>
    <s v="작업완료"/>
    <s v="1014"/>
    <x v="10"/>
    <s v="2026-08-14 14:24:20"/>
    <s v="월수금"/>
    <x v="1"/>
  </r>
  <r>
    <d v="2026-08-14T14:26:24"/>
    <s v="19002611"/>
    <x v="9"/>
    <x v="9"/>
    <n v="16"/>
    <m/>
    <n v="16"/>
    <s v="20270802150000"/>
    <s v="디캔팅"/>
    <s v="입고"/>
    <s v="작업완료"/>
    <s v="1014"/>
    <x v="10"/>
    <s v="2026-08-14 14:24:26"/>
    <s v="월수금"/>
    <x v="1"/>
  </r>
  <r>
    <d v="2026-08-14T14:23:24"/>
    <s v="19002421"/>
    <x v="9"/>
    <x v="9"/>
    <n v="16"/>
    <m/>
    <n v="16"/>
    <s v="20270802150000"/>
    <s v="디캔팅"/>
    <s v="입고"/>
    <s v="작업완료"/>
    <s v="1014"/>
    <x v="10"/>
    <s v="2026-08-14 14:20:59"/>
    <s v="월수금"/>
    <x v="1"/>
  </r>
  <r>
    <d v="2026-08-14T14:23:22"/>
    <s v="19006408"/>
    <x v="9"/>
    <x v="9"/>
    <n v="16"/>
    <m/>
    <n v="16"/>
    <s v="20270802150000"/>
    <s v="디캔팅"/>
    <s v="입고"/>
    <s v="작업완료"/>
    <s v="1014"/>
    <x v="10"/>
    <s v="2026-08-14 14:21:02"/>
    <s v="월수금"/>
    <x v="1"/>
  </r>
  <r>
    <d v="2026-08-14T14:22:46"/>
    <s v="19006733"/>
    <x v="9"/>
    <x v="9"/>
    <n v="16"/>
    <m/>
    <n v="16"/>
    <s v="20270802150000"/>
    <s v="디캔팅"/>
    <s v="입고"/>
    <s v="작업완료"/>
    <s v="1014"/>
    <x v="10"/>
    <s v="2026-08-14 14:20:57"/>
    <s v="월수금"/>
    <x v="1"/>
  </r>
  <r>
    <d v="2026-08-14T14:20:03"/>
    <s v="19019308"/>
    <x v="9"/>
    <x v="9"/>
    <n v="16"/>
    <m/>
    <n v="16"/>
    <s v="20270802150000"/>
    <s v="디캔팅"/>
    <s v="입고"/>
    <s v="작업완료"/>
    <s v="1014"/>
    <x v="10"/>
    <s v="2026-08-14 14:17:32"/>
    <s v="월수금"/>
    <x v="1"/>
  </r>
  <r>
    <d v="2026-08-14T14:19:25"/>
    <s v="19013774"/>
    <x v="9"/>
    <x v="9"/>
    <n v="16"/>
    <m/>
    <n v="16"/>
    <s v="20270802150000"/>
    <s v="디캔팅"/>
    <s v="입고"/>
    <s v="작업완료"/>
    <s v="1014"/>
    <x v="10"/>
    <s v="2026-08-14 14:17:29"/>
    <s v="월수금"/>
    <x v="1"/>
  </r>
  <r>
    <d v="2026-08-14T14:19:15"/>
    <s v="19017302"/>
    <x v="9"/>
    <x v="9"/>
    <n v="16"/>
    <m/>
    <n v="16"/>
    <s v="20270802150000"/>
    <s v="디캔팅"/>
    <s v="입고"/>
    <s v="작업완료"/>
    <s v="1014"/>
    <x v="10"/>
    <s v="2026-08-14 14:17:27"/>
    <s v="월수금"/>
    <x v="1"/>
  </r>
  <r>
    <d v="2026-08-14T14:16:45"/>
    <s v="19011017"/>
    <x v="9"/>
    <x v="9"/>
    <n v="16"/>
    <m/>
    <n v="16"/>
    <s v="20270802150000"/>
    <s v="디캔팅"/>
    <s v="입고"/>
    <s v="작업완료"/>
    <s v="1014"/>
    <x v="10"/>
    <s v="2026-08-14 14:13:59"/>
    <s v="월수금"/>
    <x v="1"/>
  </r>
  <r>
    <d v="2026-08-14T14:16:11"/>
    <s v="19020936"/>
    <x v="9"/>
    <x v="9"/>
    <n v="16"/>
    <m/>
    <n v="16"/>
    <s v="20270802150000"/>
    <s v="디캔팅"/>
    <s v="입고"/>
    <s v="작업완료"/>
    <s v="1014"/>
    <x v="10"/>
    <s v="2026-08-14 14:14:01"/>
    <s v="월수금"/>
    <x v="1"/>
  </r>
  <r>
    <d v="2026-08-14T14:16:10"/>
    <s v="19004825"/>
    <x v="9"/>
    <x v="9"/>
    <n v="16"/>
    <m/>
    <n v="16"/>
    <s v="20270802150000"/>
    <s v="디캔팅"/>
    <s v="입고"/>
    <s v="작업완료"/>
    <s v="1014"/>
    <x v="10"/>
    <s v="2026-08-14 14:14:04"/>
    <s v="월수금"/>
    <x v="1"/>
  </r>
  <r>
    <d v="2026-08-14T14:14:52"/>
    <s v="19018640"/>
    <x v="9"/>
    <x v="9"/>
    <n v="16"/>
    <m/>
    <n v="16"/>
    <s v="20270802150000"/>
    <s v="디캔팅"/>
    <s v="입고"/>
    <s v="작업완료"/>
    <s v="1014"/>
    <x v="10"/>
    <s v="2026-08-14 14:00:06"/>
    <s v="월수금"/>
    <x v="1"/>
  </r>
  <r>
    <d v="2026-08-14T14:13:50"/>
    <s v="19014340"/>
    <x v="9"/>
    <x v="9"/>
    <n v="16"/>
    <m/>
    <n v="16"/>
    <s v="20270802150000"/>
    <s v="디캔팅"/>
    <s v="입고"/>
    <s v="작업완료"/>
    <s v="1014"/>
    <x v="10"/>
    <s v="2026-08-14 14:11:20"/>
    <s v="월수금"/>
    <x v="1"/>
  </r>
  <r>
    <d v="2026-08-14T14:13:21"/>
    <s v="19002873"/>
    <x v="9"/>
    <x v="9"/>
    <n v="16"/>
    <m/>
    <n v="16"/>
    <s v="20270802150000"/>
    <s v="디캔팅"/>
    <s v="입고"/>
    <s v="작업완료"/>
    <s v="1014"/>
    <x v="10"/>
    <s v="2026-08-14 14:11:23"/>
    <s v="월수금"/>
    <x v="1"/>
  </r>
  <r>
    <d v="2026-08-14T14:13:16"/>
    <s v="19005545"/>
    <x v="9"/>
    <x v="9"/>
    <n v="16"/>
    <m/>
    <n v="16"/>
    <s v="20270802150000"/>
    <s v="디캔팅"/>
    <s v="입고"/>
    <s v="작업완료"/>
    <s v="1014"/>
    <x v="10"/>
    <s v="2026-08-14 14:11:18"/>
    <s v="월수금"/>
    <x v="1"/>
  </r>
  <r>
    <d v="2026-08-14T14:11:19"/>
    <s v="19001387"/>
    <x v="9"/>
    <x v="9"/>
    <n v="16"/>
    <m/>
    <n v="16"/>
    <s v="20270802150000"/>
    <s v="디캔팅"/>
    <s v="입고"/>
    <s v="작업완료"/>
    <s v="1014"/>
    <x v="10"/>
    <s v="2026-08-14 14:09:03"/>
    <s v="월수금"/>
    <x v="1"/>
  </r>
  <r>
    <d v="2026-08-14T14:11:11"/>
    <s v="19004642"/>
    <x v="9"/>
    <x v="9"/>
    <n v="16"/>
    <m/>
    <n v="16"/>
    <s v="20270802150000"/>
    <s v="디캔팅"/>
    <s v="입고"/>
    <s v="작업완료"/>
    <s v="1014"/>
    <x v="10"/>
    <s v="2026-08-14 14:09:01"/>
    <s v="월수금"/>
    <x v="1"/>
  </r>
  <r>
    <d v="2026-08-14T14:11:03"/>
    <s v="19004939"/>
    <x v="9"/>
    <x v="9"/>
    <n v="16"/>
    <m/>
    <n v="16"/>
    <s v="20270802150000"/>
    <s v="디캔팅"/>
    <s v="입고"/>
    <s v="작업완료"/>
    <s v="1014"/>
    <x v="10"/>
    <s v="2026-08-14 14:08:58"/>
    <s v="월수금"/>
    <x v="1"/>
  </r>
  <r>
    <d v="2026-08-14T14:07:43"/>
    <s v="19013703"/>
    <x v="9"/>
    <x v="9"/>
    <n v="16"/>
    <m/>
    <n v="16"/>
    <s v="20270802150000"/>
    <s v="디캔팅"/>
    <s v="입고"/>
    <s v="작업완료"/>
    <s v="1014"/>
    <x v="10"/>
    <s v="2026-08-14 14:05:23"/>
    <s v="월수금"/>
    <x v="1"/>
  </r>
  <r>
    <d v="2026-08-14T14:07:31"/>
    <s v="19015714"/>
    <x v="9"/>
    <x v="9"/>
    <n v="16"/>
    <m/>
    <n v="16"/>
    <s v="20270802150000"/>
    <s v="디캔팅"/>
    <s v="입고"/>
    <s v="작업완료"/>
    <s v="1014"/>
    <x v="10"/>
    <s v="2026-08-14 14:05:26"/>
    <s v="월수금"/>
    <x v="1"/>
  </r>
  <r>
    <d v="2026-08-14T14:07:16"/>
    <s v="19017628"/>
    <x v="9"/>
    <x v="9"/>
    <n v="16"/>
    <m/>
    <n v="16"/>
    <s v="20270802150000"/>
    <s v="디캔팅"/>
    <s v="입고"/>
    <s v="작업완료"/>
    <s v="1014"/>
    <x v="10"/>
    <s v="2026-08-14 14:05:21"/>
    <s v="월수금"/>
    <x v="1"/>
  </r>
  <r>
    <d v="2026-08-14T14:05:24"/>
    <s v="19009891"/>
    <x v="9"/>
    <x v="9"/>
    <n v="16"/>
    <m/>
    <n v="16"/>
    <s v="20270802150000"/>
    <s v="디캔팅"/>
    <s v="입고"/>
    <s v="작업완료"/>
    <s v="1014"/>
    <x v="10"/>
    <s v="2026-08-14 14:02:56"/>
    <s v="월수금"/>
    <x v="1"/>
  </r>
  <r>
    <d v="2026-08-14T14:05:21"/>
    <s v="19002999"/>
    <x v="9"/>
    <x v="9"/>
    <n v="16"/>
    <m/>
    <n v="16"/>
    <s v="20270802150000"/>
    <s v="디캔팅"/>
    <s v="입고"/>
    <s v="작업완료"/>
    <s v="1014"/>
    <x v="10"/>
    <s v="2026-08-14 14:02:54"/>
    <s v="월수금"/>
    <x v="1"/>
  </r>
  <r>
    <d v="2026-08-14T14:05:19"/>
    <s v="19002804"/>
    <x v="9"/>
    <x v="9"/>
    <n v="16"/>
    <m/>
    <n v="16"/>
    <s v="20270802150000"/>
    <s v="디캔팅"/>
    <s v="입고"/>
    <s v="작업완료"/>
    <s v="1014"/>
    <x v="10"/>
    <s v="2026-08-14 14:02:52"/>
    <s v="월수금"/>
    <x v="1"/>
  </r>
  <r>
    <d v="2026-08-14T14:02:15"/>
    <s v="19001390"/>
    <x v="9"/>
    <x v="9"/>
    <n v="16"/>
    <m/>
    <n v="16"/>
    <s v="20270802150000"/>
    <s v="디캔팅"/>
    <s v="입고"/>
    <s v="작업완료"/>
    <s v="1014"/>
    <x v="10"/>
    <s v="2026-08-14 14:00:03"/>
    <s v="월수금"/>
    <x v="1"/>
  </r>
  <r>
    <d v="2026-08-14T14:01:56"/>
    <s v="19001701"/>
    <x v="9"/>
    <x v="9"/>
    <n v="16"/>
    <m/>
    <n v="16"/>
    <s v="20270802150000"/>
    <s v="디캔팅"/>
    <s v="입고"/>
    <s v="작업완료"/>
    <s v="1014"/>
    <x v="10"/>
    <s v="2026-08-14 14:00:01"/>
    <s v="월수금"/>
    <x v="1"/>
  </r>
  <r>
    <d v="2026-08-14T13:59:32"/>
    <s v="19017618"/>
    <x v="9"/>
    <x v="9"/>
    <n v="16"/>
    <m/>
    <n v="16"/>
    <s v="20270802150000"/>
    <s v="디캔팅"/>
    <s v="입고"/>
    <s v="작업완료"/>
    <s v="1014"/>
    <x v="10"/>
    <s v="2026-08-14 13:57:32"/>
    <s v="월수금"/>
    <x v="1"/>
  </r>
  <r>
    <d v="2026-08-14T13:59:28"/>
    <s v="19013433"/>
    <x v="9"/>
    <x v="9"/>
    <n v="16"/>
    <m/>
    <n v="16"/>
    <s v="20270802150000"/>
    <s v="디캔팅"/>
    <s v="입고"/>
    <s v="작업완료"/>
    <s v="1014"/>
    <x v="10"/>
    <s v="2026-08-14 13:57:28"/>
    <s v="월수금"/>
    <x v="1"/>
  </r>
  <r>
    <d v="2026-08-14T13:59:19"/>
    <s v="19011072"/>
    <x v="9"/>
    <x v="9"/>
    <n v="16"/>
    <m/>
    <n v="16"/>
    <s v="20270802150000"/>
    <s v="디캔팅"/>
    <s v="입고"/>
    <s v="작업완료"/>
    <s v="1014"/>
    <x v="10"/>
    <s v="2026-08-14 13:57:35"/>
    <s v="월수금"/>
    <x v="1"/>
  </r>
  <r>
    <d v="2026-08-12T16:08:01"/>
    <s v="19006583"/>
    <x v="9"/>
    <x v="9"/>
    <n v="4"/>
    <m/>
    <n v="4"/>
    <s v="20270801150000"/>
    <s v="디캔팅"/>
    <s v="입고"/>
    <s v="작업완료"/>
    <s v="1013"/>
    <x v="1"/>
    <s v="2026-08-12 16:05:59"/>
    <s v="월수금"/>
    <x v="2"/>
  </r>
  <r>
    <d v="2026-08-12T16:07:41"/>
    <s v="19010510"/>
    <x v="9"/>
    <x v="9"/>
    <n v="16"/>
    <m/>
    <n v="16"/>
    <s v="20270801150000"/>
    <s v="디캔팅"/>
    <s v="입고"/>
    <s v="작업완료"/>
    <s v="1013"/>
    <x v="1"/>
    <s v="2026-08-12 16:05:20"/>
    <s v="월수금"/>
    <x v="2"/>
  </r>
  <r>
    <d v="2026-08-12T16:07:07"/>
    <s v="19001697"/>
    <x v="9"/>
    <x v="9"/>
    <n v="16"/>
    <m/>
    <n v="16"/>
    <s v="20270801150000"/>
    <s v="디캔팅"/>
    <s v="입고"/>
    <s v="작업완료"/>
    <s v="1013"/>
    <x v="1"/>
    <s v="2026-08-12 16:05:15"/>
    <s v="월수금"/>
    <x v="2"/>
  </r>
  <r>
    <d v="2026-08-12T16:06:21"/>
    <s v="19002817"/>
    <x v="9"/>
    <x v="9"/>
    <n v="16"/>
    <m/>
    <n v="16"/>
    <s v="20270801150000"/>
    <s v="디캔팅"/>
    <s v="입고"/>
    <s v="작업완료"/>
    <s v="1013"/>
    <x v="1"/>
    <s v="2026-08-12 16:03:04"/>
    <s v="월수금"/>
    <x v="2"/>
  </r>
  <r>
    <d v="2026-08-12T16:05:20"/>
    <s v="19000228"/>
    <x v="9"/>
    <x v="9"/>
    <n v="16"/>
    <m/>
    <n v="16"/>
    <s v="20270801150000"/>
    <s v="디캔팅"/>
    <s v="입고"/>
    <s v="작업완료"/>
    <s v="1013"/>
    <x v="1"/>
    <s v="2026-08-12 16:02:59"/>
    <s v="월수금"/>
    <x v="2"/>
  </r>
  <r>
    <d v="2026-08-12T16:03:28"/>
    <s v="19014603"/>
    <x v="9"/>
    <x v="9"/>
    <n v="16"/>
    <m/>
    <n v="16"/>
    <s v="20270801150000"/>
    <s v="디캔팅"/>
    <s v="입고"/>
    <s v="작업완료"/>
    <s v="1013"/>
    <x v="1"/>
    <s v="2026-08-12 16:00:49"/>
    <s v="월수금"/>
    <x v="2"/>
  </r>
  <r>
    <d v="2026-08-12T16:03:05"/>
    <s v="19001063"/>
    <x v="9"/>
    <x v="9"/>
    <n v="16"/>
    <m/>
    <n v="16"/>
    <s v="20270801150000"/>
    <s v="디캔팅"/>
    <s v="입고"/>
    <s v="작업완료"/>
    <s v="1013"/>
    <x v="1"/>
    <s v="2026-08-12 16:00:45"/>
    <s v="월수금"/>
    <x v="2"/>
  </r>
  <r>
    <d v="2026-08-12T16:00:56"/>
    <s v="19023624"/>
    <x v="9"/>
    <x v="9"/>
    <n v="16"/>
    <m/>
    <n v="16"/>
    <s v="20270801150000"/>
    <s v="디캔팅"/>
    <s v="입고"/>
    <s v="작업완료"/>
    <s v="1013"/>
    <x v="1"/>
    <s v="2026-08-12 15:58:48"/>
    <s v="월수금"/>
    <x v="2"/>
  </r>
  <r>
    <d v="2026-08-12T16:00:51"/>
    <s v="19006398"/>
    <x v="9"/>
    <x v="9"/>
    <n v="16"/>
    <m/>
    <n v="16"/>
    <s v="20270801150000"/>
    <s v="디캔팅"/>
    <s v="입고"/>
    <s v="작업완료"/>
    <s v="1013"/>
    <x v="1"/>
    <s v="2026-08-12 15:58:44"/>
    <s v="월수금"/>
    <x v="2"/>
  </r>
  <r>
    <d v="2026-08-12T15:59:17"/>
    <s v="19012432"/>
    <x v="9"/>
    <x v="9"/>
    <n v="16"/>
    <m/>
    <n v="16"/>
    <s v="20270801150000"/>
    <s v="디캔팅"/>
    <s v="입고"/>
    <s v="작업완료"/>
    <s v="1013"/>
    <x v="1"/>
    <s v="2026-08-12 15:56:37"/>
    <s v="월수금"/>
    <x v="2"/>
  </r>
  <r>
    <d v="2026-08-12T15:59:06"/>
    <s v="19025514"/>
    <x v="9"/>
    <x v="9"/>
    <n v="16"/>
    <m/>
    <n v="16"/>
    <s v="20270801150000"/>
    <s v="디캔팅"/>
    <s v="입고"/>
    <s v="작업완료"/>
    <s v="1013"/>
    <x v="1"/>
    <s v="2026-08-12 15:56:32"/>
    <s v="월수금"/>
    <x v="2"/>
  </r>
  <r>
    <d v="2026-08-12T15:56:46"/>
    <s v="19000765"/>
    <x v="9"/>
    <x v="9"/>
    <n v="16"/>
    <m/>
    <n v="16"/>
    <s v="20270801150000"/>
    <s v="디캔팅"/>
    <s v="입고"/>
    <s v="작업완료"/>
    <s v="1013"/>
    <x v="1"/>
    <s v="2026-08-12 15:54:35"/>
    <s v="월수금"/>
    <x v="2"/>
  </r>
  <r>
    <d v="2026-08-12T15:56:39"/>
    <s v="19019912"/>
    <x v="9"/>
    <x v="9"/>
    <n v="16"/>
    <m/>
    <n v="16"/>
    <s v="20270801150000"/>
    <s v="디캔팅"/>
    <s v="입고"/>
    <s v="작업완료"/>
    <s v="1013"/>
    <x v="1"/>
    <s v="2026-08-12 15:54:40"/>
    <s v="월수금"/>
    <x v="2"/>
  </r>
  <r>
    <d v="2026-08-12T15:54:51"/>
    <s v="19005055"/>
    <x v="9"/>
    <x v="9"/>
    <n v="16"/>
    <m/>
    <n v="16"/>
    <s v="20270801150000"/>
    <s v="디캔팅"/>
    <s v="입고"/>
    <s v="작업완료"/>
    <s v="1013"/>
    <x v="1"/>
    <s v="2026-08-12 15:52:40"/>
    <s v="월수금"/>
    <x v="2"/>
  </r>
  <r>
    <d v="2026-08-12T15:54:17"/>
    <s v="19001695"/>
    <x v="9"/>
    <x v="9"/>
    <n v="16"/>
    <m/>
    <n v="16"/>
    <s v="20270801150000"/>
    <s v="디캔팅"/>
    <s v="입고"/>
    <s v="작업완료"/>
    <s v="1013"/>
    <x v="1"/>
    <s v="2026-08-12 15:52:29"/>
    <s v="월수금"/>
    <x v="2"/>
  </r>
  <r>
    <d v="2026-08-12T15:52:41"/>
    <s v="19002317"/>
    <x v="9"/>
    <x v="9"/>
    <n v="16"/>
    <m/>
    <n v="16"/>
    <s v="20270801150000"/>
    <s v="디캔팅"/>
    <s v="입고"/>
    <s v="작업완료"/>
    <s v="1013"/>
    <x v="1"/>
    <s v="2026-08-12 15:50:17"/>
    <s v="월수금"/>
    <x v="2"/>
  </r>
  <r>
    <d v="2026-08-12T15:51:59"/>
    <s v="19001599"/>
    <x v="9"/>
    <x v="9"/>
    <n v="16"/>
    <m/>
    <n v="16"/>
    <s v="20270801150000"/>
    <s v="디캔팅"/>
    <s v="입고"/>
    <s v="작업완료"/>
    <s v="1013"/>
    <x v="1"/>
    <s v="2026-08-12 15:50:13"/>
    <s v="월수금"/>
    <x v="2"/>
  </r>
  <r>
    <d v="2026-08-12T15:50:25"/>
    <s v="19026156"/>
    <x v="9"/>
    <x v="9"/>
    <n v="16"/>
    <m/>
    <n v="16"/>
    <s v="20270801150000"/>
    <s v="디캔팅"/>
    <s v="입고"/>
    <s v="작업완료"/>
    <s v="1013"/>
    <x v="1"/>
    <s v="2026-08-12 15:48:17"/>
    <s v="월수금"/>
    <x v="2"/>
  </r>
  <r>
    <d v="2026-08-12T15:50:21"/>
    <s v="19001699"/>
    <x v="9"/>
    <x v="9"/>
    <n v="16"/>
    <m/>
    <n v="16"/>
    <s v="20270801150000"/>
    <s v="디캔팅"/>
    <s v="입고"/>
    <s v="작업완료"/>
    <s v="1013"/>
    <x v="1"/>
    <s v="2026-08-12 15:48:12"/>
    <s v="월수금"/>
    <x v="2"/>
  </r>
  <r>
    <d v="2026-08-12T15:48:20"/>
    <s v="19001554"/>
    <x v="9"/>
    <x v="9"/>
    <n v="16"/>
    <m/>
    <n v="16"/>
    <s v="20270801150000"/>
    <s v="디캔팅"/>
    <s v="입고"/>
    <s v="작업완료"/>
    <s v="1013"/>
    <x v="1"/>
    <s v="2026-08-12 15:46:18"/>
    <s v="월수금"/>
    <x v="2"/>
  </r>
  <r>
    <d v="2026-08-12T15:48:12"/>
    <s v="19018650"/>
    <x v="9"/>
    <x v="9"/>
    <n v="16"/>
    <m/>
    <n v="16"/>
    <s v="20270801150000"/>
    <s v="디캔팅"/>
    <s v="입고"/>
    <s v="작업완료"/>
    <s v="1013"/>
    <x v="1"/>
    <s v="2026-08-12 15:46:14"/>
    <s v="월수금"/>
    <x v="2"/>
  </r>
  <r>
    <d v="2026-08-12T15:46:09"/>
    <s v="19007784"/>
    <x v="9"/>
    <x v="9"/>
    <n v="16"/>
    <m/>
    <n v="16"/>
    <s v="20270801150000"/>
    <s v="디캔팅"/>
    <s v="입고"/>
    <s v="작업완료"/>
    <s v="1013"/>
    <x v="1"/>
    <s v="2026-08-12 15:44:05"/>
    <s v="월수금"/>
    <x v="2"/>
  </r>
  <r>
    <d v="2026-08-12T15:46:07"/>
    <s v="19004479"/>
    <x v="9"/>
    <x v="9"/>
    <n v="16"/>
    <m/>
    <n v="16"/>
    <s v="20270801150000"/>
    <s v="디캔팅"/>
    <s v="입고"/>
    <s v="작업완료"/>
    <s v="1013"/>
    <x v="1"/>
    <s v="2026-08-12 15:44:10"/>
    <s v="월수금"/>
    <x v="2"/>
  </r>
  <r>
    <d v="2026-08-12T15:45:13"/>
    <s v="19005411"/>
    <x v="9"/>
    <x v="9"/>
    <n v="16"/>
    <m/>
    <n v="16"/>
    <s v="20270801150000"/>
    <s v="디캔팅"/>
    <s v="입고"/>
    <s v="작업완료"/>
    <s v="1013"/>
    <x v="1"/>
    <s v="2026-08-12 15:41:37"/>
    <s v="월수금"/>
    <x v="2"/>
  </r>
  <r>
    <d v="2026-08-12T15:44:12"/>
    <s v="19014101"/>
    <x v="9"/>
    <x v="9"/>
    <n v="16"/>
    <m/>
    <n v="16"/>
    <s v="20270801150000"/>
    <s v="디캔팅"/>
    <s v="입고"/>
    <s v="작업완료"/>
    <s v="1013"/>
    <x v="1"/>
    <s v="2026-08-12 15:41:43"/>
    <s v="월수금"/>
    <x v="2"/>
  </r>
  <r>
    <d v="2026-08-12T15:41:32"/>
    <s v="19014896"/>
    <x v="9"/>
    <x v="9"/>
    <n v="16"/>
    <m/>
    <n v="16"/>
    <s v="20270801150000"/>
    <s v="디캔팅"/>
    <s v="입고"/>
    <s v="작업완료"/>
    <s v="1013"/>
    <x v="1"/>
    <s v="2026-08-12 15:39:19"/>
    <s v="월수금"/>
    <x v="2"/>
  </r>
  <r>
    <d v="2026-08-12T15:40:55"/>
    <s v="19016317"/>
    <x v="9"/>
    <x v="9"/>
    <n v="16"/>
    <m/>
    <n v="16"/>
    <s v="20270801150000"/>
    <s v="디캔팅"/>
    <s v="입고"/>
    <s v="작업완료"/>
    <s v="1013"/>
    <x v="1"/>
    <s v="2026-08-12 15:39:15"/>
    <s v="월수금"/>
    <x v="2"/>
  </r>
  <r>
    <d v="2026-08-10T18:08:26"/>
    <s v="19002491"/>
    <x v="9"/>
    <x v="9"/>
    <n v="16"/>
    <m/>
    <n v="16"/>
    <s v="20270721150000"/>
    <s v="디캔팅"/>
    <s v="입고"/>
    <s v="작업완료"/>
    <s v="1013"/>
    <x v="1"/>
    <s v="2026-08-10 18:05:55"/>
    <s v="월수금"/>
    <x v="3"/>
  </r>
  <r>
    <d v="2026-08-10T18:07:51"/>
    <s v="19003938"/>
    <x v="9"/>
    <x v="9"/>
    <n v="16"/>
    <m/>
    <n v="16"/>
    <s v="20270721150000"/>
    <s v="디캔팅"/>
    <s v="입고"/>
    <s v="작업완료"/>
    <s v="1013"/>
    <x v="1"/>
    <s v="2026-08-10 18:05:45"/>
    <s v="월수금"/>
    <x v="3"/>
  </r>
  <r>
    <d v="2026-08-10T18:04:04"/>
    <s v="19020445"/>
    <x v="9"/>
    <x v="9"/>
    <n v="16"/>
    <m/>
    <n v="16"/>
    <s v="20270721150000"/>
    <s v="디캔팅"/>
    <s v="입고"/>
    <s v="작업완료"/>
    <s v="1013"/>
    <x v="1"/>
    <s v="2026-08-10 18:01:37"/>
    <s v="월수금"/>
    <x v="3"/>
  </r>
  <r>
    <d v="2026-08-10T18:03:52"/>
    <s v="19021840"/>
    <x v="9"/>
    <x v="9"/>
    <n v="16"/>
    <m/>
    <n v="16"/>
    <s v="20270721150000"/>
    <s v="디캔팅"/>
    <s v="입고"/>
    <s v="작업완료"/>
    <s v="1013"/>
    <x v="1"/>
    <s v="2026-08-10 18:01:27"/>
    <s v="월수금"/>
    <x v="3"/>
  </r>
  <r>
    <d v="2026-08-10T18:00:18"/>
    <s v="19006876"/>
    <x v="9"/>
    <x v="9"/>
    <n v="16"/>
    <m/>
    <n v="16"/>
    <s v="20270721150000"/>
    <s v="디캔팅"/>
    <s v="입고"/>
    <s v="작업완료"/>
    <s v="1013"/>
    <x v="1"/>
    <s v="2026-08-10 17:58:11"/>
    <s v="월수금"/>
    <x v="3"/>
  </r>
  <r>
    <d v="2026-08-10T18:00:06"/>
    <s v="19012252"/>
    <x v="9"/>
    <x v="9"/>
    <n v="16"/>
    <m/>
    <n v="16"/>
    <s v="20270721150000"/>
    <s v="디캔팅"/>
    <s v="입고"/>
    <s v="작업완료"/>
    <s v="1013"/>
    <x v="1"/>
    <s v="2026-08-10 17:58:20"/>
    <s v="월수금"/>
    <x v="3"/>
  </r>
  <r>
    <d v="2026-08-10T17:57:54"/>
    <s v="19007942"/>
    <x v="9"/>
    <x v="9"/>
    <n v="16"/>
    <m/>
    <n v="16"/>
    <s v="20270721150000"/>
    <s v="디캔팅"/>
    <s v="입고"/>
    <s v="작업완료"/>
    <s v="1013"/>
    <x v="1"/>
    <s v="2026-08-10 17:55:05"/>
    <s v="월수금"/>
    <x v="3"/>
  </r>
  <r>
    <d v="2026-08-10T17:56:43"/>
    <s v="19001366"/>
    <x v="9"/>
    <x v="9"/>
    <n v="16"/>
    <m/>
    <n v="16"/>
    <s v="20270721150000"/>
    <s v="디캔팅"/>
    <s v="입고"/>
    <s v="작업완료"/>
    <s v="1013"/>
    <x v="1"/>
    <s v="2026-08-10 17:54:58"/>
    <s v="월수금"/>
    <x v="3"/>
  </r>
  <r>
    <d v="2026-08-10T17:55:32"/>
    <s v="19005988"/>
    <x v="9"/>
    <x v="9"/>
    <n v="16"/>
    <m/>
    <n v="16"/>
    <s v="20270721150000"/>
    <s v="디캔팅"/>
    <s v="입고"/>
    <s v="작업완료"/>
    <s v="1013"/>
    <x v="1"/>
    <s v="2026-08-10 17:51:57"/>
    <s v="월수금"/>
    <x v="3"/>
  </r>
  <r>
    <d v="2026-08-10T17:55:25"/>
    <s v="19017935"/>
    <x v="9"/>
    <x v="9"/>
    <n v="16"/>
    <m/>
    <n v="16"/>
    <s v="20270721150000"/>
    <s v="디캔팅"/>
    <s v="입고"/>
    <s v="작업완료"/>
    <s v="1013"/>
    <x v="1"/>
    <s v="2026-08-10 17:51:47"/>
    <s v="월수금"/>
    <x v="3"/>
  </r>
  <r>
    <d v="2026-08-10T17:54:41"/>
    <s v="19002601"/>
    <x v="9"/>
    <x v="9"/>
    <n v="16"/>
    <m/>
    <n v="16"/>
    <s v="20270721150000"/>
    <s v="디캔팅"/>
    <s v="입고"/>
    <s v="작업완료"/>
    <s v="1013"/>
    <x v="1"/>
    <s v="2026-08-10 17:48:56"/>
    <s v="월수금"/>
    <x v="3"/>
  </r>
  <r>
    <d v="2026-08-10T17:54:39"/>
    <s v="19013883"/>
    <x v="9"/>
    <x v="9"/>
    <n v="16"/>
    <m/>
    <n v="16"/>
    <s v="20270721150000"/>
    <s v="디캔팅"/>
    <s v="입고"/>
    <s v="작업완료"/>
    <s v="1013"/>
    <x v="1"/>
    <s v="2026-08-10 17:48:49"/>
    <s v="월수금"/>
    <x v="3"/>
  </r>
  <r>
    <d v="2026-08-10T17:48:03"/>
    <s v="19006669"/>
    <x v="9"/>
    <x v="9"/>
    <n v="16"/>
    <m/>
    <n v="16"/>
    <s v="20270721150000"/>
    <s v="디캔팅"/>
    <s v="입고"/>
    <s v="작업완료"/>
    <s v="1013"/>
    <x v="1"/>
    <s v="2026-08-10 17:45:17"/>
    <s v="월수금"/>
    <x v="3"/>
  </r>
  <r>
    <d v="2026-08-10T17:47:42"/>
    <s v="19002980"/>
    <x v="9"/>
    <x v="9"/>
    <n v="16"/>
    <m/>
    <n v="16"/>
    <s v="20270721150000"/>
    <s v="디캔팅"/>
    <s v="입고"/>
    <s v="작업완료"/>
    <s v="1013"/>
    <x v="1"/>
    <s v="2026-08-10 17:45:25"/>
    <s v="월수금"/>
    <x v="3"/>
  </r>
  <r>
    <d v="2026-08-10T17:45:01"/>
    <s v="19026534"/>
    <x v="9"/>
    <x v="9"/>
    <n v="16"/>
    <m/>
    <n v="16"/>
    <s v="20270721150000"/>
    <s v="디캔팅"/>
    <s v="입고"/>
    <s v="작업완료"/>
    <s v="1013"/>
    <x v="1"/>
    <s v="2026-08-10 17:42:28"/>
    <s v="월수금"/>
    <x v="3"/>
  </r>
  <r>
    <d v="2026-08-10T17:44:57"/>
    <s v="19014775"/>
    <x v="9"/>
    <x v="9"/>
    <n v="16"/>
    <m/>
    <n v="16"/>
    <s v="20270721150000"/>
    <s v="디캔팅"/>
    <s v="입고"/>
    <s v="작업완료"/>
    <s v="1013"/>
    <x v="1"/>
    <s v="2026-08-10 17:42:36"/>
    <s v="월수금"/>
    <x v="3"/>
  </r>
  <r>
    <d v="2026-08-10T17:41:17"/>
    <s v="19002739"/>
    <x v="9"/>
    <x v="9"/>
    <n v="16"/>
    <m/>
    <n v="16"/>
    <s v="20270721150000"/>
    <s v="디캔팅"/>
    <s v="입고"/>
    <s v="작업완료"/>
    <s v="1013"/>
    <x v="1"/>
    <s v="2026-08-10 17:39:21"/>
    <s v="월수금"/>
    <x v="3"/>
  </r>
  <r>
    <d v="2026-08-10T17:41:06"/>
    <s v="19020565"/>
    <x v="9"/>
    <x v="9"/>
    <n v="16"/>
    <m/>
    <n v="16"/>
    <s v="20270721150000"/>
    <s v="디캔팅"/>
    <s v="입고"/>
    <s v="작업완료"/>
    <s v="1013"/>
    <x v="1"/>
    <s v="2026-08-10 17:38:57"/>
    <s v="월수금"/>
    <x v="3"/>
  </r>
  <r>
    <d v="2026-08-10T17:38:24"/>
    <s v="19010761"/>
    <x v="9"/>
    <x v="9"/>
    <n v="16"/>
    <m/>
    <n v="16"/>
    <s v="20270721150000"/>
    <s v="디캔팅"/>
    <s v="입고"/>
    <s v="작업완료"/>
    <s v="1013"/>
    <x v="1"/>
    <s v="2026-08-10 17:35:42"/>
    <s v="월수금"/>
    <x v="3"/>
  </r>
  <r>
    <d v="2026-08-10T17:37:58"/>
    <s v="19005464"/>
    <x v="9"/>
    <x v="9"/>
    <n v="16"/>
    <m/>
    <n v="16"/>
    <s v="20270721150000"/>
    <s v="디캔팅"/>
    <s v="입고"/>
    <s v="작업완료"/>
    <s v="1013"/>
    <x v="1"/>
    <s v="2026-08-10 17:35:51"/>
    <s v="월수금"/>
    <x v="3"/>
  </r>
  <r>
    <d v="2026-08-10T17:35:06"/>
    <s v="19024472"/>
    <x v="9"/>
    <x v="9"/>
    <n v="16"/>
    <m/>
    <n v="16"/>
    <s v="20270721150000"/>
    <s v="디캔팅"/>
    <s v="입고"/>
    <s v="작업완료"/>
    <s v="1013"/>
    <x v="1"/>
    <s v="2026-08-10 17:32:46"/>
    <s v="월수금"/>
    <x v="3"/>
  </r>
  <r>
    <d v="2026-08-10T17:34:38"/>
    <s v="19025857"/>
    <x v="9"/>
    <x v="9"/>
    <n v="16"/>
    <m/>
    <n v="16"/>
    <s v="20270721150000"/>
    <s v="디캔팅"/>
    <s v="입고"/>
    <s v="작업완료"/>
    <s v="1013"/>
    <x v="1"/>
    <s v="2026-08-10 17:32:38"/>
    <s v="월수금"/>
    <x v="3"/>
  </r>
  <r>
    <d v="2026-08-10T17:31:28"/>
    <s v="19010182"/>
    <x v="9"/>
    <x v="9"/>
    <n v="16"/>
    <m/>
    <n v="16"/>
    <s v="20270721150000"/>
    <s v="디캔팅"/>
    <s v="입고"/>
    <s v="작업완료"/>
    <s v="1013"/>
    <x v="1"/>
    <s v="2026-08-10 17:29:10"/>
    <s v="월수금"/>
    <x v="3"/>
  </r>
  <r>
    <d v="2026-08-10T17:30:59"/>
    <s v="19020019"/>
    <x v="9"/>
    <x v="9"/>
    <n v="16"/>
    <m/>
    <n v="16"/>
    <s v="20270721150000"/>
    <s v="디캔팅"/>
    <s v="입고"/>
    <s v="작업완료"/>
    <s v="1013"/>
    <x v="1"/>
    <s v="2026-08-10 17:29:21"/>
    <s v="월수금"/>
    <x v="3"/>
  </r>
  <r>
    <d v="2026-08-10T17:28:25"/>
    <s v="19001829"/>
    <x v="9"/>
    <x v="9"/>
    <n v="16"/>
    <m/>
    <n v="16"/>
    <s v="20270721150000"/>
    <s v="디캔팅"/>
    <s v="입고"/>
    <s v="작업완료"/>
    <s v="1013"/>
    <x v="1"/>
    <s v="2026-08-10 17:25:57"/>
    <s v="월수금"/>
    <x v="3"/>
  </r>
  <r>
    <d v="2026-08-10T17:27:58"/>
    <s v="19004675"/>
    <x v="9"/>
    <x v="9"/>
    <n v="16"/>
    <m/>
    <n v="16"/>
    <s v="20270721150000"/>
    <s v="디캔팅"/>
    <s v="입고"/>
    <s v="작업완료"/>
    <s v="1013"/>
    <x v="1"/>
    <s v="2026-08-10 17:25:49"/>
    <s v="월수금"/>
    <x v="3"/>
  </r>
  <r>
    <d v="2026-08-10T17:24:32"/>
    <s v="19027519"/>
    <x v="9"/>
    <x v="9"/>
    <n v="16"/>
    <m/>
    <n v="16"/>
    <s v="20270721150000"/>
    <s v="디캔팅"/>
    <s v="입고"/>
    <s v="작업완료"/>
    <s v="1013"/>
    <x v="1"/>
    <s v="2026-08-10 17:22:30"/>
    <s v="월수금"/>
    <x v="3"/>
  </r>
  <r>
    <d v="2026-08-10T17:24:17"/>
    <s v="19025616"/>
    <x v="9"/>
    <x v="9"/>
    <n v="16"/>
    <m/>
    <n v="16"/>
    <s v="20270721150000"/>
    <s v="디캔팅"/>
    <s v="입고"/>
    <s v="작업완료"/>
    <s v="1013"/>
    <x v="1"/>
    <s v="2026-08-10 17:22:17"/>
    <s v="월수금"/>
    <x v="3"/>
  </r>
  <r>
    <d v="2026-08-10T16:57:20"/>
    <s v="19002297"/>
    <x v="9"/>
    <x v="9"/>
    <n v="16"/>
    <m/>
    <n v="16"/>
    <s v="20270721150000"/>
    <s v="디캔팅"/>
    <s v="입고"/>
    <s v="작업완료"/>
    <s v="1013"/>
    <x v="1"/>
    <s v="2026-08-10 16:55:06"/>
    <s v="월수금"/>
    <x v="3"/>
  </r>
  <r>
    <d v="2026-08-10T16:57:11"/>
    <s v="19012675"/>
    <x v="9"/>
    <x v="9"/>
    <n v="16"/>
    <m/>
    <n v="16"/>
    <s v="20270721150000"/>
    <s v="디캔팅"/>
    <s v="입고"/>
    <s v="작업완료"/>
    <s v="1013"/>
    <x v="1"/>
    <s v="2026-08-10 16:54:57"/>
    <s v="월수금"/>
    <x v="3"/>
  </r>
  <r>
    <d v="2026-08-13T23:44:02"/>
    <s v="19026445"/>
    <x v="10"/>
    <x v="10"/>
    <n v="48"/>
    <m/>
    <n v="48"/>
    <s v="20271223000000"/>
    <s v="디캔팅"/>
    <s v="입고"/>
    <s v="작업완료"/>
    <s v="1004"/>
    <x v="8"/>
    <s v="2026-08-13 23:42:08"/>
    <s v="월수금"/>
    <x v="4"/>
  </r>
  <r>
    <d v="2026-08-13T23:43:43"/>
    <s v="19005911"/>
    <x v="10"/>
    <x v="10"/>
    <n v="48"/>
    <m/>
    <n v="48"/>
    <s v="20271223000000"/>
    <s v="디캔팅"/>
    <s v="입고"/>
    <s v="작업완료"/>
    <s v="1004"/>
    <x v="8"/>
    <s v="2026-08-13 23:42:16"/>
    <s v="월수금"/>
    <x v="4"/>
  </r>
  <r>
    <d v="2026-08-13T23:43:29"/>
    <s v="19001163"/>
    <x v="10"/>
    <x v="10"/>
    <n v="48"/>
    <m/>
    <n v="48"/>
    <s v="20271223000000"/>
    <s v="디캔팅"/>
    <s v="입고"/>
    <s v="작업완료"/>
    <s v="1005"/>
    <x v="2"/>
    <s v="2026-08-13 23:41:55"/>
    <s v="월수금"/>
    <x v="4"/>
  </r>
  <r>
    <d v="2026-08-13T23:43:18"/>
    <s v="19006844"/>
    <x v="10"/>
    <x v="10"/>
    <n v="48"/>
    <m/>
    <n v="48"/>
    <s v="20271223000000"/>
    <s v="디캔팅"/>
    <s v="입고"/>
    <s v="작업완료"/>
    <s v="1005"/>
    <x v="2"/>
    <s v="2026-08-13 23:41:52"/>
    <s v="월수금"/>
    <x v="4"/>
  </r>
  <r>
    <d v="2026-08-13T23:43:17"/>
    <s v="19012358"/>
    <x v="10"/>
    <x v="10"/>
    <n v="48"/>
    <m/>
    <n v="48"/>
    <s v="20271223000000"/>
    <s v="디캔팅"/>
    <s v="입고"/>
    <s v="작업완료"/>
    <s v="1005"/>
    <x v="2"/>
    <s v="2026-08-13 23:40:45"/>
    <s v="월수금"/>
    <x v="4"/>
  </r>
  <r>
    <d v="2026-08-13T23:43:13"/>
    <s v="19004182"/>
    <x v="10"/>
    <x v="10"/>
    <n v="48"/>
    <m/>
    <n v="48"/>
    <s v="20271223000000"/>
    <s v="디캔팅"/>
    <s v="입고"/>
    <s v="작업완료"/>
    <s v="1005"/>
    <x v="2"/>
    <s v="2026-08-13 23:24:13"/>
    <s v="월수금"/>
    <x v="4"/>
  </r>
  <r>
    <d v="2026-08-13T23:42:30"/>
    <s v="19023200"/>
    <x v="10"/>
    <x v="10"/>
    <n v="48"/>
    <m/>
    <n v="48"/>
    <s v="20271223000000"/>
    <s v="디캔팅"/>
    <s v="입고"/>
    <s v="작업완료"/>
    <s v="1005"/>
    <x v="2"/>
    <s v="2026-08-13 23:40:49"/>
    <s v="월수금"/>
    <x v="4"/>
  </r>
  <r>
    <d v="2026-08-13T23:42:19"/>
    <s v="19003416"/>
    <x v="10"/>
    <x v="10"/>
    <n v="48"/>
    <m/>
    <n v="48"/>
    <s v="20271223000000"/>
    <s v="디캔팅"/>
    <s v="입고"/>
    <s v="작업완료"/>
    <s v="1004"/>
    <x v="8"/>
    <s v="2026-08-13 23:40:21"/>
    <s v="월수금"/>
    <x v="4"/>
  </r>
  <r>
    <d v="2026-08-13T23:41:56"/>
    <s v="19005367"/>
    <x v="10"/>
    <x v="10"/>
    <n v="48"/>
    <m/>
    <n v="48"/>
    <s v="20271223000000"/>
    <s v="디캔팅"/>
    <s v="입고"/>
    <s v="작업완료"/>
    <s v="1004"/>
    <x v="8"/>
    <s v="2026-08-13 23:40:26"/>
    <s v="월수금"/>
    <x v="4"/>
  </r>
  <r>
    <d v="2026-08-13T23:41:27"/>
    <s v="19007815"/>
    <x v="10"/>
    <x v="10"/>
    <n v="48"/>
    <m/>
    <n v="48"/>
    <s v="20271223000000"/>
    <s v="디캔팅"/>
    <s v="입고"/>
    <s v="작업완료"/>
    <s v="1005"/>
    <x v="2"/>
    <s v="2026-08-13 23:39:33"/>
    <s v="월수금"/>
    <x v="4"/>
  </r>
  <r>
    <d v="2026-08-13T23:41:19"/>
    <s v="19023013"/>
    <x v="10"/>
    <x v="10"/>
    <n v="48"/>
    <m/>
    <n v="48"/>
    <s v="20271223000000"/>
    <s v="디캔팅"/>
    <s v="입고"/>
    <s v="작업완료"/>
    <s v="1005"/>
    <x v="2"/>
    <s v="2026-08-13 23:39:31"/>
    <s v="월수금"/>
    <x v="4"/>
  </r>
  <r>
    <d v="2026-08-13T23:40:46"/>
    <s v="19027051"/>
    <x v="10"/>
    <x v="10"/>
    <n v="48"/>
    <m/>
    <n v="48"/>
    <s v="20271223000000"/>
    <s v="디캔팅"/>
    <s v="입고"/>
    <s v="작업완료"/>
    <s v="1004"/>
    <x v="8"/>
    <s v="2026-08-13 23:39:06"/>
    <s v="월수금"/>
    <x v="4"/>
  </r>
  <r>
    <d v="2026-08-13T23:40:38"/>
    <s v="19023423"/>
    <x v="10"/>
    <x v="10"/>
    <n v="48"/>
    <m/>
    <n v="48"/>
    <s v="20271223000000"/>
    <s v="디캔팅"/>
    <s v="입고"/>
    <s v="작업완료"/>
    <s v="1004"/>
    <x v="8"/>
    <s v="2026-08-13 23:39:12"/>
    <s v="월수금"/>
    <x v="4"/>
  </r>
  <r>
    <d v="2026-08-13T23:39:55"/>
    <s v="19018707"/>
    <x v="10"/>
    <x v="10"/>
    <n v="48"/>
    <m/>
    <n v="48"/>
    <s v="20271223000000"/>
    <s v="디캔팅"/>
    <s v="입고"/>
    <s v="작업완료"/>
    <s v="1005"/>
    <x v="2"/>
    <s v="2026-08-13 23:38:10"/>
    <s v="월수금"/>
    <x v="4"/>
  </r>
  <r>
    <d v="2026-08-13T23:39:51"/>
    <s v="19012851"/>
    <x v="10"/>
    <x v="10"/>
    <n v="48"/>
    <m/>
    <n v="48"/>
    <s v="20271223000000"/>
    <s v="디캔팅"/>
    <s v="입고"/>
    <s v="작업완료"/>
    <s v="1005"/>
    <x v="2"/>
    <s v="2026-08-13 23:38:13"/>
    <s v="월수금"/>
    <x v="4"/>
  </r>
  <r>
    <d v="2026-08-13T23:39:12"/>
    <s v="19009754"/>
    <x v="10"/>
    <x v="10"/>
    <n v="48"/>
    <m/>
    <n v="48"/>
    <s v="20271223000000"/>
    <s v="디캔팅"/>
    <s v="입고"/>
    <s v="작업완료"/>
    <s v="1004"/>
    <x v="8"/>
    <s v="2026-08-13 23:37:29"/>
    <s v="월수금"/>
    <x v="4"/>
  </r>
  <r>
    <d v="2026-08-13T23:38:56"/>
    <s v="19012966"/>
    <x v="10"/>
    <x v="10"/>
    <n v="48"/>
    <m/>
    <n v="48"/>
    <s v="20271223000000"/>
    <s v="디캔팅"/>
    <s v="입고"/>
    <s v="작업완료"/>
    <s v="1004"/>
    <x v="8"/>
    <s v="2026-08-13 23:37:35"/>
    <s v="월수금"/>
    <x v="4"/>
  </r>
  <r>
    <d v="2026-08-13T23:38:46"/>
    <s v="19016529"/>
    <x v="10"/>
    <x v="10"/>
    <n v="48"/>
    <m/>
    <n v="48"/>
    <s v="20271223000000"/>
    <s v="디캔팅"/>
    <s v="입고"/>
    <s v="작업완료"/>
    <s v="1005"/>
    <x v="2"/>
    <s v="2026-08-13 23:37:02"/>
    <s v="월수금"/>
    <x v="4"/>
  </r>
  <r>
    <d v="2026-08-13T23:38:42"/>
    <s v="19006679"/>
    <x v="10"/>
    <x v="10"/>
    <n v="48"/>
    <m/>
    <n v="48"/>
    <s v="20271223000000"/>
    <s v="디캔팅"/>
    <s v="입고"/>
    <s v="작업완료"/>
    <s v="1005"/>
    <x v="2"/>
    <s v="2026-08-13 23:36:59"/>
    <s v="월수금"/>
    <x v="4"/>
  </r>
  <r>
    <d v="2026-08-13T23:38:18"/>
    <s v="19028921"/>
    <x v="10"/>
    <x v="10"/>
    <n v="48"/>
    <m/>
    <n v="48"/>
    <s v="20271223000000"/>
    <s v="디캔팅"/>
    <s v="입고"/>
    <s v="작업완료"/>
    <s v="1004"/>
    <x v="8"/>
    <s v="2026-08-13 23:35:52"/>
    <s v="월수금"/>
    <x v="4"/>
  </r>
  <r>
    <d v="2026-08-13T23:37:45"/>
    <s v="19010009"/>
    <x v="10"/>
    <x v="10"/>
    <n v="48"/>
    <m/>
    <n v="48"/>
    <s v="20271223000000"/>
    <s v="디캔팅"/>
    <s v="입고"/>
    <s v="작업완료"/>
    <s v="1005"/>
    <x v="2"/>
    <s v="2026-08-13 23:35:51"/>
    <s v="월수금"/>
    <x v="4"/>
  </r>
  <r>
    <d v="2026-08-13T23:37:25"/>
    <s v="19011916"/>
    <x v="10"/>
    <x v="10"/>
    <n v="48"/>
    <m/>
    <n v="48"/>
    <s v="20271223000000"/>
    <s v="디캔팅"/>
    <s v="입고"/>
    <s v="작업완료"/>
    <s v="1005"/>
    <x v="2"/>
    <s v="2026-08-13 23:35:48"/>
    <s v="월수금"/>
    <x v="4"/>
  </r>
  <r>
    <d v="2026-08-13T23:37:12"/>
    <s v="19022603"/>
    <x v="10"/>
    <x v="10"/>
    <n v="48"/>
    <m/>
    <n v="48"/>
    <s v="20271223000000"/>
    <s v="디캔팅"/>
    <s v="입고"/>
    <s v="작업완료"/>
    <s v="1004"/>
    <x v="8"/>
    <s v="2026-08-13 23:35:45"/>
    <s v="월수금"/>
    <x v="4"/>
  </r>
  <r>
    <d v="2026-08-13T23:36:15"/>
    <s v="19011259"/>
    <x v="10"/>
    <x v="10"/>
    <n v="48"/>
    <m/>
    <n v="48"/>
    <s v="20271223000000"/>
    <s v="디캔팅"/>
    <s v="입고"/>
    <s v="작업완료"/>
    <s v="1005"/>
    <x v="2"/>
    <s v="2026-08-13 23:34:28"/>
    <s v="월수금"/>
    <x v="4"/>
  </r>
  <r>
    <d v="2026-08-13T23:35:58"/>
    <s v="19005488"/>
    <x v="10"/>
    <x v="10"/>
    <n v="48"/>
    <m/>
    <n v="48"/>
    <s v="20271223000000"/>
    <s v="디캔팅"/>
    <s v="입고"/>
    <s v="작업완료"/>
    <s v="1005"/>
    <x v="2"/>
    <s v="2026-08-13 23:34:32"/>
    <s v="월수금"/>
    <x v="4"/>
  </r>
  <r>
    <d v="2026-08-13T23:34:59"/>
    <s v="19008006"/>
    <x v="10"/>
    <x v="10"/>
    <n v="48"/>
    <m/>
    <n v="48"/>
    <s v="20271223000000"/>
    <s v="디캔팅"/>
    <s v="입고"/>
    <s v="작업완료"/>
    <s v="1005"/>
    <x v="2"/>
    <s v="2026-08-13 23:33:10"/>
    <s v="월수금"/>
    <x v="4"/>
  </r>
  <r>
    <d v="2026-08-13T23:34:45"/>
    <s v="19011973"/>
    <x v="10"/>
    <x v="10"/>
    <n v="48"/>
    <m/>
    <n v="48"/>
    <s v="20271223000000"/>
    <s v="디캔팅"/>
    <s v="입고"/>
    <s v="작업완료"/>
    <s v="1005"/>
    <x v="2"/>
    <s v="2026-08-13 23:33:13"/>
    <s v="월수금"/>
    <x v="4"/>
  </r>
  <r>
    <d v="2026-08-13T23:34:43"/>
    <s v="19012651"/>
    <x v="10"/>
    <x v="10"/>
    <n v="48"/>
    <m/>
    <n v="48"/>
    <s v="20271223000000"/>
    <s v="디캔팅"/>
    <s v="입고"/>
    <s v="작업완료"/>
    <s v="1004"/>
    <x v="8"/>
    <s v="2026-08-13 23:33:07"/>
    <s v="월수금"/>
    <x v="4"/>
  </r>
  <r>
    <d v="2026-08-13T23:34:37"/>
    <s v="19005137"/>
    <x v="10"/>
    <x v="10"/>
    <n v="48"/>
    <m/>
    <n v="48"/>
    <s v="20271223000000"/>
    <s v="디캔팅"/>
    <s v="입고"/>
    <s v="작업완료"/>
    <s v="1004"/>
    <x v="8"/>
    <s v="2026-08-13 23:32:58"/>
    <s v="월수금"/>
    <x v="4"/>
  </r>
  <r>
    <d v="2026-08-13T23:33:47"/>
    <s v="19006210"/>
    <x v="10"/>
    <x v="10"/>
    <n v="48"/>
    <m/>
    <n v="48"/>
    <s v="20271223000000"/>
    <s v="디캔팅"/>
    <s v="입고"/>
    <s v="작업완료"/>
    <s v="1004"/>
    <x v="8"/>
    <s v="2026-08-13 23:31:50"/>
    <s v="월수금"/>
    <x v="4"/>
  </r>
  <r>
    <d v="2026-08-13T23:33:37"/>
    <s v="19004733"/>
    <x v="10"/>
    <x v="10"/>
    <n v="48"/>
    <m/>
    <n v="48"/>
    <s v="20271223000000"/>
    <s v="디캔팅"/>
    <s v="입고"/>
    <s v="작업완료"/>
    <s v="1004"/>
    <x v="8"/>
    <s v="2026-08-13 23:31:56"/>
    <s v="월수금"/>
    <x v="4"/>
  </r>
  <r>
    <d v="2026-08-13T23:33:20"/>
    <s v="19015098"/>
    <x v="10"/>
    <x v="10"/>
    <n v="48"/>
    <m/>
    <n v="48"/>
    <s v="20271223000000"/>
    <s v="디캔팅"/>
    <s v="입고"/>
    <s v="작업완료"/>
    <s v="1005"/>
    <x v="2"/>
    <s v="2026-08-13 23:31:40"/>
    <s v="월수금"/>
    <x v="4"/>
  </r>
  <r>
    <d v="2026-08-13T23:33:15"/>
    <s v="19008585"/>
    <x v="10"/>
    <x v="10"/>
    <n v="48"/>
    <m/>
    <n v="48"/>
    <s v="20271223000000"/>
    <s v="디캔팅"/>
    <s v="입고"/>
    <s v="작업완료"/>
    <s v="1005"/>
    <x v="2"/>
    <s v="2026-08-13 23:31:37"/>
    <s v="월수금"/>
    <x v="4"/>
  </r>
  <r>
    <d v="2026-08-13T23:32:09"/>
    <s v="19005757"/>
    <x v="10"/>
    <x v="10"/>
    <n v="48"/>
    <m/>
    <n v="48"/>
    <s v="20271223000000"/>
    <s v="디캔팅"/>
    <s v="입고"/>
    <s v="작업완료"/>
    <s v="1005"/>
    <x v="2"/>
    <s v="2026-08-13 23:30:27"/>
    <s v="월수금"/>
    <x v="4"/>
  </r>
  <r>
    <d v="2026-08-13T23:32:01"/>
    <s v="19011716"/>
    <x v="10"/>
    <x v="10"/>
    <n v="48"/>
    <m/>
    <n v="48"/>
    <s v="20271223000000"/>
    <s v="디캔팅"/>
    <s v="입고"/>
    <s v="작업완료"/>
    <s v="1005"/>
    <x v="2"/>
    <s v="2026-08-13 23:30:24"/>
    <s v="월수금"/>
    <x v="4"/>
  </r>
  <r>
    <d v="2026-08-13T23:31:17"/>
    <s v="19011303"/>
    <x v="10"/>
    <x v="10"/>
    <n v="48"/>
    <m/>
    <n v="48"/>
    <s v="20271223000000"/>
    <s v="디캔팅"/>
    <s v="입고"/>
    <s v="작업완료"/>
    <s v="1005"/>
    <x v="2"/>
    <s v="2026-08-13 23:29:03"/>
    <s v="월수금"/>
    <x v="4"/>
  </r>
  <r>
    <d v="2026-08-13T23:30:39"/>
    <s v="19007609"/>
    <x v="10"/>
    <x v="10"/>
    <n v="48"/>
    <m/>
    <n v="48"/>
    <s v="20271223000000"/>
    <s v="디캔팅"/>
    <s v="입고"/>
    <s v="작업완료"/>
    <s v="1005"/>
    <x v="2"/>
    <s v="2026-08-13 23:28:58"/>
    <s v="월수금"/>
    <x v="4"/>
  </r>
  <r>
    <d v="2026-08-13T23:30:29"/>
    <s v="19009164"/>
    <x v="10"/>
    <x v="10"/>
    <n v="48"/>
    <m/>
    <n v="48"/>
    <s v="20271223000000"/>
    <s v="디캔팅"/>
    <s v="입고"/>
    <s v="작업완료"/>
    <s v="1004"/>
    <x v="8"/>
    <s v="2026-08-13 23:28:43"/>
    <s v="월수금"/>
    <x v="4"/>
  </r>
  <r>
    <d v="2026-08-13T23:30:21"/>
    <s v="19012033"/>
    <x v="10"/>
    <x v="10"/>
    <n v="48"/>
    <m/>
    <n v="48"/>
    <s v="20271223000000"/>
    <s v="디캔팅"/>
    <s v="입고"/>
    <s v="작업완료"/>
    <s v="1004"/>
    <x v="8"/>
    <s v="2026-08-13 23:28:37"/>
    <s v="월수금"/>
    <x v="4"/>
  </r>
  <r>
    <d v="2026-08-13T23:29:31"/>
    <s v="19017323"/>
    <x v="10"/>
    <x v="10"/>
    <n v="48"/>
    <m/>
    <n v="48"/>
    <s v="20271223000000"/>
    <s v="디캔팅"/>
    <s v="입고"/>
    <s v="작업완료"/>
    <s v="1005"/>
    <x v="2"/>
    <s v="2026-08-13 23:27:52"/>
    <s v="월수금"/>
    <x v="4"/>
  </r>
  <r>
    <d v="2026-08-13T23:29:20"/>
    <s v="19010675"/>
    <x v="10"/>
    <x v="10"/>
    <n v="48"/>
    <m/>
    <n v="48"/>
    <s v="20271223000000"/>
    <s v="디캔팅"/>
    <s v="입고"/>
    <s v="작업완료"/>
    <s v="1005"/>
    <x v="2"/>
    <s v="2026-08-13 23:27:49"/>
    <s v="월수금"/>
    <x v="4"/>
  </r>
  <r>
    <d v="2026-08-13T23:29:11"/>
    <s v="19021664"/>
    <x v="10"/>
    <x v="10"/>
    <n v="48"/>
    <m/>
    <n v="48"/>
    <s v="20271223000000"/>
    <s v="디캔팅"/>
    <s v="입고"/>
    <s v="작업완료"/>
    <s v="1004"/>
    <x v="8"/>
    <s v="2026-08-13 23:26:45"/>
    <s v="월수금"/>
    <x v="4"/>
  </r>
  <r>
    <d v="2026-08-13T23:29:04"/>
    <s v="19004884"/>
    <x v="10"/>
    <x v="10"/>
    <n v="48"/>
    <m/>
    <n v="48"/>
    <s v="20271223000000"/>
    <s v="디캔팅"/>
    <s v="입고"/>
    <s v="작업완료"/>
    <s v="1004"/>
    <x v="8"/>
    <s v="2026-08-13 23:26:38"/>
    <s v="월수금"/>
    <x v="4"/>
  </r>
  <r>
    <d v="2026-08-13T23:27:31"/>
    <s v="19001986"/>
    <x v="10"/>
    <x v="10"/>
    <n v="48"/>
    <m/>
    <n v="48"/>
    <s v="20271223000000"/>
    <s v="디캔팅"/>
    <s v="입고"/>
    <s v="작업완료"/>
    <s v="1005"/>
    <x v="2"/>
    <s v="2026-08-13 23:25:58"/>
    <s v="월수금"/>
    <x v="4"/>
  </r>
  <r>
    <d v="2026-08-13T23:27:20"/>
    <s v="19011160"/>
    <x v="10"/>
    <x v="10"/>
    <n v="48"/>
    <m/>
    <n v="48"/>
    <s v="20271223000000"/>
    <s v="디캔팅"/>
    <s v="입고"/>
    <s v="작업완료"/>
    <s v="1005"/>
    <x v="2"/>
    <s v="2026-08-13 23:25:55"/>
    <s v="월수금"/>
    <x v="4"/>
  </r>
  <r>
    <d v="2026-08-13T23:26:24"/>
    <s v="19007056"/>
    <x v="10"/>
    <x v="10"/>
    <n v="48"/>
    <m/>
    <n v="48"/>
    <s v="20271223000000"/>
    <s v="디캔팅"/>
    <s v="입고"/>
    <s v="작업완료"/>
    <s v="1005"/>
    <x v="2"/>
    <s v="2026-08-13 23:24:10"/>
    <s v="월수금"/>
    <x v="4"/>
  </r>
  <r>
    <d v="2026-08-13T23:25:27"/>
    <s v="19001066"/>
    <x v="10"/>
    <x v="10"/>
    <n v="48"/>
    <m/>
    <n v="48"/>
    <s v="20271223000000"/>
    <s v="디캔팅"/>
    <s v="입고"/>
    <s v="작업완료"/>
    <s v="1005"/>
    <x v="2"/>
    <s v="2026-08-13 23:22:50"/>
    <s v="월수금"/>
    <x v="4"/>
  </r>
  <r>
    <d v="2026-08-13T23:24:27"/>
    <s v="19004068"/>
    <x v="10"/>
    <x v="10"/>
    <n v="48"/>
    <m/>
    <n v="48"/>
    <s v="20271223000000"/>
    <s v="디캔팅"/>
    <s v="입고"/>
    <s v="작업완료"/>
    <s v="1005"/>
    <x v="2"/>
    <s v="2026-08-13 23:22:47"/>
    <s v="월수금"/>
    <x v="4"/>
  </r>
  <r>
    <d v="2026-08-13T23:23:12"/>
    <s v="19004815"/>
    <x v="10"/>
    <x v="10"/>
    <n v="48"/>
    <m/>
    <n v="48"/>
    <s v="20271223000000"/>
    <s v="디캔팅"/>
    <s v="입고"/>
    <s v="작업완료"/>
    <s v="1005"/>
    <x v="2"/>
    <s v="2026-08-13 23:21:30"/>
    <s v="월수금"/>
    <x v="4"/>
  </r>
  <r>
    <d v="2026-08-13T23:22:42"/>
    <s v="19016576"/>
    <x v="10"/>
    <x v="10"/>
    <n v="48"/>
    <m/>
    <n v="48"/>
    <s v="20271223000000"/>
    <s v="디캔팅"/>
    <s v="입고"/>
    <s v="작업완료"/>
    <s v="1005"/>
    <x v="2"/>
    <s v="2026-08-13 23:21:23"/>
    <s v="월수금"/>
    <x v="4"/>
  </r>
  <r>
    <d v="2026-08-13T23:21:53"/>
    <s v="19022321"/>
    <x v="10"/>
    <x v="10"/>
    <n v="48"/>
    <m/>
    <n v="48"/>
    <s v="20271223000000"/>
    <s v="디캔팅"/>
    <s v="입고"/>
    <s v="작업완료"/>
    <s v="1005"/>
    <x v="2"/>
    <s v="2026-08-13 23:19:51"/>
    <s v="월수금"/>
    <x v="4"/>
  </r>
  <r>
    <d v="2026-08-13T23:21:29"/>
    <s v="19001824"/>
    <x v="10"/>
    <x v="10"/>
    <n v="48"/>
    <m/>
    <n v="48"/>
    <s v="20271223000000"/>
    <s v="디캔팅"/>
    <s v="입고"/>
    <s v="작업완료"/>
    <s v="1005"/>
    <x v="2"/>
    <s v="2026-08-13 23:19:53"/>
    <s v="월수금"/>
    <x v="4"/>
  </r>
  <r>
    <d v="2026-08-13T23:19:05"/>
    <s v="19008540"/>
    <x v="10"/>
    <x v="10"/>
    <n v="48"/>
    <m/>
    <n v="48"/>
    <s v="20271223000000"/>
    <s v="디캔팅"/>
    <s v="입고"/>
    <s v="작업완료"/>
    <s v="1005"/>
    <x v="2"/>
    <s v="2026-08-13 23:17:32"/>
    <s v="월수금"/>
    <x v="4"/>
  </r>
  <r>
    <d v="2026-08-13T23:19:00"/>
    <s v="19013452"/>
    <x v="10"/>
    <x v="10"/>
    <n v="48"/>
    <m/>
    <n v="48"/>
    <s v="20271223000000"/>
    <s v="디캔팅"/>
    <s v="입고"/>
    <s v="작업완료"/>
    <s v="1005"/>
    <x v="2"/>
    <s v="2026-08-13 23:17:35"/>
    <s v="월수금"/>
    <x v="4"/>
  </r>
  <r>
    <d v="2026-08-13T23:17:49"/>
    <s v="19013223"/>
    <x v="10"/>
    <x v="10"/>
    <n v="48"/>
    <m/>
    <n v="48"/>
    <s v="20271223000000"/>
    <s v="디캔팅"/>
    <s v="입고"/>
    <s v="작업완료"/>
    <s v="1005"/>
    <x v="2"/>
    <s v="2026-08-13 23:16:05"/>
    <s v="월수금"/>
    <x v="4"/>
  </r>
  <r>
    <d v="2026-08-13T23:17:45"/>
    <s v="19001713"/>
    <x v="10"/>
    <x v="10"/>
    <n v="48"/>
    <m/>
    <n v="48"/>
    <s v="20271223000000"/>
    <s v="디캔팅"/>
    <s v="입고"/>
    <s v="작업완료"/>
    <s v="1005"/>
    <x v="2"/>
    <s v="2026-08-13 23:16:09"/>
    <s v="월수금"/>
    <x v="4"/>
  </r>
  <r>
    <d v="2026-08-13T23:16:31"/>
    <s v="19000573"/>
    <x v="10"/>
    <x v="10"/>
    <n v="48"/>
    <m/>
    <n v="48"/>
    <s v="20271223000000"/>
    <s v="디캔팅"/>
    <s v="입고"/>
    <s v="작업완료"/>
    <s v="1005"/>
    <x v="2"/>
    <s v="2026-08-13 23:14:38"/>
    <s v="월수금"/>
    <x v="4"/>
  </r>
  <r>
    <d v="2026-08-13T23:15:58"/>
    <s v="19001072"/>
    <x v="10"/>
    <x v="10"/>
    <n v="48"/>
    <m/>
    <n v="48"/>
    <s v="20271223000000"/>
    <s v="디캔팅"/>
    <s v="입고"/>
    <s v="작업완료"/>
    <s v="1005"/>
    <x v="2"/>
    <s v="2026-08-13 23:14:41"/>
    <s v="월수금"/>
    <x v="4"/>
  </r>
  <r>
    <d v="2026-08-13T23:15:01"/>
    <s v="19002106"/>
    <x v="10"/>
    <x v="10"/>
    <n v="48"/>
    <m/>
    <n v="48"/>
    <s v="20271223000000"/>
    <s v="디캔팅"/>
    <s v="입고"/>
    <s v="작업완료"/>
    <s v="1005"/>
    <x v="2"/>
    <s v="2026-08-13 23:13:19"/>
    <s v="월수금"/>
    <x v="4"/>
  </r>
  <r>
    <d v="2026-08-13T23:15:00"/>
    <s v="19005379"/>
    <x v="10"/>
    <x v="10"/>
    <n v="48"/>
    <m/>
    <n v="48"/>
    <s v="20271223000000"/>
    <s v="디캔팅"/>
    <s v="입고"/>
    <s v="작업완료"/>
    <s v="1005"/>
    <x v="2"/>
    <s v="2026-08-13 23:13:22"/>
    <s v="월수금"/>
    <x v="4"/>
  </r>
  <r>
    <d v="2026-08-13T23:13:43"/>
    <s v="19014508"/>
    <x v="10"/>
    <x v="10"/>
    <n v="48"/>
    <m/>
    <n v="48"/>
    <s v="20271223000000"/>
    <s v="디캔팅"/>
    <s v="입고"/>
    <s v="작업완료"/>
    <s v="1005"/>
    <x v="2"/>
    <s v="2026-08-13 23:12:02"/>
    <s v="월수금"/>
    <x v="4"/>
  </r>
  <r>
    <d v="2026-08-13T23:13:27"/>
    <s v="19025987"/>
    <x v="10"/>
    <x v="10"/>
    <n v="48"/>
    <m/>
    <n v="48"/>
    <s v="20271223000000"/>
    <s v="디캔팅"/>
    <s v="입고"/>
    <s v="작업완료"/>
    <s v="1005"/>
    <x v="2"/>
    <s v="2026-08-13 23:11:57"/>
    <s v="월수금"/>
    <x v="4"/>
  </r>
  <r>
    <d v="2026-08-13T23:11:44"/>
    <s v="19007156"/>
    <x v="10"/>
    <x v="10"/>
    <n v="48"/>
    <m/>
    <n v="48"/>
    <s v="20271223000000"/>
    <s v="디캔팅"/>
    <s v="입고"/>
    <s v="작업완료"/>
    <s v="1005"/>
    <x v="2"/>
    <s v="2026-08-13 23:10:10"/>
    <s v="월수금"/>
    <x v="4"/>
  </r>
  <r>
    <d v="2026-08-13T23:11:32"/>
    <s v="19010418"/>
    <x v="10"/>
    <x v="10"/>
    <n v="48"/>
    <m/>
    <n v="48"/>
    <s v="20271223000000"/>
    <s v="디캔팅"/>
    <s v="입고"/>
    <s v="작업완료"/>
    <s v="1005"/>
    <x v="2"/>
    <s v="2026-08-13 23:10:07"/>
    <s v="월수금"/>
    <x v="4"/>
  </r>
  <r>
    <d v="2026-08-12T08:53:50"/>
    <s v="19016859"/>
    <x v="10"/>
    <x v="10"/>
    <n v="48"/>
    <m/>
    <n v="48"/>
    <s v="20271223000000"/>
    <s v="디캔팅"/>
    <s v="입고"/>
    <s v="작업완료"/>
    <s v="1012"/>
    <x v="4"/>
    <s v="2026-08-12 08:51:22"/>
    <s v="월수금"/>
    <x v="2"/>
  </r>
  <r>
    <d v="2026-08-12T08:53:40"/>
    <s v="19021983"/>
    <x v="10"/>
    <x v="10"/>
    <n v="48"/>
    <m/>
    <n v="48"/>
    <s v="20271223000000"/>
    <s v="디캔팅"/>
    <s v="입고"/>
    <s v="작업완료"/>
    <s v="1012"/>
    <x v="4"/>
    <s v="2026-08-12 08:51:26"/>
    <s v="월수금"/>
    <x v="2"/>
  </r>
  <r>
    <d v="2026-08-12T08:53:39"/>
    <s v="19008735"/>
    <x v="10"/>
    <x v="10"/>
    <n v="48"/>
    <m/>
    <n v="48"/>
    <s v="20271223000000"/>
    <s v="디캔팅"/>
    <s v="입고"/>
    <s v="작업완료"/>
    <s v="1012"/>
    <x v="4"/>
    <s v="2026-08-12 08:51:29"/>
    <s v="월수금"/>
    <x v="2"/>
  </r>
  <r>
    <d v="2026-08-12T08:51:26"/>
    <s v="19007536"/>
    <x v="10"/>
    <x v="10"/>
    <n v="48"/>
    <m/>
    <n v="48"/>
    <s v="20271223000000"/>
    <s v="디캔팅"/>
    <s v="입고"/>
    <s v="작업완료"/>
    <s v="1012"/>
    <x v="4"/>
    <s v="2026-08-12 08:49:15"/>
    <s v="월수금"/>
    <x v="2"/>
  </r>
  <r>
    <d v="2026-08-12T08:51:23"/>
    <s v="19004913"/>
    <x v="10"/>
    <x v="10"/>
    <n v="48"/>
    <m/>
    <n v="48"/>
    <s v="20271223000000"/>
    <s v="디캔팅"/>
    <s v="입고"/>
    <s v="작업완료"/>
    <s v="1012"/>
    <x v="4"/>
    <s v="2026-08-12 08:49:19"/>
    <s v="월수금"/>
    <x v="2"/>
  </r>
  <r>
    <d v="2026-08-12T08:51:22"/>
    <s v="19012869"/>
    <x v="10"/>
    <x v="10"/>
    <n v="48"/>
    <m/>
    <n v="48"/>
    <s v="20271223000000"/>
    <s v="디캔팅"/>
    <s v="입고"/>
    <s v="작업완료"/>
    <s v="1012"/>
    <x v="4"/>
    <s v="2026-08-12 08:49:23"/>
    <s v="월수금"/>
    <x v="2"/>
  </r>
  <r>
    <d v="2026-08-12T08:49:28"/>
    <s v="19009288"/>
    <x v="10"/>
    <x v="10"/>
    <n v="48"/>
    <m/>
    <n v="48"/>
    <s v="20271223000000"/>
    <s v="디캔팅"/>
    <s v="입고"/>
    <s v="작업완료"/>
    <s v="1012"/>
    <x v="4"/>
    <s v="2026-08-12 08:47:04"/>
    <s v="월수금"/>
    <x v="2"/>
  </r>
  <r>
    <d v="2026-08-12T08:49:03"/>
    <s v="19014723"/>
    <x v="10"/>
    <x v="10"/>
    <n v="48"/>
    <m/>
    <n v="48"/>
    <s v="20271223000000"/>
    <s v="디캔팅"/>
    <s v="입고"/>
    <s v="작업완료"/>
    <s v="1012"/>
    <x v="4"/>
    <s v="2026-08-12 08:47:01"/>
    <s v="월수금"/>
    <x v="2"/>
  </r>
  <r>
    <d v="2026-08-12T08:48:51"/>
    <s v="19023679"/>
    <x v="10"/>
    <x v="10"/>
    <n v="48"/>
    <m/>
    <n v="48"/>
    <s v="20271223000000"/>
    <s v="디캔팅"/>
    <s v="입고"/>
    <s v="작업완료"/>
    <s v="1012"/>
    <x v="4"/>
    <s v="2026-08-12 08:46:57"/>
    <s v="월수금"/>
    <x v="2"/>
  </r>
  <r>
    <d v="2026-08-12T08:47:18"/>
    <s v="19002536"/>
    <x v="10"/>
    <x v="10"/>
    <n v="48"/>
    <m/>
    <n v="48"/>
    <s v="20271223000000"/>
    <s v="디캔팅"/>
    <s v="입고"/>
    <s v="작업완료"/>
    <s v="1012"/>
    <x v="4"/>
    <s v="2026-08-12 08:45:09"/>
    <s v="월수금"/>
    <x v="2"/>
  </r>
  <r>
    <d v="2026-08-12T08:47:15"/>
    <s v="19013402"/>
    <x v="10"/>
    <x v="10"/>
    <n v="48"/>
    <m/>
    <n v="48"/>
    <s v="20271223000000"/>
    <s v="디캔팅"/>
    <s v="입고"/>
    <s v="작업완료"/>
    <s v="1012"/>
    <x v="4"/>
    <s v="2026-08-12 08:45:05"/>
    <s v="월수금"/>
    <x v="2"/>
  </r>
  <r>
    <d v="2026-08-12T08:46:50"/>
    <s v="19000208"/>
    <x v="10"/>
    <x v="10"/>
    <n v="48"/>
    <m/>
    <n v="48"/>
    <s v="20271223000000"/>
    <s v="디캔팅"/>
    <s v="입고"/>
    <s v="작업완료"/>
    <s v="1012"/>
    <x v="4"/>
    <s v="2026-08-12 08:45:02"/>
    <s v="월수금"/>
    <x v="2"/>
  </r>
  <r>
    <d v="2026-08-12T08:45:14"/>
    <s v="19021313"/>
    <x v="10"/>
    <x v="10"/>
    <n v="48"/>
    <m/>
    <n v="48"/>
    <s v="20271223000000"/>
    <s v="디캔팅"/>
    <s v="입고"/>
    <s v="작업완료"/>
    <s v="1012"/>
    <x v="4"/>
    <s v="2026-08-12 08:42:49"/>
    <s v="월수금"/>
    <x v="2"/>
  </r>
  <r>
    <d v="2026-08-12T08:45:13"/>
    <s v="19001633"/>
    <x v="10"/>
    <x v="10"/>
    <n v="48"/>
    <m/>
    <n v="48"/>
    <s v="20271223000000"/>
    <s v="디캔팅"/>
    <s v="입고"/>
    <s v="작업완료"/>
    <s v="1012"/>
    <x v="4"/>
    <s v="2026-08-12 08:42:54"/>
    <s v="월수금"/>
    <x v="2"/>
  </r>
  <r>
    <d v="2026-08-12T08:44:58"/>
    <s v="19000260"/>
    <x v="10"/>
    <x v="10"/>
    <n v="48"/>
    <m/>
    <n v="48"/>
    <s v="20271223000000"/>
    <s v="디캔팅"/>
    <s v="입고"/>
    <s v="작업완료"/>
    <s v="1012"/>
    <x v="4"/>
    <s v="2026-08-12 08:42:47"/>
    <s v="월수금"/>
    <x v="2"/>
  </r>
  <r>
    <d v="2026-08-12T08:43:12"/>
    <s v="19001801"/>
    <x v="10"/>
    <x v="10"/>
    <n v="48"/>
    <m/>
    <n v="48"/>
    <s v="20271223000000"/>
    <s v="디캔팅"/>
    <s v="입고"/>
    <s v="작업완료"/>
    <s v="1012"/>
    <x v="4"/>
    <s v="2026-08-12 08:41:01"/>
    <s v="월수금"/>
    <x v="2"/>
  </r>
  <r>
    <d v="2026-08-12T08:43:01"/>
    <s v="19005664"/>
    <x v="10"/>
    <x v="10"/>
    <n v="48"/>
    <m/>
    <n v="48"/>
    <s v="20271223000000"/>
    <s v="디캔팅"/>
    <s v="입고"/>
    <s v="작업완료"/>
    <s v="1012"/>
    <x v="4"/>
    <s v="2026-08-12 08:40:52"/>
    <s v="월수금"/>
    <x v="2"/>
  </r>
  <r>
    <d v="2026-08-12T08:42:59"/>
    <s v="19015002"/>
    <x v="10"/>
    <x v="10"/>
    <n v="48"/>
    <m/>
    <n v="48"/>
    <s v="20271223000000"/>
    <s v="디캔팅"/>
    <s v="입고"/>
    <s v="작업완료"/>
    <s v="1012"/>
    <x v="4"/>
    <s v="2026-08-12 08:40:55"/>
    <s v="월수금"/>
    <x v="2"/>
  </r>
  <r>
    <d v="2026-08-12T08:39:41"/>
    <s v="19020333"/>
    <x v="10"/>
    <x v="10"/>
    <n v="48"/>
    <m/>
    <n v="48"/>
    <s v="20271223000000"/>
    <s v="디캔팅"/>
    <s v="입고"/>
    <s v="작업완료"/>
    <s v="1012"/>
    <x v="4"/>
    <s v="2026-08-12 08:37:30"/>
    <s v="월수금"/>
    <x v="2"/>
  </r>
  <r>
    <d v="2026-08-12T08:39:40"/>
    <s v="19013860"/>
    <x v="10"/>
    <x v="10"/>
    <n v="48"/>
    <m/>
    <n v="48"/>
    <s v="20271223000000"/>
    <s v="디캔팅"/>
    <s v="입고"/>
    <s v="작업완료"/>
    <s v="1012"/>
    <x v="4"/>
    <s v="2026-08-12 08:37:33"/>
    <s v="월수금"/>
    <x v="2"/>
  </r>
  <r>
    <d v="2026-08-12T08:39:37"/>
    <s v="19017857"/>
    <x v="10"/>
    <x v="10"/>
    <n v="48"/>
    <m/>
    <n v="48"/>
    <s v="20271223000000"/>
    <s v="디캔팅"/>
    <s v="입고"/>
    <s v="작업완료"/>
    <s v="1012"/>
    <x v="4"/>
    <s v="2026-08-12 08:37:27"/>
    <s v="월수금"/>
    <x v="2"/>
  </r>
  <r>
    <d v="2026-08-12T08:37:57"/>
    <s v="19026668"/>
    <x v="10"/>
    <x v="10"/>
    <n v="48"/>
    <m/>
    <n v="48"/>
    <s v="20271223000000"/>
    <s v="디캔팅"/>
    <s v="입고"/>
    <s v="작업완료"/>
    <s v="1012"/>
    <x v="4"/>
    <s v="2026-08-12 08:35:27"/>
    <s v="월수금"/>
    <x v="2"/>
  </r>
  <r>
    <d v="2026-08-12T08:37:54"/>
    <s v="19014283"/>
    <x v="10"/>
    <x v="10"/>
    <n v="48"/>
    <m/>
    <n v="48"/>
    <s v="20271223000000"/>
    <s v="디캔팅"/>
    <s v="입고"/>
    <s v="작업완료"/>
    <s v="1012"/>
    <x v="4"/>
    <s v="2026-08-12 08:35:38"/>
    <s v="월수금"/>
    <x v="2"/>
  </r>
  <r>
    <d v="2026-08-12T08:37:43"/>
    <s v="19005612"/>
    <x v="10"/>
    <x v="10"/>
    <n v="48"/>
    <m/>
    <n v="48"/>
    <s v="20271223000000"/>
    <s v="디캔팅"/>
    <s v="입고"/>
    <s v="작업완료"/>
    <s v="1012"/>
    <x v="4"/>
    <s v="2026-08-12 08:35:29"/>
    <s v="월수금"/>
    <x v="2"/>
  </r>
  <r>
    <d v="2026-08-12T08:35:30"/>
    <s v="19012980"/>
    <x v="10"/>
    <x v="10"/>
    <n v="48"/>
    <m/>
    <n v="48"/>
    <s v="20271223000000"/>
    <s v="디캔팅"/>
    <s v="입고"/>
    <s v="작업완료"/>
    <s v="1012"/>
    <x v="4"/>
    <s v="2026-08-12 08:33:23"/>
    <s v="월수금"/>
    <x v="2"/>
  </r>
  <r>
    <d v="2026-08-12T08:35:29"/>
    <s v="19017069"/>
    <x v="10"/>
    <x v="10"/>
    <n v="48"/>
    <m/>
    <n v="48"/>
    <s v="20271223000000"/>
    <s v="디캔팅"/>
    <s v="입고"/>
    <s v="작업완료"/>
    <s v="1012"/>
    <x v="4"/>
    <s v="2026-08-12 08:33:15"/>
    <s v="월수금"/>
    <x v="2"/>
  </r>
  <r>
    <d v="2026-08-12T08:35:17"/>
    <s v="19011575"/>
    <x v="10"/>
    <x v="10"/>
    <n v="48"/>
    <m/>
    <n v="48"/>
    <s v="20271223000000"/>
    <s v="디캔팅"/>
    <s v="입고"/>
    <s v="작업완료"/>
    <s v="1012"/>
    <x v="4"/>
    <s v="2026-08-12 08:33:19"/>
    <s v="월수금"/>
    <x v="2"/>
  </r>
  <r>
    <d v="2026-08-12T08:33:29"/>
    <s v="19015895"/>
    <x v="10"/>
    <x v="10"/>
    <n v="48"/>
    <m/>
    <n v="48"/>
    <s v="20271223000000"/>
    <s v="디캔팅"/>
    <s v="입고"/>
    <s v="작업완료"/>
    <s v="1012"/>
    <x v="4"/>
    <s v="2026-08-12 08:31:23"/>
    <s v="월수금"/>
    <x v="2"/>
  </r>
  <r>
    <d v="2026-08-12T08:33:13"/>
    <s v="19025839"/>
    <x v="10"/>
    <x v="10"/>
    <n v="48"/>
    <m/>
    <n v="48"/>
    <s v="20271223000000"/>
    <s v="디캔팅"/>
    <s v="입고"/>
    <s v="작업완료"/>
    <s v="1012"/>
    <x v="4"/>
    <s v="2026-08-12 08:31:17"/>
    <s v="월수금"/>
    <x v="2"/>
  </r>
  <r>
    <d v="2026-08-12T08:33:07"/>
    <s v="19002637"/>
    <x v="10"/>
    <x v="10"/>
    <n v="48"/>
    <m/>
    <n v="48"/>
    <s v="20271223000000"/>
    <s v="디캔팅"/>
    <s v="입고"/>
    <s v="작업완료"/>
    <s v="1012"/>
    <x v="4"/>
    <s v="2026-08-12 08:31:20"/>
    <s v="월수금"/>
    <x v="2"/>
  </r>
  <r>
    <d v="2026-08-12T08:31:09"/>
    <s v="19007701"/>
    <x v="10"/>
    <x v="10"/>
    <n v="48"/>
    <m/>
    <n v="48"/>
    <s v="20271223000000"/>
    <s v="디캔팅"/>
    <s v="입고"/>
    <s v="작업완료"/>
    <s v="1012"/>
    <x v="4"/>
    <s v="2026-08-12 08:29:04"/>
    <s v="월수금"/>
    <x v="2"/>
  </r>
  <r>
    <d v="2026-08-12T08:31:00"/>
    <s v="19014282"/>
    <x v="10"/>
    <x v="10"/>
    <n v="48"/>
    <m/>
    <n v="48"/>
    <s v="20271223000000"/>
    <s v="디캔팅"/>
    <s v="입고"/>
    <s v="작업완료"/>
    <s v="1012"/>
    <x v="4"/>
    <s v="2026-08-12 08:29:07"/>
    <s v="월수금"/>
    <x v="2"/>
  </r>
  <r>
    <d v="2026-08-12T08:30:57"/>
    <s v="19014031"/>
    <x v="10"/>
    <x v="10"/>
    <n v="48"/>
    <m/>
    <n v="48"/>
    <s v="20271223000000"/>
    <s v="디캔팅"/>
    <s v="입고"/>
    <s v="작업완료"/>
    <s v="1012"/>
    <x v="4"/>
    <s v="2026-08-12 08:29:09"/>
    <s v="월수금"/>
    <x v="2"/>
  </r>
  <r>
    <d v="2026-08-12T08:29:30"/>
    <s v="19012163"/>
    <x v="10"/>
    <x v="10"/>
    <n v="48"/>
    <m/>
    <n v="48"/>
    <s v="20271223000000"/>
    <s v="디캔팅"/>
    <s v="입고"/>
    <s v="작업완료"/>
    <s v="1012"/>
    <x v="4"/>
    <s v="2026-08-12 08:27:10"/>
    <s v="월수금"/>
    <x v="2"/>
  </r>
  <r>
    <d v="2026-08-12T08:29:26"/>
    <s v="19024272"/>
    <x v="10"/>
    <x v="10"/>
    <n v="48"/>
    <m/>
    <n v="48"/>
    <s v="20271223000000"/>
    <s v="디캔팅"/>
    <s v="입고"/>
    <s v="작업완료"/>
    <s v="1012"/>
    <x v="4"/>
    <s v="2026-08-12 08:27:13"/>
    <s v="월수금"/>
    <x v="2"/>
  </r>
  <r>
    <d v="2026-08-12T08:29:06"/>
    <s v="19021005"/>
    <x v="10"/>
    <x v="10"/>
    <n v="48"/>
    <m/>
    <n v="48"/>
    <s v="20271223000000"/>
    <s v="디캔팅"/>
    <s v="입고"/>
    <s v="작업완료"/>
    <s v="1012"/>
    <x v="4"/>
    <s v="2026-08-12 08:27:07"/>
    <s v="월수금"/>
    <x v="2"/>
  </r>
  <r>
    <d v="2026-08-12T08:27:11"/>
    <s v="19013261"/>
    <x v="10"/>
    <x v="10"/>
    <n v="48"/>
    <m/>
    <n v="48"/>
    <s v="20271223000000"/>
    <s v="디캔팅"/>
    <s v="입고"/>
    <s v="작업완료"/>
    <s v="1012"/>
    <x v="4"/>
    <s v="2026-08-12 08:24:49"/>
    <s v="월수금"/>
    <x v="2"/>
  </r>
  <r>
    <d v="2026-08-12T08:26:44"/>
    <s v="19003296"/>
    <x v="10"/>
    <x v="10"/>
    <n v="48"/>
    <m/>
    <n v="48"/>
    <s v="20271223000000"/>
    <s v="디캔팅"/>
    <s v="입고"/>
    <s v="작업완료"/>
    <s v="1012"/>
    <x v="4"/>
    <s v="2026-08-12 08:22:26"/>
    <s v="월수금"/>
    <x v="2"/>
  </r>
  <r>
    <d v="2026-08-12T08:26:40"/>
    <s v="19017125"/>
    <x v="10"/>
    <x v="10"/>
    <n v="48"/>
    <m/>
    <n v="48"/>
    <s v="20271223000000"/>
    <s v="디캔팅"/>
    <s v="입고"/>
    <s v="작업완료"/>
    <s v="1012"/>
    <x v="4"/>
    <s v="2026-08-12 08:24:54"/>
    <s v="월수금"/>
    <x v="2"/>
  </r>
  <r>
    <d v="2026-08-12T08:26:36"/>
    <s v="19007624"/>
    <x v="10"/>
    <x v="10"/>
    <n v="48"/>
    <m/>
    <n v="48"/>
    <s v="20271223000000"/>
    <s v="디캔팅"/>
    <s v="입고"/>
    <s v="작업완료"/>
    <s v="1012"/>
    <x v="4"/>
    <s v="2026-08-12 08:24:48"/>
    <s v="월수금"/>
    <x v="2"/>
  </r>
  <r>
    <d v="2026-08-12T08:24:33"/>
    <s v="19022219"/>
    <x v="10"/>
    <x v="10"/>
    <n v="48"/>
    <m/>
    <n v="48"/>
    <s v="20271223000000"/>
    <s v="디캔팅"/>
    <s v="입고"/>
    <s v="작업완료"/>
    <s v="1012"/>
    <x v="4"/>
    <s v="2026-08-12 08:22:18"/>
    <s v="월수금"/>
    <x v="2"/>
  </r>
  <r>
    <d v="2026-08-12T08:24:13"/>
    <s v="19008162"/>
    <x v="10"/>
    <x v="10"/>
    <n v="48"/>
    <m/>
    <n v="48"/>
    <s v="20271223000000"/>
    <s v="디캔팅"/>
    <s v="입고"/>
    <s v="작업완료"/>
    <s v="1012"/>
    <x v="4"/>
    <s v="2026-08-12 08:22:22"/>
    <s v="월수금"/>
    <x v="2"/>
  </r>
  <r>
    <d v="2026-08-12T08:22:17"/>
    <s v="19027362"/>
    <x v="10"/>
    <x v="10"/>
    <n v="48"/>
    <m/>
    <n v="48"/>
    <s v="20271223000000"/>
    <s v="디캔팅"/>
    <s v="입고"/>
    <s v="작업완료"/>
    <s v="1012"/>
    <x v="4"/>
    <s v="2026-08-12 08:19:57"/>
    <s v="월수금"/>
    <x v="2"/>
  </r>
  <r>
    <d v="2026-08-12T08:22:11"/>
    <s v="19001987"/>
    <x v="10"/>
    <x v="10"/>
    <n v="48"/>
    <m/>
    <n v="48"/>
    <s v="20271223000000"/>
    <s v="디캔팅"/>
    <s v="입고"/>
    <s v="작업완료"/>
    <s v="1012"/>
    <x v="4"/>
    <s v="2026-08-12 08:20:02"/>
    <s v="월수금"/>
    <x v="2"/>
  </r>
  <r>
    <d v="2026-08-12T08:22:03"/>
    <s v="19001888"/>
    <x v="10"/>
    <x v="10"/>
    <n v="48"/>
    <m/>
    <n v="48"/>
    <s v="20271223000000"/>
    <s v="디캔팅"/>
    <s v="입고"/>
    <s v="작업완료"/>
    <s v="1012"/>
    <x v="4"/>
    <s v="2026-08-12 08:20:00"/>
    <s v="월수금"/>
    <x v="2"/>
  </r>
  <r>
    <d v="2026-08-12T07:57:42"/>
    <s v="19022065"/>
    <x v="10"/>
    <x v="10"/>
    <n v="48"/>
    <m/>
    <n v="48"/>
    <s v="20271223000000"/>
    <s v="디캔팅"/>
    <s v="입고"/>
    <s v="작업완료"/>
    <s v="1012"/>
    <x v="4"/>
    <s v="2026-08-12 07:55:29"/>
    <s v="월수금"/>
    <x v="2"/>
  </r>
  <r>
    <d v="2026-08-12T07:57:38"/>
    <s v="19006790"/>
    <x v="10"/>
    <x v="10"/>
    <n v="48"/>
    <m/>
    <n v="48"/>
    <s v="20271223000000"/>
    <s v="디캔팅"/>
    <s v="입고"/>
    <s v="작업완료"/>
    <s v="1012"/>
    <x v="4"/>
    <s v="2026-08-12 07:55:26"/>
    <s v="월수금"/>
    <x v="2"/>
  </r>
  <r>
    <d v="2026-08-12T07:57:17"/>
    <s v="19016480"/>
    <x v="10"/>
    <x v="10"/>
    <n v="48"/>
    <m/>
    <n v="48"/>
    <s v="20271223000000"/>
    <s v="디캔팅"/>
    <s v="입고"/>
    <s v="작업완료"/>
    <s v="1012"/>
    <x v="4"/>
    <s v="2026-08-12 07:55:32"/>
    <s v="월수금"/>
    <x v="2"/>
  </r>
  <r>
    <d v="2026-08-12T07:54:53"/>
    <s v="19017690"/>
    <x v="10"/>
    <x v="10"/>
    <n v="48"/>
    <m/>
    <n v="48"/>
    <s v="20271223000000"/>
    <s v="디캔팅"/>
    <s v="입고"/>
    <s v="작업완료"/>
    <s v="1012"/>
    <x v="4"/>
    <s v="2026-08-12 07:52:34"/>
    <s v="월수금"/>
    <x v="2"/>
  </r>
  <r>
    <d v="2026-08-12T07:54:33"/>
    <s v="19006292"/>
    <x v="10"/>
    <x v="10"/>
    <n v="48"/>
    <m/>
    <n v="48"/>
    <s v="20271223000000"/>
    <s v="디캔팅"/>
    <s v="입고"/>
    <s v="작업완료"/>
    <s v="1012"/>
    <x v="4"/>
    <s v="2026-08-12 07:52:31"/>
    <s v="월수금"/>
    <x v="2"/>
  </r>
  <r>
    <d v="2026-08-12T07:54:32"/>
    <s v="19004817"/>
    <x v="10"/>
    <x v="10"/>
    <n v="48"/>
    <m/>
    <n v="48"/>
    <s v="20271223000000"/>
    <s v="디캔팅"/>
    <s v="입고"/>
    <s v="작업완료"/>
    <s v="1012"/>
    <x v="4"/>
    <s v="2026-08-12 07:52:28"/>
    <s v="월수금"/>
    <x v="2"/>
  </r>
  <r>
    <d v="2026-08-12T07:52:09"/>
    <s v="19008793"/>
    <x v="10"/>
    <x v="10"/>
    <n v="48"/>
    <m/>
    <n v="48"/>
    <s v="20271223000000"/>
    <s v="디캔팅"/>
    <s v="입고"/>
    <s v="작업완료"/>
    <s v="1012"/>
    <x v="4"/>
    <s v="2026-08-12 07:50:02"/>
    <s v="월수금"/>
    <x v="2"/>
  </r>
  <r>
    <d v="2026-08-12T07:52:07"/>
    <s v="19004697"/>
    <x v="10"/>
    <x v="10"/>
    <n v="48"/>
    <m/>
    <n v="48"/>
    <s v="20271223000000"/>
    <s v="디캔팅"/>
    <s v="입고"/>
    <s v="작업완료"/>
    <s v="1012"/>
    <x v="4"/>
    <s v="2026-08-12 07:49:59"/>
    <s v="월수금"/>
    <x v="2"/>
  </r>
  <r>
    <d v="2026-08-12T07:51:43"/>
    <s v="19011202"/>
    <x v="10"/>
    <x v="10"/>
    <n v="48"/>
    <m/>
    <n v="48"/>
    <s v="20271223000000"/>
    <s v="디캔팅"/>
    <s v="입고"/>
    <s v="작업완료"/>
    <s v="1012"/>
    <x v="4"/>
    <s v="2026-08-12 07:49:56"/>
    <s v="월수금"/>
    <x v="2"/>
  </r>
  <r>
    <d v="2026-08-12T07:49:33"/>
    <s v="19008208"/>
    <x v="10"/>
    <x v="10"/>
    <n v="48"/>
    <m/>
    <n v="48"/>
    <s v="20271223000000"/>
    <s v="디캔팅"/>
    <s v="입고"/>
    <s v="작업완료"/>
    <s v="1012"/>
    <x v="4"/>
    <s v="2026-08-12 07:47:19"/>
    <s v="월수금"/>
    <x v="2"/>
  </r>
  <r>
    <d v="2026-08-12T07:49:28"/>
    <s v="19014977"/>
    <x v="10"/>
    <x v="10"/>
    <n v="48"/>
    <m/>
    <n v="48"/>
    <s v="20271223000000"/>
    <s v="디캔팅"/>
    <s v="입고"/>
    <s v="작업완료"/>
    <s v="1012"/>
    <x v="4"/>
    <s v="2026-08-12 07:47:21"/>
    <s v="월수금"/>
    <x v="2"/>
  </r>
  <r>
    <d v="2026-08-12T07:49:11"/>
    <s v="19018693"/>
    <x v="10"/>
    <x v="10"/>
    <n v="48"/>
    <m/>
    <n v="48"/>
    <s v="20271223000000"/>
    <s v="디캔팅"/>
    <s v="입고"/>
    <s v="작업완료"/>
    <s v="1012"/>
    <x v="4"/>
    <s v="2026-08-12 07:47:16"/>
    <s v="월수금"/>
    <x v="2"/>
  </r>
  <r>
    <d v="2026-08-12T07:48:04"/>
    <s v="19008180"/>
    <x v="10"/>
    <x v="10"/>
    <n v="48"/>
    <m/>
    <n v="48"/>
    <s v="20271223000000"/>
    <s v="디캔팅"/>
    <s v="입고"/>
    <s v="작업완료"/>
    <s v="1012"/>
    <x v="4"/>
    <s v="2026-08-12 07:45:08"/>
    <s v="월수금"/>
    <x v="2"/>
  </r>
  <r>
    <d v="2026-08-12T07:47:20"/>
    <s v="19017824"/>
    <x v="10"/>
    <x v="10"/>
    <n v="48"/>
    <m/>
    <n v="48"/>
    <s v="20271223000000"/>
    <s v="디캔팅"/>
    <s v="입고"/>
    <s v="작업완료"/>
    <s v="1012"/>
    <x v="4"/>
    <s v="2026-08-12 07:45:11"/>
    <s v="월수금"/>
    <x v="2"/>
  </r>
  <r>
    <d v="2026-08-12T07:47:15"/>
    <s v="19006125"/>
    <x v="10"/>
    <x v="10"/>
    <n v="48"/>
    <m/>
    <n v="48"/>
    <s v="20271223000000"/>
    <s v="디캔팅"/>
    <s v="입고"/>
    <s v="작업완료"/>
    <s v="1012"/>
    <x v="4"/>
    <s v="2026-08-12 07:45:14"/>
    <s v="월수금"/>
    <x v="2"/>
  </r>
  <r>
    <d v="2026-08-12T07:45:34"/>
    <s v="19018258"/>
    <x v="10"/>
    <x v="10"/>
    <n v="48"/>
    <m/>
    <n v="48"/>
    <s v="20271223000000"/>
    <s v="디캔팅"/>
    <s v="입고"/>
    <s v="작업완료"/>
    <s v="1012"/>
    <x v="4"/>
    <s v="2026-08-12 07:43:13"/>
    <s v="월수금"/>
    <x v="2"/>
  </r>
  <r>
    <d v="2026-08-12T07:45:21"/>
    <s v="19012597"/>
    <x v="10"/>
    <x v="10"/>
    <n v="48"/>
    <m/>
    <n v="48"/>
    <s v="20271223000000"/>
    <s v="디캔팅"/>
    <s v="입고"/>
    <s v="작업완료"/>
    <s v="1012"/>
    <x v="4"/>
    <s v="2026-08-12 07:43:15"/>
    <s v="월수금"/>
    <x v="2"/>
  </r>
  <r>
    <d v="2026-08-12T07:43:30"/>
    <s v="19000318"/>
    <x v="10"/>
    <x v="10"/>
    <n v="48"/>
    <m/>
    <n v="48"/>
    <s v="20271223000000"/>
    <s v="디캔팅"/>
    <s v="입고"/>
    <s v="작업완료"/>
    <s v="1012"/>
    <x v="4"/>
    <s v="2026-08-12 07:41:36"/>
    <s v="월수금"/>
    <x v="2"/>
  </r>
  <r>
    <d v="2026-08-12T07:43:27"/>
    <s v="19008318"/>
    <x v="10"/>
    <x v="10"/>
    <n v="48"/>
    <m/>
    <n v="48"/>
    <s v="20271223000000"/>
    <s v="디캔팅"/>
    <s v="입고"/>
    <s v="작업완료"/>
    <s v="1012"/>
    <x v="4"/>
    <s v="2026-08-12 07:41:39"/>
    <s v="월수금"/>
    <x v="2"/>
  </r>
  <r>
    <d v="2026-08-10T09:24:29"/>
    <s v="19021042"/>
    <x v="10"/>
    <x v="10"/>
    <n v="48"/>
    <m/>
    <n v="48"/>
    <s v="20271124000000"/>
    <s v="디캔팅"/>
    <s v="입고"/>
    <s v="작업완료"/>
    <s v="1013"/>
    <x v="1"/>
    <s v="2026-08-10 09:21:58"/>
    <s v="월수금"/>
    <x v="3"/>
  </r>
  <r>
    <d v="2026-08-10T09:24:02"/>
    <s v="19007002"/>
    <x v="10"/>
    <x v="10"/>
    <n v="48"/>
    <m/>
    <n v="48"/>
    <s v="20271124000000"/>
    <s v="디캔팅"/>
    <s v="입고"/>
    <s v="작업완료"/>
    <s v="1013"/>
    <x v="1"/>
    <s v="2026-08-10 09:21:53"/>
    <s v="월수금"/>
    <x v="3"/>
  </r>
  <r>
    <d v="2026-08-10T09:20:31"/>
    <s v="19017377"/>
    <x v="10"/>
    <x v="10"/>
    <n v="48"/>
    <m/>
    <n v="48"/>
    <s v="20271124000000"/>
    <s v="디캔팅"/>
    <s v="입고"/>
    <s v="작업완료"/>
    <s v="1013"/>
    <x v="1"/>
    <s v="2026-08-10 09:18:18"/>
    <s v="월수금"/>
    <x v="3"/>
  </r>
  <r>
    <d v="2026-08-10T09:20:08"/>
    <s v="19022175"/>
    <x v="10"/>
    <x v="10"/>
    <n v="48"/>
    <m/>
    <n v="48"/>
    <s v="20271124000000"/>
    <s v="디캔팅"/>
    <s v="입고"/>
    <s v="작업완료"/>
    <s v="1013"/>
    <x v="1"/>
    <s v="2026-08-10 09:18:10"/>
    <s v="월수금"/>
    <x v="3"/>
  </r>
  <r>
    <d v="2026-08-10T09:18:50"/>
    <s v="19021181"/>
    <x v="10"/>
    <x v="10"/>
    <n v="48"/>
    <m/>
    <n v="48"/>
    <s v="20271124000000"/>
    <s v="디캔팅"/>
    <s v="입고"/>
    <s v="작업완료"/>
    <s v="1013"/>
    <x v="1"/>
    <s v="2026-08-10 09:16:44"/>
    <s v="월수금"/>
    <x v="3"/>
  </r>
  <r>
    <d v="2026-08-10T09:18:36"/>
    <s v="19003442"/>
    <x v="10"/>
    <x v="10"/>
    <n v="48"/>
    <m/>
    <n v="48"/>
    <s v="20271124000000"/>
    <s v="디캔팅"/>
    <s v="입고"/>
    <s v="작업완료"/>
    <s v="1013"/>
    <x v="1"/>
    <s v="2026-08-10 09:16:38"/>
    <s v="월수금"/>
    <x v="3"/>
  </r>
  <r>
    <d v="2026-08-10T09:17:46"/>
    <s v="19012127"/>
    <x v="10"/>
    <x v="10"/>
    <n v="48"/>
    <m/>
    <n v="48"/>
    <s v="20271124000000"/>
    <s v="디캔팅"/>
    <s v="입고"/>
    <s v="작업완료"/>
    <s v="1013"/>
    <x v="1"/>
    <s v="2026-08-10 09:15:20"/>
    <s v="월수금"/>
    <x v="3"/>
  </r>
  <r>
    <d v="2026-08-10T09:17:26"/>
    <s v="19003889"/>
    <x v="10"/>
    <x v="10"/>
    <n v="48"/>
    <m/>
    <n v="48"/>
    <s v="20271124000000"/>
    <s v="디캔팅"/>
    <s v="입고"/>
    <s v="작업완료"/>
    <s v="1013"/>
    <x v="1"/>
    <s v="2026-08-10 09:15:15"/>
    <s v="월수금"/>
    <x v="3"/>
  </r>
  <r>
    <d v="2026-08-10T09:14:53"/>
    <s v="19019225"/>
    <x v="10"/>
    <x v="10"/>
    <n v="48"/>
    <m/>
    <n v="48"/>
    <s v="20271124000000"/>
    <s v="디캔팅"/>
    <s v="입고"/>
    <s v="작업완료"/>
    <s v="1013"/>
    <x v="1"/>
    <s v="2026-08-10 09:12:49"/>
    <s v="월수금"/>
    <x v="3"/>
  </r>
  <r>
    <d v="2026-08-10T09:14:39"/>
    <s v="19004673"/>
    <x v="10"/>
    <x v="10"/>
    <n v="48"/>
    <m/>
    <n v="48"/>
    <s v="20271124000000"/>
    <s v="디캔팅"/>
    <s v="입고"/>
    <s v="작업완료"/>
    <s v="1013"/>
    <x v="1"/>
    <s v="2026-08-10 09:12:42"/>
    <s v="월수금"/>
    <x v="3"/>
  </r>
  <r>
    <d v="2026-08-10T09:12:25"/>
    <s v="19004344"/>
    <x v="10"/>
    <x v="10"/>
    <n v="48"/>
    <m/>
    <n v="48"/>
    <s v="20271124000000"/>
    <s v="디캔팅"/>
    <s v="입고"/>
    <s v="작업완료"/>
    <s v="1013"/>
    <x v="1"/>
    <s v="2026-08-10 09:10:07"/>
    <s v="월수금"/>
    <x v="3"/>
  </r>
  <r>
    <d v="2026-08-10T09:12:21"/>
    <s v="19013030"/>
    <x v="10"/>
    <x v="10"/>
    <n v="48"/>
    <m/>
    <n v="48"/>
    <s v="20271124000000"/>
    <s v="디캔팅"/>
    <s v="입고"/>
    <s v="작업완료"/>
    <s v="1013"/>
    <x v="1"/>
    <s v="2026-08-10 09:10:02"/>
    <s v="월수금"/>
    <x v="3"/>
  </r>
  <r>
    <d v="2026-08-10T09:08:04"/>
    <s v="19009392"/>
    <x v="10"/>
    <x v="10"/>
    <n v="48"/>
    <m/>
    <n v="48"/>
    <s v="20271124000000"/>
    <s v="디캔팅"/>
    <s v="입고"/>
    <s v="작업완료"/>
    <s v="1013"/>
    <x v="1"/>
    <s v="2026-08-10 09:05:49"/>
    <s v="월수금"/>
    <x v="3"/>
  </r>
  <r>
    <d v="2026-08-10T09:07:41"/>
    <s v="19019452"/>
    <x v="10"/>
    <x v="10"/>
    <n v="48"/>
    <m/>
    <n v="48"/>
    <s v="20271124000000"/>
    <s v="디캔팅"/>
    <s v="입고"/>
    <s v="작업완료"/>
    <s v="1013"/>
    <x v="1"/>
    <s v="2026-08-10 09:05:42"/>
    <s v="월수금"/>
    <x v="3"/>
  </r>
  <r>
    <d v="2026-08-10T09:06:36"/>
    <s v="19017872"/>
    <x v="10"/>
    <x v="10"/>
    <n v="48"/>
    <m/>
    <n v="48"/>
    <s v="20271124000000"/>
    <s v="디캔팅"/>
    <s v="입고"/>
    <s v="작업완료"/>
    <s v="1013"/>
    <x v="1"/>
    <s v="2026-08-10 09:04:31"/>
    <s v="월수금"/>
    <x v="3"/>
  </r>
  <r>
    <d v="2026-08-10T09:06:16"/>
    <s v="19001911"/>
    <x v="10"/>
    <x v="10"/>
    <n v="48"/>
    <m/>
    <n v="48"/>
    <s v="20271124000000"/>
    <s v="디캔팅"/>
    <s v="입고"/>
    <s v="작업완료"/>
    <s v="1013"/>
    <x v="1"/>
    <s v="2026-08-10 09:04:26"/>
    <s v="월수금"/>
    <x v="3"/>
  </r>
  <r>
    <d v="2026-08-10T09:04:56"/>
    <s v="19009841"/>
    <x v="10"/>
    <x v="10"/>
    <n v="48"/>
    <m/>
    <n v="48"/>
    <s v="20271124000000"/>
    <s v="디캔팅"/>
    <s v="입고"/>
    <s v="작업완료"/>
    <s v="1013"/>
    <x v="1"/>
    <s v="2026-08-10 09:02:21"/>
    <s v="월수금"/>
    <x v="3"/>
  </r>
  <r>
    <d v="2026-08-10T09:04:27"/>
    <s v="19025479"/>
    <x v="10"/>
    <x v="10"/>
    <n v="48"/>
    <m/>
    <n v="48"/>
    <s v="20271124000000"/>
    <s v="디캔팅"/>
    <s v="입고"/>
    <s v="작업완료"/>
    <s v="1013"/>
    <x v="1"/>
    <s v="2026-08-10 09:02:16"/>
    <s v="월수금"/>
    <x v="3"/>
  </r>
  <r>
    <d v="2026-08-10T09:03:42"/>
    <s v="19020906"/>
    <x v="10"/>
    <x v="10"/>
    <n v="48"/>
    <m/>
    <n v="48"/>
    <s v="20271124000000"/>
    <s v="디캔팅"/>
    <s v="입고"/>
    <s v="작업완료"/>
    <s v="1013"/>
    <x v="1"/>
    <s v="2026-08-10 08:55:15"/>
    <s v="월수금"/>
    <x v="3"/>
  </r>
  <r>
    <d v="2026-08-10T09:02:44"/>
    <s v="19015769"/>
    <x v="10"/>
    <x v="10"/>
    <n v="48"/>
    <m/>
    <n v="48"/>
    <s v="20271124000000"/>
    <s v="디캔팅"/>
    <s v="입고"/>
    <s v="작업완료"/>
    <s v="1013"/>
    <x v="1"/>
    <s v="2026-08-10 09:00:56"/>
    <s v="월수금"/>
    <x v="3"/>
  </r>
  <r>
    <d v="2026-08-10T09:02:42"/>
    <s v="19026419"/>
    <x v="10"/>
    <x v="10"/>
    <n v="48"/>
    <m/>
    <n v="48"/>
    <s v="20271124000000"/>
    <s v="디캔팅"/>
    <s v="입고"/>
    <s v="작업완료"/>
    <s v="1013"/>
    <x v="1"/>
    <s v="2026-08-10 09:00:48"/>
    <s v="월수금"/>
    <x v="3"/>
  </r>
  <r>
    <d v="2026-08-10T09:01:33"/>
    <s v="19009523"/>
    <x v="10"/>
    <x v="10"/>
    <n v="48"/>
    <m/>
    <n v="48"/>
    <s v="20271124000000"/>
    <s v="디캔팅"/>
    <s v="입고"/>
    <s v="작업완료"/>
    <s v="1013"/>
    <x v="1"/>
    <s v="2026-08-10 08:59:19"/>
    <s v="월수금"/>
    <x v="3"/>
  </r>
  <r>
    <d v="2026-08-10T09:01:22"/>
    <s v="19025708"/>
    <x v="10"/>
    <x v="10"/>
    <n v="48"/>
    <m/>
    <n v="48"/>
    <s v="20271124000000"/>
    <s v="디캔팅"/>
    <s v="입고"/>
    <s v="작업완료"/>
    <s v="1013"/>
    <x v="1"/>
    <s v="2026-08-10 08:59:24"/>
    <s v="월수금"/>
    <x v="3"/>
  </r>
  <r>
    <d v="2026-08-10T08:59:00"/>
    <s v="19026843"/>
    <x v="10"/>
    <x v="10"/>
    <n v="48"/>
    <m/>
    <n v="48"/>
    <s v="20271124000000"/>
    <s v="디캔팅"/>
    <s v="입고"/>
    <s v="작업완료"/>
    <s v="1013"/>
    <x v="1"/>
    <s v="2026-08-10 08:56:54"/>
    <s v="월수금"/>
    <x v="3"/>
  </r>
  <r>
    <d v="2026-08-10T08:58:58"/>
    <s v="19011439"/>
    <x v="10"/>
    <x v="10"/>
    <n v="48"/>
    <m/>
    <n v="48"/>
    <s v="20271124000000"/>
    <s v="디캔팅"/>
    <s v="입고"/>
    <s v="작업완료"/>
    <s v="1013"/>
    <x v="1"/>
    <s v="2026-08-10 08:57:00"/>
    <s v="월수금"/>
    <x v="3"/>
  </r>
  <r>
    <d v="2026-08-10T08:57:50"/>
    <s v="19017116"/>
    <x v="10"/>
    <x v="10"/>
    <n v="48"/>
    <m/>
    <n v="48"/>
    <s v="20271124000000"/>
    <s v="디캔팅"/>
    <s v="입고"/>
    <s v="작업완료"/>
    <s v="1013"/>
    <x v="1"/>
    <s v="2026-08-10 08:55:20"/>
    <s v="월수금"/>
    <x v="3"/>
  </r>
  <r>
    <d v="2026-08-10T08:54:43"/>
    <s v="19015941"/>
    <x v="10"/>
    <x v="10"/>
    <n v="48"/>
    <m/>
    <n v="48"/>
    <s v="20271124000000"/>
    <s v="디캔팅"/>
    <s v="입고"/>
    <s v="작업완료"/>
    <s v="1013"/>
    <x v="1"/>
    <s v="2026-08-10 08:52:25"/>
    <s v="월수금"/>
    <x v="3"/>
  </r>
  <r>
    <d v="2026-08-10T08:54:23"/>
    <s v="19024354"/>
    <x v="10"/>
    <x v="10"/>
    <n v="48"/>
    <m/>
    <n v="48"/>
    <s v="20271124000000"/>
    <s v="디캔팅"/>
    <s v="입고"/>
    <s v="작업완료"/>
    <s v="1013"/>
    <x v="1"/>
    <s v="2026-08-10 08:52:20"/>
    <s v="월수금"/>
    <x v="3"/>
  </r>
  <r>
    <d v="2026-08-10T08:51:56"/>
    <s v="19012268"/>
    <x v="10"/>
    <x v="10"/>
    <n v="48"/>
    <m/>
    <n v="48"/>
    <s v="20271124000000"/>
    <s v="디캔팅"/>
    <s v="입고"/>
    <s v="작업완료"/>
    <s v="1013"/>
    <x v="1"/>
    <s v="2026-08-10 08:49:52"/>
    <s v="월수금"/>
    <x v="3"/>
  </r>
  <r>
    <d v="2026-08-10T08:51:52"/>
    <s v="19019647"/>
    <x v="10"/>
    <x v="10"/>
    <n v="48"/>
    <m/>
    <n v="48"/>
    <s v="20271124000000"/>
    <s v="디캔팅"/>
    <s v="입고"/>
    <s v="작업완료"/>
    <s v="1013"/>
    <x v="1"/>
    <s v="2026-08-10 08:49:59"/>
    <s v="월수금"/>
    <x v="3"/>
  </r>
  <r>
    <d v="2026-08-10T08:50:42"/>
    <s v="19005688"/>
    <x v="10"/>
    <x v="10"/>
    <n v="48"/>
    <m/>
    <n v="48"/>
    <s v="20271124000000"/>
    <s v="디캔팅"/>
    <s v="입고"/>
    <s v="작업완료"/>
    <s v="1013"/>
    <x v="1"/>
    <s v="2026-08-10 08:48:52"/>
    <s v="월수금"/>
    <x v="3"/>
  </r>
  <r>
    <d v="2026-08-10T08:50:40"/>
    <s v="19022218"/>
    <x v="10"/>
    <x v="10"/>
    <n v="48"/>
    <m/>
    <n v="48"/>
    <s v="20271124000000"/>
    <s v="디캔팅"/>
    <s v="입고"/>
    <s v="작업완료"/>
    <s v="1013"/>
    <x v="1"/>
    <s v="2026-08-10 08:48:45"/>
    <s v="월수금"/>
    <x v="3"/>
  </r>
  <r>
    <d v="2026-08-10T08:49:49"/>
    <s v="19008328"/>
    <x v="10"/>
    <x v="10"/>
    <n v="48"/>
    <m/>
    <n v="48"/>
    <s v="20271124000000"/>
    <s v="디캔팅"/>
    <s v="입고"/>
    <s v="작업완료"/>
    <s v="1013"/>
    <x v="1"/>
    <s v="2026-08-10 08:47:47"/>
    <s v="월수금"/>
    <x v="3"/>
  </r>
  <r>
    <d v="2026-08-10T08:49:34"/>
    <s v="19010166"/>
    <x v="10"/>
    <x v="10"/>
    <n v="48"/>
    <m/>
    <n v="48"/>
    <s v="20271124000000"/>
    <s v="디캔팅"/>
    <s v="입고"/>
    <s v="작업완료"/>
    <s v="1013"/>
    <x v="1"/>
    <s v="2026-08-10 08:47:40"/>
    <s v="월수금"/>
    <x v="3"/>
  </r>
  <r>
    <d v="2026-08-10T08:47:42"/>
    <s v="19024535"/>
    <x v="10"/>
    <x v="10"/>
    <n v="48"/>
    <m/>
    <n v="48"/>
    <s v="20271124000000"/>
    <s v="디캔팅"/>
    <s v="입고"/>
    <s v="작업완료"/>
    <s v="1013"/>
    <x v="1"/>
    <s v="2026-08-10 08:45:29"/>
    <s v="월수금"/>
    <x v="3"/>
  </r>
  <r>
    <d v="2026-08-10T08:47:21"/>
    <s v="19029197"/>
    <x v="10"/>
    <x v="10"/>
    <n v="48"/>
    <m/>
    <n v="48"/>
    <s v="20271124000000"/>
    <s v="디캔팅"/>
    <s v="입고"/>
    <s v="작업완료"/>
    <s v="1013"/>
    <x v="1"/>
    <s v="2026-08-10 08:45:35"/>
    <s v="월수금"/>
    <x v="3"/>
  </r>
  <r>
    <d v="2026-08-10T08:45:48"/>
    <s v="19012323"/>
    <x v="10"/>
    <x v="10"/>
    <n v="48"/>
    <m/>
    <n v="48"/>
    <s v="20271124000000"/>
    <s v="디캔팅"/>
    <s v="입고"/>
    <s v="작업완료"/>
    <s v="1013"/>
    <x v="1"/>
    <s v="2026-08-10 08:43:43"/>
    <s v="월수금"/>
    <x v="3"/>
  </r>
  <r>
    <d v="2026-08-10T08:45:41"/>
    <s v="19001685"/>
    <x v="10"/>
    <x v="10"/>
    <n v="48"/>
    <m/>
    <n v="48"/>
    <s v="20271124000000"/>
    <s v="디캔팅"/>
    <s v="입고"/>
    <s v="작업완료"/>
    <s v="1013"/>
    <x v="1"/>
    <s v="2026-08-10 08:43:48"/>
    <s v="월수금"/>
    <x v="3"/>
  </r>
  <r>
    <d v="2026-08-10T08:44:01"/>
    <s v="19010986"/>
    <x v="10"/>
    <x v="10"/>
    <n v="48"/>
    <m/>
    <n v="48"/>
    <s v="20271124000000"/>
    <s v="디캔팅"/>
    <s v="입고"/>
    <s v="작업완료"/>
    <s v="1013"/>
    <x v="1"/>
    <s v="2026-08-10 08:41:50"/>
    <s v="월수금"/>
    <x v="3"/>
  </r>
  <r>
    <d v="2026-08-10T08:43:41"/>
    <s v="19003085"/>
    <x v="10"/>
    <x v="10"/>
    <n v="48"/>
    <m/>
    <n v="48"/>
    <s v="20271124000000"/>
    <s v="디캔팅"/>
    <s v="입고"/>
    <s v="작업완료"/>
    <s v="1013"/>
    <x v="1"/>
    <s v="2026-08-10 08:41:58"/>
    <s v="월수금"/>
    <x v="3"/>
  </r>
  <r>
    <d v="2026-08-10T08:40:21"/>
    <s v="19010445"/>
    <x v="10"/>
    <x v="10"/>
    <n v="48"/>
    <m/>
    <n v="48"/>
    <s v="20271124000000"/>
    <s v="디캔팅"/>
    <s v="입고"/>
    <s v="작업완료"/>
    <s v="1013"/>
    <x v="1"/>
    <s v="2026-08-10 08:38:11"/>
    <s v="월수금"/>
    <x v="3"/>
  </r>
  <r>
    <d v="2026-08-10T08:40:00"/>
    <s v="19006435"/>
    <x v="10"/>
    <x v="10"/>
    <n v="48"/>
    <m/>
    <n v="48"/>
    <s v="20271124000000"/>
    <s v="디캔팅"/>
    <s v="입고"/>
    <s v="작업완료"/>
    <s v="1013"/>
    <x v="1"/>
    <s v="2026-08-10 08:38:18"/>
    <s v="월수금"/>
    <x v="3"/>
  </r>
  <r>
    <d v="2026-08-10T08:38:31"/>
    <s v="19003120"/>
    <x v="10"/>
    <x v="10"/>
    <n v="48"/>
    <m/>
    <n v="48"/>
    <s v="20271124000000"/>
    <s v="디캔팅"/>
    <s v="입고"/>
    <s v="작업완료"/>
    <s v="1013"/>
    <x v="1"/>
    <s v="2026-08-10 08:36:05"/>
    <s v="월수금"/>
    <x v="3"/>
  </r>
  <r>
    <d v="2026-08-10T08:38:01"/>
    <s v="19010135"/>
    <x v="10"/>
    <x v="10"/>
    <n v="48"/>
    <m/>
    <n v="48"/>
    <s v="20271124000000"/>
    <s v="디캔팅"/>
    <s v="입고"/>
    <s v="작업완료"/>
    <s v="1013"/>
    <x v="1"/>
    <s v="2026-08-10 08:35:54"/>
    <s v="월수금"/>
    <x v="3"/>
  </r>
  <r>
    <d v="2026-08-10T08:37:04"/>
    <s v="19015943"/>
    <x v="10"/>
    <x v="10"/>
    <n v="48"/>
    <m/>
    <n v="48"/>
    <s v="20271124000000"/>
    <s v="디캔팅"/>
    <s v="입고"/>
    <s v="작업완료"/>
    <s v="1013"/>
    <x v="1"/>
    <s v="2026-08-10 08:34:59"/>
    <s v="월수금"/>
    <x v="3"/>
  </r>
  <r>
    <d v="2026-08-10T08:36:49"/>
    <s v="19005246"/>
    <x v="10"/>
    <x v="10"/>
    <n v="48"/>
    <m/>
    <n v="48"/>
    <s v="20271124000000"/>
    <s v="디캔팅"/>
    <s v="입고"/>
    <s v="작업완료"/>
    <s v="1013"/>
    <x v="1"/>
    <s v="2026-08-10 08:34:53"/>
    <s v="월수금"/>
    <x v="3"/>
  </r>
  <r>
    <d v="2026-08-10T08:35:05"/>
    <s v="19004813"/>
    <x v="10"/>
    <x v="10"/>
    <n v="48"/>
    <m/>
    <n v="48"/>
    <s v="20271124000000"/>
    <s v="디캔팅"/>
    <s v="입고"/>
    <s v="작업완료"/>
    <s v="1013"/>
    <x v="1"/>
    <s v="2026-08-10 08:32:55"/>
    <s v="월수금"/>
    <x v="3"/>
  </r>
  <r>
    <d v="2026-08-10T08:35:00"/>
    <s v="19006335"/>
    <x v="10"/>
    <x v="10"/>
    <n v="48"/>
    <m/>
    <n v="48"/>
    <s v="20271124000000"/>
    <s v="디캔팅"/>
    <s v="입고"/>
    <s v="작업완료"/>
    <s v="1013"/>
    <x v="1"/>
    <s v="2026-08-10 08:33:02"/>
    <s v="월수금"/>
    <x v="3"/>
  </r>
  <r>
    <d v="2026-08-10T08:33:17"/>
    <s v="19023128"/>
    <x v="10"/>
    <x v="10"/>
    <n v="48"/>
    <m/>
    <n v="48"/>
    <s v="20271124000000"/>
    <s v="디캔팅"/>
    <s v="입고"/>
    <s v="작업완료"/>
    <s v="1013"/>
    <x v="1"/>
    <s v="2026-08-10 08:31:20"/>
    <s v="월수금"/>
    <x v="3"/>
  </r>
  <r>
    <d v="2026-08-10T08:33:00"/>
    <s v="19015396"/>
    <x v="10"/>
    <x v="10"/>
    <n v="48"/>
    <m/>
    <n v="48"/>
    <s v="20271124000000"/>
    <s v="디캔팅"/>
    <s v="입고"/>
    <s v="작업완료"/>
    <s v="1013"/>
    <x v="1"/>
    <s v="2026-08-10 08:31:15"/>
    <s v="월수금"/>
    <x v="3"/>
  </r>
  <r>
    <d v="2026-08-10T08:31:46"/>
    <s v="19020115"/>
    <x v="10"/>
    <x v="10"/>
    <n v="48"/>
    <m/>
    <n v="48"/>
    <s v="20271124000000"/>
    <s v="디캔팅"/>
    <s v="입고"/>
    <s v="작업완료"/>
    <s v="1013"/>
    <x v="1"/>
    <s v="2026-08-10 08:29:42"/>
    <s v="월수금"/>
    <x v="3"/>
  </r>
  <r>
    <d v="2026-08-10T08:31:39"/>
    <s v="19029952"/>
    <x v="10"/>
    <x v="10"/>
    <n v="48"/>
    <m/>
    <n v="48"/>
    <s v="20271124000000"/>
    <s v="디캔팅"/>
    <s v="입고"/>
    <s v="작업완료"/>
    <s v="1013"/>
    <x v="1"/>
    <s v="2026-08-10 08:29:37"/>
    <s v="월수금"/>
    <x v="3"/>
  </r>
  <r>
    <d v="2026-08-10T08:29:36"/>
    <s v="19016064"/>
    <x v="10"/>
    <x v="10"/>
    <n v="48"/>
    <m/>
    <n v="48"/>
    <s v="20271124000000"/>
    <s v="디캔팅"/>
    <s v="입고"/>
    <s v="작업완료"/>
    <s v="1013"/>
    <x v="1"/>
    <s v="2026-08-10 08:27:26"/>
    <s v="월수금"/>
    <x v="3"/>
  </r>
  <r>
    <d v="2026-08-10T08:29:12"/>
    <s v="19007997"/>
    <x v="10"/>
    <x v="10"/>
    <n v="48"/>
    <m/>
    <n v="48"/>
    <s v="20271124000000"/>
    <s v="디캔팅"/>
    <s v="입고"/>
    <s v="작업완료"/>
    <s v="1013"/>
    <x v="1"/>
    <s v="2026-08-10 08:27:17"/>
    <s v="월수금"/>
    <x v="3"/>
  </r>
  <r>
    <d v="2026-08-10T08:27:53"/>
    <s v="19007229"/>
    <x v="10"/>
    <x v="10"/>
    <n v="48"/>
    <m/>
    <n v="48"/>
    <s v="20271124000000"/>
    <s v="디캔팅"/>
    <s v="입고"/>
    <s v="작업완료"/>
    <s v="1013"/>
    <x v="1"/>
    <s v="2026-08-10 08:25:35"/>
    <s v="월수금"/>
    <x v="3"/>
  </r>
  <r>
    <d v="2026-08-10T08:27:38"/>
    <s v="19013149"/>
    <x v="10"/>
    <x v="10"/>
    <n v="48"/>
    <m/>
    <n v="48"/>
    <s v="20271124000000"/>
    <s v="디캔팅"/>
    <s v="입고"/>
    <s v="작업완료"/>
    <s v="1013"/>
    <x v="1"/>
    <s v="2026-08-10 08:25:40"/>
    <s v="월수금"/>
    <x v="3"/>
  </r>
  <r>
    <d v="2026-08-10T08:25:16"/>
    <s v="19005047"/>
    <x v="10"/>
    <x v="10"/>
    <n v="48"/>
    <m/>
    <n v="48"/>
    <s v="20271124000000"/>
    <s v="디캔팅"/>
    <s v="입고"/>
    <s v="작업완료"/>
    <s v="1013"/>
    <x v="1"/>
    <s v="2026-08-10 08:22:58"/>
    <s v="월수금"/>
    <x v="3"/>
  </r>
  <r>
    <d v="2026-08-10T08:25:12"/>
    <s v="19009405"/>
    <x v="10"/>
    <x v="10"/>
    <n v="48"/>
    <m/>
    <n v="48"/>
    <s v="20271124000000"/>
    <s v="디캔팅"/>
    <s v="입고"/>
    <s v="작업완료"/>
    <s v="1013"/>
    <x v="1"/>
    <s v="2026-08-10 08:22:53"/>
    <s v="월수금"/>
    <x v="3"/>
  </r>
  <r>
    <d v="2026-08-10T08:21:56"/>
    <s v="19003062"/>
    <x v="10"/>
    <x v="10"/>
    <n v="48"/>
    <m/>
    <n v="48"/>
    <s v="20271124000000"/>
    <s v="디캔팅"/>
    <s v="입고"/>
    <s v="작업완료"/>
    <s v="1013"/>
    <x v="1"/>
    <s v="2026-08-10 08:19:24"/>
    <s v="월수금"/>
    <x v="3"/>
  </r>
  <r>
    <d v="2026-08-10T08:21:27"/>
    <s v="19018611"/>
    <x v="10"/>
    <x v="10"/>
    <n v="48"/>
    <m/>
    <n v="48"/>
    <s v="20271124000000"/>
    <s v="디캔팅"/>
    <s v="입고"/>
    <s v="작업완료"/>
    <s v="1013"/>
    <x v="1"/>
    <s v="2026-08-10 08:19:17"/>
    <s v="월수금"/>
    <x v="3"/>
  </r>
  <r>
    <d v="2026-08-10T07:57:31"/>
    <s v="19011082"/>
    <x v="10"/>
    <x v="10"/>
    <n v="48"/>
    <m/>
    <n v="48"/>
    <s v="20271124000000"/>
    <s v="디캔팅"/>
    <s v="입고"/>
    <s v="작업완료"/>
    <s v="1013"/>
    <x v="1"/>
    <s v="2026-08-10 07:55:29"/>
    <s v="월수금"/>
    <x v="3"/>
  </r>
  <r>
    <d v="2026-08-10T07:57:27"/>
    <s v="19006530"/>
    <x v="10"/>
    <x v="10"/>
    <n v="48"/>
    <m/>
    <n v="48"/>
    <s v="20271124000000"/>
    <s v="디캔팅"/>
    <s v="입고"/>
    <s v="작업완료"/>
    <s v="1013"/>
    <x v="1"/>
    <s v="2026-08-10 07:55:23"/>
    <s v="월수금"/>
    <x v="3"/>
  </r>
  <r>
    <d v="2026-08-10T07:54:56"/>
    <s v="19008741"/>
    <x v="10"/>
    <x v="10"/>
    <n v="48"/>
    <m/>
    <n v="48"/>
    <s v="20271124000000"/>
    <s v="디캔팅"/>
    <s v="입고"/>
    <s v="작업완료"/>
    <s v="1013"/>
    <x v="1"/>
    <s v="2026-08-10 07:52:37"/>
    <s v="월수금"/>
    <x v="3"/>
  </r>
  <r>
    <d v="2026-08-10T07:54:42"/>
    <s v="19014556"/>
    <x v="10"/>
    <x v="10"/>
    <n v="48"/>
    <m/>
    <n v="48"/>
    <s v="20271124000000"/>
    <s v="디캔팅"/>
    <s v="입고"/>
    <s v="작업완료"/>
    <s v="1013"/>
    <x v="1"/>
    <s v="2026-08-10 07:52:27"/>
    <s v="월수금"/>
    <x v="3"/>
  </r>
  <r>
    <d v="2026-08-14T15:40:21"/>
    <s v="19021791"/>
    <x v="11"/>
    <x v="11"/>
    <n v="20"/>
    <m/>
    <n v="20"/>
    <s v="20270722150000"/>
    <s v="디캔팅"/>
    <s v="입고"/>
    <s v="작업완료"/>
    <s v="1010"/>
    <x v="7"/>
    <s v="2026-08-14 15:37:41"/>
    <s v="월수금"/>
    <x v="1"/>
  </r>
  <r>
    <d v="2026-08-14T15:40:06"/>
    <s v="19001945"/>
    <x v="11"/>
    <x v="11"/>
    <n v="20"/>
    <m/>
    <n v="20"/>
    <s v="20270722150000"/>
    <s v="디캔팅"/>
    <s v="입고"/>
    <s v="작업완료"/>
    <s v="1010"/>
    <x v="7"/>
    <s v="2026-08-14 15:37:39"/>
    <s v="월수금"/>
    <x v="1"/>
  </r>
  <r>
    <d v="2026-08-14T15:39:44"/>
    <s v="19024614"/>
    <x v="11"/>
    <x v="11"/>
    <n v="20"/>
    <m/>
    <n v="20"/>
    <s v="20270722150000"/>
    <s v="디캔팅"/>
    <s v="입고"/>
    <s v="작업완료"/>
    <s v="1010"/>
    <x v="7"/>
    <s v="2026-08-14 15:37:47"/>
    <s v="월수금"/>
    <x v="1"/>
  </r>
  <r>
    <d v="2026-08-14T15:06:46"/>
    <s v="19005181"/>
    <x v="11"/>
    <x v="11"/>
    <n v="20"/>
    <m/>
    <n v="20"/>
    <s v="20270722150000"/>
    <s v="디캔팅"/>
    <s v="입고"/>
    <s v="작업완료"/>
    <s v="1001"/>
    <x v="13"/>
    <s v="2026-08-14 15:02:36"/>
    <s v="월수금"/>
    <x v="1"/>
  </r>
  <r>
    <d v="2026-08-14T15:02:24"/>
    <s v="19905181"/>
    <x v="11"/>
    <x v="11"/>
    <n v="20"/>
    <m/>
    <n v="20"/>
    <s v="20270722150000"/>
    <s v="디캔팅"/>
    <s v="입고"/>
    <s v="작업취소"/>
    <s v="1001"/>
    <x v="13"/>
    <s v="2026-08-14 15:02:24"/>
    <s v="월수금"/>
    <x v="1"/>
  </r>
  <r>
    <d v="2026-08-14T14:56:08"/>
    <s v="19015059"/>
    <x v="11"/>
    <x v="11"/>
    <n v="20"/>
    <m/>
    <n v="20"/>
    <s v="20270722150000"/>
    <s v="디캔팅"/>
    <s v="입고"/>
    <s v="작업완료"/>
    <s v="1010"/>
    <x v="7"/>
    <s v="2026-08-14 14:53:58"/>
    <s v="월수금"/>
    <x v="1"/>
  </r>
  <r>
    <d v="2026-08-14T14:54:44"/>
    <s v="19002238"/>
    <x v="11"/>
    <x v="11"/>
    <n v="20"/>
    <m/>
    <n v="20"/>
    <s v="20270722150000"/>
    <s v="디캔팅"/>
    <s v="입고"/>
    <s v="작업완료"/>
    <s v="1010"/>
    <x v="7"/>
    <s v="2026-08-14 14:52:50"/>
    <s v="월수금"/>
    <x v="1"/>
  </r>
  <r>
    <d v="2026-08-14T14:54:38"/>
    <s v="19021242"/>
    <x v="11"/>
    <x v="11"/>
    <n v="20"/>
    <m/>
    <n v="20"/>
    <s v="20270722150000"/>
    <s v="디캔팅"/>
    <s v="입고"/>
    <s v="작업완료"/>
    <s v="1010"/>
    <x v="7"/>
    <s v="2026-08-14 14:52:56"/>
    <s v="월수금"/>
    <x v="1"/>
  </r>
  <r>
    <d v="2026-08-14T14:52:09"/>
    <s v="19001491"/>
    <x v="11"/>
    <x v="11"/>
    <n v="20"/>
    <m/>
    <n v="20"/>
    <s v="20270722150000"/>
    <s v="디캔팅"/>
    <s v="입고"/>
    <s v="작업완료"/>
    <s v="1010"/>
    <x v="7"/>
    <s v="2026-08-14 14:50:03"/>
    <s v="월수금"/>
    <x v="1"/>
  </r>
  <r>
    <d v="2026-08-14T14:51:45"/>
    <s v="19010879"/>
    <x v="11"/>
    <x v="11"/>
    <n v="20"/>
    <m/>
    <n v="20"/>
    <s v="20270722150000"/>
    <s v="디캔팅"/>
    <s v="입고"/>
    <s v="작업완료"/>
    <s v="1010"/>
    <x v="7"/>
    <s v="2026-08-14 14:49:57"/>
    <s v="월수금"/>
    <x v="1"/>
  </r>
  <r>
    <d v="2026-08-14T14:49:25"/>
    <s v="19007556"/>
    <x v="11"/>
    <x v="11"/>
    <n v="20"/>
    <m/>
    <n v="20"/>
    <s v="20270722150000"/>
    <s v="디캔팅"/>
    <s v="입고"/>
    <s v="작업완료"/>
    <s v="1010"/>
    <x v="7"/>
    <s v="2026-08-14 14:47:18"/>
    <s v="월수금"/>
    <x v="1"/>
  </r>
  <r>
    <d v="2026-08-14T14:49:15"/>
    <s v="19012425"/>
    <x v="11"/>
    <x v="11"/>
    <n v="20"/>
    <m/>
    <n v="20"/>
    <s v="20270722150000"/>
    <s v="디캔팅"/>
    <s v="입고"/>
    <s v="작업완료"/>
    <s v="1010"/>
    <x v="7"/>
    <s v="2026-08-14 14:47:08"/>
    <s v="월수금"/>
    <x v="1"/>
  </r>
  <r>
    <d v="2026-08-14T14:46:03"/>
    <s v="19003487"/>
    <x v="11"/>
    <x v="11"/>
    <n v="20"/>
    <m/>
    <n v="20"/>
    <s v="20270722150000"/>
    <s v="디캔팅"/>
    <s v="입고"/>
    <s v="작업완료"/>
    <s v="1010"/>
    <x v="7"/>
    <s v="2026-08-14 14:43:54"/>
    <s v="월수금"/>
    <x v="1"/>
  </r>
  <r>
    <d v="2026-08-14T14:42:38"/>
    <s v="19027393"/>
    <x v="11"/>
    <x v="11"/>
    <n v="20"/>
    <m/>
    <n v="20"/>
    <s v="20270722150000"/>
    <s v="디캔팅"/>
    <s v="입고"/>
    <s v="작업완료"/>
    <s v="1010"/>
    <x v="7"/>
    <s v="2026-08-14 14:40:45"/>
    <s v="월수금"/>
    <x v="1"/>
  </r>
  <r>
    <d v="2026-08-14T14:42:31"/>
    <s v="19002535"/>
    <x v="11"/>
    <x v="11"/>
    <n v="20"/>
    <m/>
    <n v="20"/>
    <s v="20270722150000"/>
    <s v="디캔팅"/>
    <s v="입고"/>
    <s v="작업완료"/>
    <s v="1010"/>
    <x v="7"/>
    <s v="2026-08-14 14:40:39"/>
    <s v="월수금"/>
    <x v="1"/>
  </r>
  <r>
    <d v="2026-08-14T14:39:03"/>
    <s v="19002609"/>
    <x v="11"/>
    <x v="11"/>
    <n v="20"/>
    <m/>
    <n v="20"/>
    <s v="20270722150000"/>
    <s v="디캔팅"/>
    <s v="입고"/>
    <s v="작업완료"/>
    <s v="1010"/>
    <x v="7"/>
    <s v="2026-08-14 14:36:52"/>
    <s v="월수금"/>
    <x v="1"/>
  </r>
  <r>
    <d v="2026-08-14T14:38:50"/>
    <s v="19029472"/>
    <x v="11"/>
    <x v="11"/>
    <n v="20"/>
    <m/>
    <n v="20"/>
    <s v="20270722150000"/>
    <s v="디캔팅"/>
    <s v="입고"/>
    <s v="작업완료"/>
    <s v="1010"/>
    <x v="7"/>
    <s v="2026-08-14 14:36:46"/>
    <s v="월수금"/>
    <x v="1"/>
  </r>
  <r>
    <d v="2026-08-14T14:36:41"/>
    <s v="19021499"/>
    <x v="11"/>
    <x v="11"/>
    <n v="20"/>
    <m/>
    <n v="20"/>
    <s v="20270722150000"/>
    <s v="디캔팅"/>
    <s v="입고"/>
    <s v="작업완료"/>
    <s v="1010"/>
    <x v="7"/>
    <s v="2026-08-14 14:34:01"/>
    <s v="월수금"/>
    <x v="1"/>
  </r>
  <r>
    <d v="2026-08-14T14:36:21"/>
    <s v="19019555"/>
    <x v="11"/>
    <x v="11"/>
    <n v="20"/>
    <m/>
    <n v="20"/>
    <s v="20270722150000"/>
    <s v="디캔팅"/>
    <s v="입고"/>
    <s v="작업완료"/>
    <s v="1010"/>
    <x v="7"/>
    <s v="2026-08-14 14:33:56"/>
    <s v="월수금"/>
    <x v="1"/>
  </r>
  <r>
    <d v="2026-08-14T14:35:17"/>
    <s v="19026252"/>
    <x v="11"/>
    <x v="11"/>
    <n v="20"/>
    <m/>
    <n v="20"/>
    <s v="20270722150000"/>
    <s v="디캔팅"/>
    <s v="입고"/>
    <s v="작업완료"/>
    <s v="1010"/>
    <x v="7"/>
    <s v="2026-08-14 14:31:05"/>
    <s v="월수금"/>
    <x v="1"/>
  </r>
  <r>
    <d v="2026-08-14T14:33:19"/>
    <s v="19008368"/>
    <x v="11"/>
    <x v="11"/>
    <n v="20"/>
    <m/>
    <n v="20"/>
    <s v="20270722150000"/>
    <s v="디캔팅"/>
    <s v="입고"/>
    <s v="작업완료"/>
    <s v="1010"/>
    <x v="7"/>
    <s v="2026-08-14 14:31:11"/>
    <s v="월수금"/>
    <x v="1"/>
  </r>
  <r>
    <d v="2026-08-14T14:29:40"/>
    <s v="19005909"/>
    <x v="11"/>
    <x v="11"/>
    <n v="20"/>
    <m/>
    <n v="20"/>
    <s v="20270722150000"/>
    <s v="디캔팅"/>
    <s v="입고"/>
    <s v="작업완료"/>
    <s v="1010"/>
    <x v="7"/>
    <s v="2026-08-14 14:27:38"/>
    <s v="월수금"/>
    <x v="1"/>
  </r>
  <r>
    <d v="2026-08-14T14:29:23"/>
    <s v="19005857"/>
    <x v="11"/>
    <x v="11"/>
    <n v="20"/>
    <m/>
    <n v="20"/>
    <s v="20270722150000"/>
    <s v="디캔팅"/>
    <s v="입고"/>
    <s v="작업완료"/>
    <s v="1010"/>
    <x v="7"/>
    <s v="2026-08-14 14:27:30"/>
    <s v="월수금"/>
    <x v="1"/>
  </r>
  <r>
    <d v="2026-08-14T14:26:40"/>
    <s v="19005345"/>
    <x v="11"/>
    <x v="11"/>
    <n v="20"/>
    <m/>
    <n v="20"/>
    <s v="20270722150000"/>
    <s v="디캔팅"/>
    <s v="입고"/>
    <s v="작업완료"/>
    <s v="1010"/>
    <x v="7"/>
    <s v="2026-08-14 14:24:36"/>
    <s v="월수금"/>
    <x v="1"/>
  </r>
  <r>
    <d v="2026-08-14T14:26:28"/>
    <s v="19024136"/>
    <x v="11"/>
    <x v="11"/>
    <n v="20"/>
    <m/>
    <n v="20"/>
    <s v="20270722150000"/>
    <s v="디캔팅"/>
    <s v="입고"/>
    <s v="작업완료"/>
    <s v="1010"/>
    <x v="7"/>
    <s v="2026-08-14 14:24:45"/>
    <s v="월수금"/>
    <x v="1"/>
  </r>
  <r>
    <d v="2026-08-13T23:42:06"/>
    <s v="19024496"/>
    <x v="11"/>
    <x v="11"/>
    <n v="20"/>
    <m/>
    <n v="20"/>
    <s v="20270723000000"/>
    <s v="디캔팅"/>
    <s v="입고"/>
    <s v="작업완료"/>
    <s v="1007"/>
    <x v="11"/>
    <s v="2026-08-13 23:39:53"/>
    <s v="월수금"/>
    <x v="4"/>
  </r>
  <r>
    <d v="2026-08-13T23:41:59"/>
    <s v="19004929"/>
    <x v="11"/>
    <x v="11"/>
    <n v="20"/>
    <m/>
    <n v="20"/>
    <s v="20270723000000"/>
    <s v="디캔팅"/>
    <s v="입고"/>
    <s v="작업완료"/>
    <s v="1007"/>
    <x v="11"/>
    <s v="2026-08-13 23:39:59"/>
    <s v="월수금"/>
    <x v="4"/>
  </r>
  <r>
    <d v="2026-08-13T23:40:12"/>
    <s v="19020342"/>
    <x v="11"/>
    <x v="11"/>
    <n v="20"/>
    <m/>
    <n v="20"/>
    <s v="20270723000000"/>
    <s v="디캔팅"/>
    <s v="입고"/>
    <s v="작업완료"/>
    <s v="1007"/>
    <x v="11"/>
    <s v="2026-08-13 23:37:28"/>
    <s v="월수금"/>
    <x v="4"/>
  </r>
  <r>
    <d v="2026-08-13T23:40:00"/>
    <s v="19010749"/>
    <x v="11"/>
    <x v="11"/>
    <n v="20"/>
    <m/>
    <n v="20"/>
    <s v="20270723000000"/>
    <s v="디캔팅"/>
    <s v="입고"/>
    <s v="작업완료"/>
    <s v="1007"/>
    <x v="11"/>
    <s v="2026-08-13 23:37:23"/>
    <s v="월수금"/>
    <x v="4"/>
  </r>
  <r>
    <d v="2026-08-13T23:39:07"/>
    <s v="19011848"/>
    <x v="11"/>
    <x v="11"/>
    <n v="20"/>
    <m/>
    <n v="20"/>
    <s v="20270723000000"/>
    <s v="디캔팅"/>
    <s v="입고"/>
    <s v="작업완료"/>
    <s v="1007"/>
    <x v="11"/>
    <s v="2026-08-13 23:35:18"/>
    <s v="월수금"/>
    <x v="4"/>
  </r>
  <r>
    <d v="2026-08-13T23:38:38"/>
    <s v="19020615"/>
    <x v="11"/>
    <x v="11"/>
    <n v="20"/>
    <m/>
    <n v="20"/>
    <s v="20270723000000"/>
    <s v="디캔팅"/>
    <s v="입고"/>
    <s v="작업완료"/>
    <s v="1007"/>
    <x v="11"/>
    <s v="2026-08-13 23:35:12"/>
    <s v="월수금"/>
    <x v="4"/>
  </r>
  <r>
    <d v="2026-08-13T23:37:13"/>
    <s v="19019932"/>
    <x v="11"/>
    <x v="11"/>
    <n v="20"/>
    <m/>
    <n v="20"/>
    <s v="20270723000000"/>
    <s v="디캔팅"/>
    <s v="입고"/>
    <s v="작업완료"/>
    <s v="1007"/>
    <x v="11"/>
    <s v="2026-08-13 23:31:35"/>
    <s v="월수금"/>
    <x v="4"/>
  </r>
  <r>
    <d v="2026-08-13T23:36:59"/>
    <s v="19021216"/>
    <x v="11"/>
    <x v="11"/>
    <n v="20"/>
    <m/>
    <n v="20"/>
    <s v="20270723000000"/>
    <s v="디캔팅"/>
    <s v="입고"/>
    <s v="작업완료"/>
    <s v="1007"/>
    <x v="11"/>
    <s v="2026-08-13 23:33:20"/>
    <s v="월수금"/>
    <x v="4"/>
  </r>
  <r>
    <d v="2026-08-13T23:36:52"/>
    <s v="19014957"/>
    <x v="11"/>
    <x v="11"/>
    <n v="20"/>
    <m/>
    <n v="20"/>
    <s v="20270723000000"/>
    <s v="디캔팅"/>
    <s v="입고"/>
    <s v="작업완료"/>
    <s v="1007"/>
    <x v="11"/>
    <s v="2026-08-13 23:31:42"/>
    <s v="월수금"/>
    <x v="4"/>
  </r>
  <r>
    <d v="2026-08-13T23:31:56"/>
    <s v="19008570"/>
    <x v="11"/>
    <x v="11"/>
    <n v="20"/>
    <m/>
    <n v="20"/>
    <s v="20270723000000"/>
    <s v="디캔팅"/>
    <s v="입고"/>
    <s v="작업완료"/>
    <s v="1007"/>
    <x v="11"/>
    <s v="2026-08-13 23:29:57"/>
    <s v="월수금"/>
    <x v="4"/>
  </r>
  <r>
    <d v="2026-08-13T23:31:25"/>
    <s v="19001925"/>
    <x v="11"/>
    <x v="11"/>
    <n v="20"/>
    <m/>
    <n v="20"/>
    <s v="20270723000000"/>
    <s v="디캔팅"/>
    <s v="입고"/>
    <s v="작업완료"/>
    <s v="1007"/>
    <x v="11"/>
    <s v="2026-08-13 23:29:52"/>
    <s v="월수금"/>
    <x v="4"/>
  </r>
  <r>
    <d v="2026-08-13T23:29:54"/>
    <s v="19021659"/>
    <x v="11"/>
    <x v="11"/>
    <n v="20"/>
    <m/>
    <n v="20"/>
    <s v="20270723000000"/>
    <s v="디캔팅"/>
    <s v="입고"/>
    <s v="작업완료"/>
    <s v="1007"/>
    <x v="11"/>
    <s v="2026-08-13 23:27:47"/>
    <s v="월수금"/>
    <x v="4"/>
  </r>
  <r>
    <d v="2026-08-13T23:28:58"/>
    <s v="19011093"/>
    <x v="11"/>
    <x v="11"/>
    <n v="20"/>
    <m/>
    <n v="20"/>
    <s v="20270723000000"/>
    <s v="디캔팅"/>
    <s v="입고"/>
    <s v="작업완료"/>
    <s v="1007"/>
    <x v="11"/>
    <s v="2026-08-13 23:26:38"/>
    <s v="월수금"/>
    <x v="4"/>
  </r>
  <r>
    <d v="2026-08-13T23:27:30"/>
    <s v="19014201"/>
    <x v="11"/>
    <x v="11"/>
    <n v="20"/>
    <m/>
    <n v="20"/>
    <s v="20270723000000"/>
    <s v="디캔팅"/>
    <s v="입고"/>
    <s v="작업완료"/>
    <s v="1007"/>
    <x v="11"/>
    <s v="2026-08-13 23:25:26"/>
    <s v="월수금"/>
    <x v="4"/>
  </r>
  <r>
    <d v="2026-08-13T23:27:12"/>
    <s v="19022475"/>
    <x v="11"/>
    <x v="11"/>
    <n v="20"/>
    <m/>
    <n v="20"/>
    <s v="20270723000000"/>
    <s v="디캔팅"/>
    <s v="입고"/>
    <s v="작업완료"/>
    <s v="1007"/>
    <x v="11"/>
    <s v="2026-08-13 23:24:18"/>
    <s v="월수금"/>
    <x v="4"/>
  </r>
  <r>
    <d v="2026-08-13T23:25:28"/>
    <s v="19011006"/>
    <x v="11"/>
    <x v="11"/>
    <n v="20"/>
    <m/>
    <n v="20"/>
    <s v="20270723000000"/>
    <s v="디캔팅"/>
    <s v="입고"/>
    <s v="작업완료"/>
    <s v="1007"/>
    <x v="11"/>
    <s v="2026-08-13 23:23:23"/>
    <s v="월수금"/>
    <x v="4"/>
  </r>
  <r>
    <d v="2026-08-13T23:24:13"/>
    <s v="19015012"/>
    <x v="11"/>
    <x v="11"/>
    <n v="20"/>
    <m/>
    <n v="20"/>
    <s v="20270723000000"/>
    <s v="디캔팅"/>
    <s v="입고"/>
    <s v="작업완료"/>
    <s v="1007"/>
    <x v="11"/>
    <s v="2026-08-13 23:22:23"/>
    <s v="월수금"/>
    <x v="4"/>
  </r>
  <r>
    <d v="2026-08-13T23:22:56"/>
    <s v="19013423"/>
    <x v="11"/>
    <x v="11"/>
    <n v="20"/>
    <m/>
    <n v="20"/>
    <s v="20270723000000"/>
    <s v="디캔팅"/>
    <s v="입고"/>
    <s v="작업완료"/>
    <s v="1007"/>
    <x v="11"/>
    <s v="2026-08-13 23:21:13"/>
    <s v="월수금"/>
    <x v="4"/>
  </r>
  <r>
    <d v="2026-08-13T23:22:41"/>
    <s v="19015035"/>
    <x v="11"/>
    <x v="11"/>
    <n v="20"/>
    <m/>
    <n v="20"/>
    <s v="20270723000000"/>
    <s v="디캔팅"/>
    <s v="입고"/>
    <s v="작업완료"/>
    <s v="1007"/>
    <x v="11"/>
    <s v="2026-08-13 23:21:08"/>
    <s v="월수금"/>
    <x v="4"/>
  </r>
  <r>
    <d v="2026-08-13T23:21:09"/>
    <s v="19008078"/>
    <x v="11"/>
    <x v="11"/>
    <n v="20"/>
    <m/>
    <n v="20"/>
    <s v="20270723000000"/>
    <s v="디캔팅"/>
    <s v="입고"/>
    <s v="작업완료"/>
    <s v="1007"/>
    <x v="11"/>
    <s v="2026-08-13 23:17:07"/>
    <s v="월수금"/>
    <x v="4"/>
  </r>
  <r>
    <d v="2026-08-13T23:20:42"/>
    <s v="19003484"/>
    <x v="11"/>
    <x v="11"/>
    <n v="20"/>
    <m/>
    <n v="20"/>
    <s v="20270723000000"/>
    <s v="디캔팅"/>
    <s v="입고"/>
    <s v="작업완료"/>
    <s v="1007"/>
    <x v="11"/>
    <s v="2026-08-13 23:17:02"/>
    <s v="월수금"/>
    <x v="4"/>
  </r>
  <r>
    <d v="2026-08-13T23:14:06"/>
    <s v="19008436"/>
    <x v="11"/>
    <x v="11"/>
    <n v="20"/>
    <m/>
    <n v="20"/>
    <s v="20270723000000"/>
    <s v="디캔팅"/>
    <s v="입고"/>
    <s v="작업완료"/>
    <s v="1007"/>
    <x v="11"/>
    <s v="2026-08-13 23:12:26"/>
    <s v="월수금"/>
    <x v="4"/>
  </r>
  <r>
    <d v="2026-08-13T23:11:09"/>
    <s v="19018590"/>
    <x v="11"/>
    <x v="11"/>
    <n v="20"/>
    <m/>
    <n v="20"/>
    <s v="20270723000000"/>
    <s v="디캔팅"/>
    <s v="입고"/>
    <s v="작업완료"/>
    <s v="1007"/>
    <x v="11"/>
    <s v="2026-08-13 23:09:24"/>
    <s v="월수금"/>
    <x v="4"/>
  </r>
  <r>
    <d v="2026-08-13T23:09:05"/>
    <s v="19022088"/>
    <x v="11"/>
    <x v="11"/>
    <n v="20"/>
    <m/>
    <n v="20"/>
    <s v="20270723000000"/>
    <s v="디캔팅"/>
    <s v="입고"/>
    <s v="작업완료"/>
    <s v="1007"/>
    <x v="11"/>
    <s v="2026-08-13 23:06:56"/>
    <s v="월수금"/>
    <x v="4"/>
  </r>
  <r>
    <d v="2026-08-12T07:25:41"/>
    <s v="19006749"/>
    <x v="11"/>
    <x v="11"/>
    <n v="20"/>
    <m/>
    <n v="20"/>
    <s v="20270721000000"/>
    <s v="디캔팅"/>
    <s v="입고"/>
    <s v="작업완료"/>
    <s v="1003"/>
    <x v="5"/>
    <s v="2026-08-12 07:22:47"/>
    <s v="월수금"/>
    <x v="2"/>
  </r>
  <r>
    <d v="2026-08-12T07:24:14"/>
    <s v="19020618"/>
    <x v="11"/>
    <x v="11"/>
    <n v="20"/>
    <m/>
    <n v="20"/>
    <s v="20270721000000"/>
    <s v="디캔팅"/>
    <s v="입고"/>
    <s v="작업완료"/>
    <s v="1003"/>
    <x v="5"/>
    <s v="2026-08-12 07:22:44"/>
    <s v="월수금"/>
    <x v="2"/>
  </r>
  <r>
    <d v="2026-08-12T07:21:15"/>
    <s v="19016786"/>
    <x v="11"/>
    <x v="11"/>
    <n v="20"/>
    <m/>
    <n v="20"/>
    <s v="20270721000000"/>
    <s v="디캔팅"/>
    <s v="입고"/>
    <s v="작업완료"/>
    <s v="1003"/>
    <x v="5"/>
    <s v="2026-08-12 07:19:07"/>
    <s v="월수금"/>
    <x v="2"/>
  </r>
  <r>
    <d v="2026-08-12T07:20:55"/>
    <s v="19015285"/>
    <x v="11"/>
    <x v="11"/>
    <n v="20"/>
    <m/>
    <n v="20"/>
    <s v="20270721000000"/>
    <s v="디캔팅"/>
    <s v="입고"/>
    <s v="작업완료"/>
    <s v="1003"/>
    <x v="5"/>
    <s v="2026-08-12 07:18:57"/>
    <s v="월수금"/>
    <x v="2"/>
  </r>
  <r>
    <d v="2026-08-12T07:18:00"/>
    <s v="19018261"/>
    <x v="11"/>
    <x v="11"/>
    <n v="20"/>
    <m/>
    <n v="20"/>
    <s v="20270721000000"/>
    <s v="디캔팅"/>
    <s v="입고"/>
    <s v="작업완료"/>
    <s v="1003"/>
    <x v="5"/>
    <s v="2026-08-12 07:16:01"/>
    <s v="월수금"/>
    <x v="2"/>
  </r>
  <r>
    <d v="2026-08-12T07:17:47"/>
    <s v="19028396"/>
    <x v="11"/>
    <x v="11"/>
    <n v="20"/>
    <m/>
    <n v="20"/>
    <s v="20270721000000"/>
    <s v="디캔팅"/>
    <s v="입고"/>
    <s v="작업완료"/>
    <s v="1003"/>
    <x v="5"/>
    <s v="2026-08-12 07:16:05"/>
    <s v="월수금"/>
    <x v="2"/>
  </r>
  <r>
    <d v="2026-08-12T07:14:04"/>
    <s v="19016502"/>
    <x v="11"/>
    <x v="11"/>
    <n v="20"/>
    <m/>
    <n v="20"/>
    <s v="20270721000000"/>
    <s v="디캔팅"/>
    <s v="입고"/>
    <s v="작업완료"/>
    <s v="1003"/>
    <x v="5"/>
    <s v="2026-08-12 07:12:27"/>
    <s v="월수금"/>
    <x v="2"/>
  </r>
  <r>
    <d v="2026-08-12T07:14:03"/>
    <s v="19029383"/>
    <x v="11"/>
    <x v="11"/>
    <n v="20"/>
    <m/>
    <n v="20"/>
    <s v="20270721000000"/>
    <s v="디캔팅"/>
    <s v="입고"/>
    <s v="작업완료"/>
    <s v="1003"/>
    <x v="5"/>
    <s v="2026-08-12 07:12:31"/>
    <s v="월수금"/>
    <x v="2"/>
  </r>
  <r>
    <d v="2026-08-12T07:12:05"/>
    <s v="19021456"/>
    <x v="11"/>
    <x v="11"/>
    <n v="20"/>
    <m/>
    <n v="20"/>
    <s v="20270721000000"/>
    <s v="디캔팅"/>
    <s v="입고"/>
    <s v="작업완료"/>
    <s v="1003"/>
    <x v="5"/>
    <s v="2026-08-12 07:09:47"/>
    <s v="월수금"/>
    <x v="2"/>
  </r>
  <r>
    <d v="2026-08-12T07:11:16"/>
    <s v="19008153"/>
    <x v="11"/>
    <x v="11"/>
    <n v="20"/>
    <m/>
    <n v="20"/>
    <s v="20270721000000"/>
    <s v="디캔팅"/>
    <s v="입고"/>
    <s v="작업완료"/>
    <s v="1003"/>
    <x v="5"/>
    <s v="2026-08-12 07:09:44"/>
    <s v="월수금"/>
    <x v="2"/>
  </r>
  <r>
    <d v="2026-08-12T07:08:34"/>
    <s v="19020948"/>
    <x v="11"/>
    <x v="11"/>
    <n v="20"/>
    <m/>
    <n v="20"/>
    <s v="20270721000000"/>
    <s v="디캔팅"/>
    <s v="입고"/>
    <s v="작업완료"/>
    <s v="1003"/>
    <x v="5"/>
    <s v="2026-08-12 07:06:47"/>
    <s v="월수금"/>
    <x v="2"/>
  </r>
  <r>
    <d v="2026-08-12T07:08:22"/>
    <s v="19002903"/>
    <x v="11"/>
    <x v="11"/>
    <n v="20"/>
    <m/>
    <n v="20"/>
    <s v="20270721000000"/>
    <s v="디캔팅"/>
    <s v="입고"/>
    <s v="작업완료"/>
    <s v="1003"/>
    <x v="5"/>
    <s v="2026-08-12 07:06:43"/>
    <s v="월수금"/>
    <x v="2"/>
  </r>
  <r>
    <d v="2026-08-12T07:04:43"/>
    <s v="19018355"/>
    <x v="11"/>
    <x v="11"/>
    <n v="20"/>
    <m/>
    <n v="20"/>
    <s v="20270721000000"/>
    <s v="디캔팅"/>
    <s v="입고"/>
    <s v="작업완료"/>
    <s v="1003"/>
    <x v="5"/>
    <s v="2026-08-12 07:02:58"/>
    <s v="월수금"/>
    <x v="2"/>
  </r>
  <r>
    <d v="2026-08-12T07:04:34"/>
    <s v="19022287"/>
    <x v="11"/>
    <x v="11"/>
    <n v="20"/>
    <m/>
    <n v="20"/>
    <s v="20270721000000"/>
    <s v="디캔팅"/>
    <s v="입고"/>
    <s v="작업완료"/>
    <s v="1003"/>
    <x v="5"/>
    <s v="2026-08-12 07:03:01"/>
    <s v="월수금"/>
    <x v="2"/>
  </r>
  <r>
    <d v="2026-08-12T07:01:47"/>
    <s v="19014102"/>
    <x v="11"/>
    <x v="11"/>
    <n v="20"/>
    <m/>
    <n v="20"/>
    <s v="20270721000000"/>
    <s v="디캔팅"/>
    <s v="입고"/>
    <s v="작업완료"/>
    <s v="1003"/>
    <x v="5"/>
    <s v="2026-08-12 07:00:03"/>
    <s v="월수금"/>
    <x v="2"/>
  </r>
  <r>
    <d v="2026-08-12T07:01:25"/>
    <s v="19005107"/>
    <x v="11"/>
    <x v="11"/>
    <n v="20"/>
    <m/>
    <n v="20"/>
    <s v="20270721000000"/>
    <s v="디캔팅"/>
    <s v="입고"/>
    <s v="작업완료"/>
    <s v="1003"/>
    <x v="5"/>
    <s v="2026-08-12 06:59:58"/>
    <s v="월수금"/>
    <x v="2"/>
  </r>
  <r>
    <d v="2026-08-12T06:59:06"/>
    <s v="19013513"/>
    <x v="11"/>
    <x v="11"/>
    <n v="20"/>
    <m/>
    <n v="20"/>
    <s v="20270721000000"/>
    <s v="디캔팅"/>
    <s v="입고"/>
    <s v="작업완료"/>
    <s v="1003"/>
    <x v="5"/>
    <s v="2026-08-12 06:57:16"/>
    <s v="월수금"/>
    <x v="2"/>
  </r>
  <r>
    <d v="2026-08-12T06:58:58"/>
    <s v="19016444"/>
    <x v="11"/>
    <x v="11"/>
    <n v="20"/>
    <m/>
    <n v="20"/>
    <s v="20270721000000"/>
    <s v="디캔팅"/>
    <s v="입고"/>
    <s v="작업완료"/>
    <s v="1003"/>
    <x v="5"/>
    <s v="2026-08-12 06:57:19"/>
    <s v="월수금"/>
    <x v="2"/>
  </r>
  <r>
    <d v="2026-08-12T06:55:18"/>
    <s v="19015068"/>
    <x v="11"/>
    <x v="11"/>
    <n v="20"/>
    <m/>
    <n v="20"/>
    <s v="20270721000000"/>
    <s v="디캔팅"/>
    <s v="입고"/>
    <s v="작업완료"/>
    <s v="1003"/>
    <x v="5"/>
    <s v="2026-08-12 06:53:40"/>
    <s v="월수금"/>
    <x v="2"/>
  </r>
  <r>
    <d v="2026-08-12T06:55:13"/>
    <s v="19002638"/>
    <x v="11"/>
    <x v="11"/>
    <n v="20"/>
    <m/>
    <n v="20"/>
    <s v="20270721000000"/>
    <s v="디캔팅"/>
    <s v="입고"/>
    <s v="작업완료"/>
    <s v="1003"/>
    <x v="5"/>
    <s v="2026-08-12 06:53:37"/>
    <s v="월수금"/>
    <x v="2"/>
  </r>
  <r>
    <d v="2026-08-12T06:51:40"/>
    <s v="19019105"/>
    <x v="11"/>
    <x v="11"/>
    <n v="20"/>
    <m/>
    <n v="20"/>
    <s v="20270721000000"/>
    <s v="디캔팅"/>
    <s v="입고"/>
    <s v="작업완료"/>
    <s v="1003"/>
    <x v="5"/>
    <s v="2026-08-12 06:50:03"/>
    <s v="월수금"/>
    <x v="2"/>
  </r>
  <r>
    <d v="2026-08-12T06:51:36"/>
    <s v="19028528"/>
    <x v="11"/>
    <x v="11"/>
    <n v="20"/>
    <m/>
    <n v="20"/>
    <s v="20270721000000"/>
    <s v="디캔팅"/>
    <s v="입고"/>
    <s v="작업완료"/>
    <s v="1003"/>
    <x v="5"/>
    <s v="2026-08-12 06:50:07"/>
    <s v="월수금"/>
    <x v="2"/>
  </r>
  <r>
    <d v="2026-08-12T06:45:56"/>
    <s v="19017028"/>
    <x v="11"/>
    <x v="11"/>
    <n v="20"/>
    <m/>
    <n v="20"/>
    <s v="20270721000000"/>
    <s v="디캔팅"/>
    <s v="입고"/>
    <s v="작업완료"/>
    <s v="1003"/>
    <x v="5"/>
    <s v="2026-08-12 06:44:19"/>
    <s v="월수금"/>
    <x v="2"/>
  </r>
  <r>
    <d v="2026-08-12T06:45:50"/>
    <s v="19009317"/>
    <x v="11"/>
    <x v="11"/>
    <n v="20"/>
    <m/>
    <n v="20"/>
    <s v="20270721000000"/>
    <s v="디캔팅"/>
    <s v="입고"/>
    <s v="작업완료"/>
    <s v="1003"/>
    <x v="5"/>
    <s v="2026-08-12 06:44:16"/>
    <s v="월수금"/>
    <x v="2"/>
  </r>
  <r>
    <d v="2026-08-10T21:15:33"/>
    <s v="19030245"/>
    <x v="11"/>
    <x v="11"/>
    <n v="20"/>
    <m/>
    <n v="20"/>
    <s v="20270720150000"/>
    <s v="디캔팅"/>
    <s v="입고"/>
    <s v="작업완료"/>
    <s v="1014"/>
    <x v="10"/>
    <s v="2026-08-10 21:13:12"/>
    <s v="월수금"/>
    <x v="3"/>
  </r>
  <r>
    <d v="2026-08-10T21:15:26"/>
    <s v="19017475"/>
    <x v="11"/>
    <x v="11"/>
    <n v="20"/>
    <m/>
    <n v="20"/>
    <s v="20270720150000"/>
    <s v="디캔팅"/>
    <s v="입고"/>
    <s v="작업완료"/>
    <s v="1014"/>
    <x v="10"/>
    <s v="2026-08-10 21:13:15"/>
    <s v="월수금"/>
    <x v="3"/>
  </r>
  <r>
    <d v="2026-08-10T21:15:22"/>
    <s v="19019038"/>
    <x v="11"/>
    <x v="11"/>
    <n v="20"/>
    <m/>
    <n v="20"/>
    <s v="20270720150000"/>
    <s v="디캔팅"/>
    <s v="입고"/>
    <s v="작업완료"/>
    <s v="1014"/>
    <x v="10"/>
    <s v="2026-08-10 21:13:18"/>
    <s v="월수금"/>
    <x v="3"/>
  </r>
  <r>
    <d v="2026-08-10T21:10:49"/>
    <s v="19004720"/>
    <x v="11"/>
    <x v="11"/>
    <n v="20"/>
    <m/>
    <n v="20"/>
    <s v="20270720150000"/>
    <s v="디캔팅"/>
    <s v="입고"/>
    <s v="작업완료"/>
    <s v="1014"/>
    <x v="10"/>
    <s v="2026-08-10 21:08:39"/>
    <s v="월수금"/>
    <x v="3"/>
  </r>
  <r>
    <d v="2026-08-10T21:10:44"/>
    <s v="19016565"/>
    <x v="11"/>
    <x v="11"/>
    <n v="20"/>
    <m/>
    <n v="20"/>
    <s v="20270720150000"/>
    <s v="디캔팅"/>
    <s v="입고"/>
    <s v="작업완료"/>
    <s v="1014"/>
    <x v="10"/>
    <s v="2026-08-10 21:08:47"/>
    <s v="월수금"/>
    <x v="3"/>
  </r>
  <r>
    <d v="2026-08-10T21:10:34"/>
    <s v="19026217"/>
    <x v="11"/>
    <x v="11"/>
    <n v="20"/>
    <m/>
    <n v="20"/>
    <s v="20270720150000"/>
    <s v="디캔팅"/>
    <s v="입고"/>
    <s v="작업완료"/>
    <s v="1014"/>
    <x v="10"/>
    <s v="2026-08-10 21:08:42"/>
    <s v="월수금"/>
    <x v="3"/>
  </r>
  <r>
    <d v="2026-08-10T21:06:25"/>
    <s v="19025219"/>
    <x v="11"/>
    <x v="11"/>
    <n v="20"/>
    <m/>
    <n v="20"/>
    <s v="20270720150000"/>
    <s v="디캔팅"/>
    <s v="입고"/>
    <s v="작업완료"/>
    <s v="1014"/>
    <x v="10"/>
    <s v="2026-08-10 21:03:16"/>
    <s v="월수금"/>
    <x v="3"/>
  </r>
  <r>
    <d v="2026-08-10T21:05:44"/>
    <s v="19021717"/>
    <x v="11"/>
    <x v="11"/>
    <n v="20"/>
    <m/>
    <n v="20"/>
    <s v="20270720150000"/>
    <s v="디캔팅"/>
    <s v="입고"/>
    <s v="작업완료"/>
    <s v="1014"/>
    <x v="10"/>
    <s v="2026-08-10 21:03:20"/>
    <s v="월수금"/>
    <x v="3"/>
  </r>
  <r>
    <d v="2026-08-10T21:05:20"/>
    <s v="19025174"/>
    <x v="11"/>
    <x v="11"/>
    <n v="20"/>
    <m/>
    <n v="20"/>
    <s v="20270720150000"/>
    <s v="디캔팅"/>
    <s v="입고"/>
    <s v="작업완료"/>
    <s v="1014"/>
    <x v="10"/>
    <s v="2026-08-10 21:03:13"/>
    <s v="월수금"/>
    <x v="3"/>
  </r>
  <r>
    <d v="2026-08-10T20:59:08"/>
    <s v="19015209"/>
    <x v="11"/>
    <x v="11"/>
    <n v="20"/>
    <m/>
    <n v="20"/>
    <s v="20270720150000"/>
    <s v="디캔팅"/>
    <s v="입고"/>
    <s v="작업완료"/>
    <s v="1014"/>
    <x v="10"/>
    <s v="2026-08-10 20:56:33"/>
    <s v="월수금"/>
    <x v="3"/>
  </r>
  <r>
    <d v="2026-08-10T20:58:39"/>
    <s v="19006030"/>
    <x v="11"/>
    <x v="11"/>
    <n v="20"/>
    <m/>
    <n v="20"/>
    <s v="20270720150000"/>
    <s v="디캔팅"/>
    <s v="입고"/>
    <s v="작업완료"/>
    <s v="1014"/>
    <x v="10"/>
    <s v="2026-08-10 20:56:28"/>
    <s v="월수금"/>
    <x v="3"/>
  </r>
  <r>
    <d v="2026-08-10T20:58:37"/>
    <s v="19003081"/>
    <x v="11"/>
    <x v="11"/>
    <n v="20"/>
    <m/>
    <n v="20"/>
    <s v="20270720150000"/>
    <s v="디캔팅"/>
    <s v="입고"/>
    <s v="작업완료"/>
    <s v="1014"/>
    <x v="10"/>
    <s v="2026-08-10 20:56:30"/>
    <s v="월수금"/>
    <x v="3"/>
  </r>
  <r>
    <d v="2026-08-10T20:54:37"/>
    <s v="19023666"/>
    <x v="11"/>
    <x v="11"/>
    <n v="20"/>
    <m/>
    <n v="20"/>
    <s v="20270720150000"/>
    <s v="디캔팅"/>
    <s v="입고"/>
    <s v="작업완료"/>
    <s v="1014"/>
    <x v="10"/>
    <s v="2026-08-10 20:52:33"/>
    <s v="월수금"/>
    <x v="3"/>
  </r>
  <r>
    <d v="2026-08-10T20:54:34"/>
    <s v="19009499"/>
    <x v="11"/>
    <x v="11"/>
    <n v="20"/>
    <m/>
    <n v="20"/>
    <s v="20270720150000"/>
    <s v="디캔팅"/>
    <s v="입고"/>
    <s v="작업완료"/>
    <s v="1014"/>
    <x v="10"/>
    <s v="2026-08-10 20:52:30"/>
    <s v="월수금"/>
    <x v="3"/>
  </r>
  <r>
    <d v="2026-08-10T20:54:32"/>
    <s v="19007116"/>
    <x v="11"/>
    <x v="11"/>
    <n v="20"/>
    <m/>
    <n v="20"/>
    <s v="20270720150000"/>
    <s v="디캔팅"/>
    <s v="입고"/>
    <s v="작업완료"/>
    <s v="1014"/>
    <x v="10"/>
    <s v="2026-08-10 20:52:27"/>
    <s v="월수금"/>
    <x v="3"/>
  </r>
  <r>
    <d v="2026-08-10T20:49:52"/>
    <s v="19003362"/>
    <x v="11"/>
    <x v="11"/>
    <n v="20"/>
    <m/>
    <n v="20"/>
    <s v="20270720150000"/>
    <s v="디캔팅"/>
    <s v="입고"/>
    <s v="작업완료"/>
    <s v="1014"/>
    <x v="10"/>
    <s v="2026-08-10 20:46:50"/>
    <s v="월수금"/>
    <x v="3"/>
  </r>
  <r>
    <d v="2026-08-10T20:48:54"/>
    <s v="19004619"/>
    <x v="11"/>
    <x v="11"/>
    <n v="20"/>
    <m/>
    <n v="20"/>
    <s v="20270720150000"/>
    <s v="디캔팅"/>
    <s v="입고"/>
    <s v="작업완료"/>
    <s v="1014"/>
    <x v="10"/>
    <s v="2026-08-10 20:46:44"/>
    <s v="월수금"/>
    <x v="3"/>
  </r>
  <r>
    <d v="2026-08-10T20:48:51"/>
    <s v="19005944"/>
    <x v="11"/>
    <x v="11"/>
    <n v="20"/>
    <m/>
    <n v="20"/>
    <s v="20270720150000"/>
    <s v="디캔팅"/>
    <s v="입고"/>
    <s v="작업완료"/>
    <s v="1014"/>
    <x v="10"/>
    <s v="2026-08-10 20:46:47"/>
    <s v="월수금"/>
    <x v="3"/>
  </r>
  <r>
    <d v="2026-08-10T20:41:54"/>
    <s v="19013404"/>
    <x v="11"/>
    <x v="11"/>
    <n v="20"/>
    <m/>
    <n v="20"/>
    <s v="20270720150000"/>
    <s v="디캔팅"/>
    <s v="입고"/>
    <s v="작업완료"/>
    <s v="1014"/>
    <x v="10"/>
    <s v="2026-08-10 20:39:20"/>
    <s v="월수금"/>
    <x v="3"/>
  </r>
  <r>
    <d v="2026-08-10T20:41:41"/>
    <s v="19000478"/>
    <x v="11"/>
    <x v="11"/>
    <n v="20"/>
    <m/>
    <n v="20"/>
    <s v="20270720150000"/>
    <s v="디캔팅"/>
    <s v="입고"/>
    <s v="작업완료"/>
    <s v="1014"/>
    <x v="10"/>
    <s v="2026-08-10 20:39:14"/>
    <s v="월수금"/>
    <x v="3"/>
  </r>
  <r>
    <d v="2026-08-10T20:41:09"/>
    <s v="19015790"/>
    <x v="11"/>
    <x v="11"/>
    <n v="20"/>
    <m/>
    <n v="20"/>
    <s v="20270720150000"/>
    <s v="디캔팅"/>
    <s v="입고"/>
    <s v="작업완료"/>
    <s v="1014"/>
    <x v="10"/>
    <s v="2026-08-10 20:39:17"/>
    <s v="월수금"/>
    <x v="3"/>
  </r>
  <r>
    <d v="2026-08-10T20:37:52"/>
    <s v="19016841"/>
    <x v="11"/>
    <x v="11"/>
    <n v="20"/>
    <m/>
    <n v="20"/>
    <s v="20270720150000"/>
    <s v="디캔팅"/>
    <s v="입고"/>
    <s v="작업완료"/>
    <s v="1014"/>
    <x v="10"/>
    <s v="2026-08-10 20:34:59"/>
    <s v="월수금"/>
    <x v="3"/>
  </r>
  <r>
    <d v="2026-08-10T20:37:52"/>
    <s v="19025604"/>
    <x v="11"/>
    <x v="11"/>
    <n v="20"/>
    <m/>
    <n v="20"/>
    <s v="20270720150000"/>
    <s v="디캔팅"/>
    <s v="입고"/>
    <s v="작업완료"/>
    <s v="1014"/>
    <x v="10"/>
    <s v="2026-08-10 20:34:55"/>
    <s v="월수금"/>
    <x v="3"/>
  </r>
  <r>
    <d v="2026-08-10T20:37:35"/>
    <s v="19010926"/>
    <x v="11"/>
    <x v="11"/>
    <n v="20"/>
    <m/>
    <n v="20"/>
    <s v="20270720150000"/>
    <s v="디캔팅"/>
    <s v="입고"/>
    <s v="작업완료"/>
    <s v="1014"/>
    <x v="10"/>
    <s v="2026-08-10 20:35:02"/>
    <s v="월수금"/>
    <x v="3"/>
  </r>
  <r>
    <d v="2026-08-10T07:22:48"/>
    <s v="19001450"/>
    <x v="11"/>
    <x v="11"/>
    <n v="20"/>
    <m/>
    <n v="20"/>
    <s v="20270721000000"/>
    <s v="디캔팅"/>
    <s v="입고"/>
    <s v="작업완료"/>
    <s v="1014"/>
    <x v="10"/>
    <s v="2026-08-10 07:20:40"/>
    <s v="월수금"/>
    <x v="3"/>
  </r>
  <r>
    <d v="2026-08-10T07:22:39"/>
    <s v="19023056"/>
    <x v="11"/>
    <x v="11"/>
    <n v="20"/>
    <m/>
    <n v="20"/>
    <s v="20270721000000"/>
    <s v="디캔팅"/>
    <s v="입고"/>
    <s v="작업완료"/>
    <s v="1014"/>
    <x v="10"/>
    <s v="2026-08-10 07:20:30"/>
    <s v="월수금"/>
    <x v="3"/>
  </r>
  <r>
    <d v="2026-08-10T07:22:38"/>
    <s v="19018056"/>
    <x v="11"/>
    <x v="11"/>
    <n v="20"/>
    <m/>
    <n v="20"/>
    <s v="20270721000000"/>
    <s v="디캔팅"/>
    <s v="입고"/>
    <s v="작업완료"/>
    <s v="1014"/>
    <x v="10"/>
    <s v="2026-08-10 07:20:34"/>
    <s v="월수금"/>
    <x v="3"/>
  </r>
  <r>
    <d v="2026-08-10T07:16:15"/>
    <s v="19014326"/>
    <x v="11"/>
    <x v="11"/>
    <n v="20"/>
    <m/>
    <n v="20"/>
    <s v="20270721000000"/>
    <s v="디캔팅"/>
    <s v="입고"/>
    <s v="작업완료"/>
    <s v="1014"/>
    <x v="10"/>
    <s v="2026-08-10 07:14:05"/>
    <s v="월수금"/>
    <x v="3"/>
  </r>
  <r>
    <d v="2026-08-10T07:16:13"/>
    <s v="19023255"/>
    <x v="11"/>
    <x v="11"/>
    <n v="20"/>
    <m/>
    <n v="20"/>
    <s v="20270721000000"/>
    <s v="디캔팅"/>
    <s v="입고"/>
    <s v="작업완료"/>
    <s v="1014"/>
    <x v="10"/>
    <s v="2026-08-10 07:13:58"/>
    <s v="월수금"/>
    <x v="3"/>
  </r>
  <r>
    <d v="2026-08-10T07:15:52"/>
    <s v="19027795"/>
    <x v="11"/>
    <x v="11"/>
    <n v="20"/>
    <m/>
    <n v="20"/>
    <s v="20270721000000"/>
    <s v="디캔팅"/>
    <s v="입고"/>
    <s v="작업완료"/>
    <s v="1014"/>
    <x v="10"/>
    <s v="2026-08-10 07:13:52"/>
    <s v="월수금"/>
    <x v="3"/>
  </r>
  <r>
    <d v="2026-08-10T07:11:25"/>
    <s v="19009424"/>
    <x v="11"/>
    <x v="11"/>
    <n v="20"/>
    <m/>
    <n v="20"/>
    <s v="20270721000000"/>
    <s v="디캔팅"/>
    <s v="입고"/>
    <s v="작업완료"/>
    <s v="1014"/>
    <x v="10"/>
    <s v="2026-08-10 07:09:16"/>
    <s v="월수금"/>
    <x v="3"/>
  </r>
  <r>
    <d v="2026-08-10T07:11:06"/>
    <s v="19004394"/>
    <x v="11"/>
    <x v="11"/>
    <n v="20"/>
    <m/>
    <n v="20"/>
    <s v="20270721000000"/>
    <s v="디캔팅"/>
    <s v="입고"/>
    <s v="작업완료"/>
    <s v="1014"/>
    <x v="10"/>
    <s v="2026-08-10 07:09:10"/>
    <s v="월수금"/>
    <x v="3"/>
  </r>
  <r>
    <d v="2026-08-10T07:10:52"/>
    <s v="19008645"/>
    <x v="11"/>
    <x v="11"/>
    <n v="20"/>
    <m/>
    <n v="20"/>
    <s v="20270721000000"/>
    <s v="디캔팅"/>
    <s v="입고"/>
    <s v="작업완료"/>
    <s v="1014"/>
    <x v="10"/>
    <s v="2026-08-10 07:09:06"/>
    <s v="월수금"/>
    <x v="3"/>
  </r>
  <r>
    <d v="2026-08-10T07:07:16"/>
    <s v="19005438"/>
    <x v="11"/>
    <x v="11"/>
    <n v="20"/>
    <m/>
    <n v="20"/>
    <s v="20270721000000"/>
    <s v="디캔팅"/>
    <s v="입고"/>
    <s v="작업완료"/>
    <s v="1014"/>
    <x v="10"/>
    <s v="2026-08-10 07:05:02"/>
    <s v="월수금"/>
    <x v="3"/>
  </r>
  <r>
    <d v="2026-08-10T07:07:09"/>
    <s v="19011317"/>
    <x v="11"/>
    <x v="11"/>
    <n v="20"/>
    <m/>
    <n v="20"/>
    <s v="20270721000000"/>
    <s v="디캔팅"/>
    <s v="입고"/>
    <s v="작업완료"/>
    <s v="1014"/>
    <x v="10"/>
    <s v="2026-08-10 07:05:08"/>
    <s v="월수금"/>
    <x v="3"/>
  </r>
  <r>
    <d v="2026-08-10T07:07:04"/>
    <s v="19010067"/>
    <x v="11"/>
    <x v="11"/>
    <n v="20"/>
    <m/>
    <n v="20"/>
    <s v="20270721000000"/>
    <s v="디캔팅"/>
    <s v="입고"/>
    <s v="작업완료"/>
    <s v="1014"/>
    <x v="10"/>
    <s v="2026-08-10 07:04:56"/>
    <s v="월수금"/>
    <x v="3"/>
  </r>
  <r>
    <d v="2026-08-10T07:00:10"/>
    <s v="19017568"/>
    <x v="11"/>
    <x v="11"/>
    <n v="20"/>
    <m/>
    <n v="20"/>
    <s v="20270721000000"/>
    <s v="디캔팅"/>
    <s v="입고"/>
    <s v="작업완료"/>
    <s v="1014"/>
    <x v="10"/>
    <s v="2026-08-10 06:58:02"/>
    <s v="월수금"/>
    <x v="3"/>
  </r>
  <r>
    <d v="2026-08-10T06:59:53"/>
    <s v="19025731"/>
    <x v="11"/>
    <x v="11"/>
    <n v="20"/>
    <m/>
    <n v="20"/>
    <s v="20270721000000"/>
    <s v="디캔팅"/>
    <s v="입고"/>
    <s v="작업완료"/>
    <s v="1014"/>
    <x v="10"/>
    <s v="2026-08-10 06:57:57"/>
    <s v="월수금"/>
    <x v="3"/>
  </r>
  <r>
    <d v="2026-08-10T06:58:13"/>
    <s v="19010649"/>
    <x v="11"/>
    <x v="11"/>
    <n v="20"/>
    <m/>
    <n v="20"/>
    <s v="20270721000000"/>
    <s v="디캔팅"/>
    <s v="입고"/>
    <s v="작업완료"/>
    <s v="1014"/>
    <x v="10"/>
    <s v="2026-08-10 06:56:04"/>
    <s v="월수금"/>
    <x v="3"/>
  </r>
  <r>
    <d v="2026-08-10T06:58:00"/>
    <s v="19027085"/>
    <x v="11"/>
    <x v="11"/>
    <n v="20"/>
    <m/>
    <n v="20"/>
    <s v="20270721000000"/>
    <s v="디캔팅"/>
    <s v="입고"/>
    <s v="작업완료"/>
    <s v="1014"/>
    <x v="10"/>
    <s v="2026-08-10 06:55:58"/>
    <s v="월수금"/>
    <x v="3"/>
  </r>
  <r>
    <d v="2026-08-10T06:53:18"/>
    <s v="19016600"/>
    <x v="11"/>
    <x v="11"/>
    <n v="20"/>
    <m/>
    <n v="20"/>
    <s v="20270721000000"/>
    <s v="디캔팅"/>
    <s v="입고"/>
    <s v="작업완료"/>
    <s v="1014"/>
    <x v="10"/>
    <s v="2026-08-10 06:51:18"/>
    <s v="월수금"/>
    <x v="3"/>
  </r>
  <r>
    <d v="2026-08-10T06:53:16"/>
    <s v="19006729"/>
    <x v="11"/>
    <x v="11"/>
    <n v="20"/>
    <m/>
    <n v="20"/>
    <s v="20270721000000"/>
    <s v="디캔팅"/>
    <s v="입고"/>
    <s v="작업완료"/>
    <s v="1014"/>
    <x v="10"/>
    <s v="2026-08-10 06:51:13"/>
    <s v="월수금"/>
    <x v="3"/>
  </r>
  <r>
    <d v="2026-08-10T06:50:47"/>
    <s v="19007980"/>
    <x v="11"/>
    <x v="11"/>
    <n v="20"/>
    <m/>
    <n v="20"/>
    <s v="20270721000000"/>
    <s v="디캔팅"/>
    <s v="입고"/>
    <s v="작업완료"/>
    <s v="1014"/>
    <x v="10"/>
    <s v="2026-08-10 06:48:37"/>
    <s v="월수금"/>
    <x v="3"/>
  </r>
  <r>
    <d v="2026-08-10T06:50:33"/>
    <s v="19008062"/>
    <x v="11"/>
    <x v="11"/>
    <n v="20"/>
    <m/>
    <n v="20"/>
    <s v="20270721000000"/>
    <s v="디캔팅"/>
    <s v="입고"/>
    <s v="작업완료"/>
    <s v="1014"/>
    <x v="10"/>
    <s v="2026-08-10 06:48:43"/>
    <s v="월수금"/>
    <x v="3"/>
  </r>
  <r>
    <d v="2026-08-10T06:47:12"/>
    <s v="19003910"/>
    <x v="11"/>
    <x v="11"/>
    <n v="20"/>
    <m/>
    <n v="20"/>
    <s v="20270721000000"/>
    <s v="디캔팅"/>
    <s v="입고"/>
    <s v="작업완료"/>
    <s v="1014"/>
    <x v="10"/>
    <s v="2026-08-10 06:45:01"/>
    <s v="월수금"/>
    <x v="3"/>
  </r>
  <r>
    <d v="2026-08-10T06:46:57"/>
    <s v="19010572"/>
    <x v="11"/>
    <x v="11"/>
    <n v="20"/>
    <m/>
    <n v="20"/>
    <s v="20270721000000"/>
    <s v="디캔팅"/>
    <s v="입고"/>
    <s v="작업완료"/>
    <s v="1014"/>
    <x v="10"/>
    <s v="2026-08-10 06:45:07"/>
    <s v="월수금"/>
    <x v="3"/>
  </r>
  <r>
    <d v="2026-08-10T06:43:17"/>
    <s v="19010372"/>
    <x v="11"/>
    <x v="11"/>
    <n v="20"/>
    <m/>
    <n v="20"/>
    <s v="20270721000000"/>
    <s v="디캔팅"/>
    <s v="입고"/>
    <s v="작업완료"/>
    <s v="1014"/>
    <x v="10"/>
    <s v="2026-08-10 06:41:13"/>
    <s v="월수금"/>
    <x v="3"/>
  </r>
  <r>
    <d v="2026-08-10T06:43:07"/>
    <s v="19001073"/>
    <x v="11"/>
    <x v="11"/>
    <n v="20"/>
    <m/>
    <n v="20"/>
    <s v="20270721000000"/>
    <s v="디캔팅"/>
    <s v="입고"/>
    <s v="작업완료"/>
    <s v="1014"/>
    <x v="10"/>
    <s v="2026-08-10 06:41:09"/>
    <s v="월수금"/>
    <x v="3"/>
  </r>
  <r>
    <d v="2026-08-15T17:04:10"/>
    <s v="19013017"/>
    <x v="12"/>
    <x v="12"/>
    <n v="12"/>
    <m/>
    <n v="12"/>
    <s v="20270726150000"/>
    <s v="디캔팅"/>
    <s v="입고"/>
    <s v="작업완료"/>
    <s v="1013"/>
    <x v="1"/>
    <s v="2026-08-15 16:53:16"/>
    <s v="월수금"/>
    <x v="0"/>
  </r>
  <r>
    <d v="2026-08-15T16:58:36"/>
    <s v="19008512"/>
    <x v="12"/>
    <x v="12"/>
    <n v="6"/>
    <m/>
    <n v="6"/>
    <s v="20270726150000"/>
    <s v="디캔팅"/>
    <s v="입고"/>
    <s v="작업완료"/>
    <s v="1013"/>
    <x v="1"/>
    <s v="2026-08-15 16:55:16"/>
    <s v="월수금"/>
    <x v="0"/>
  </r>
  <r>
    <d v="2026-08-15T16:58:35"/>
    <s v="19026191"/>
    <x v="12"/>
    <x v="12"/>
    <n v="12"/>
    <m/>
    <n v="12"/>
    <s v="20270726150000"/>
    <s v="디캔팅"/>
    <s v="입고"/>
    <s v="작업완료"/>
    <s v="1013"/>
    <x v="1"/>
    <s v="2026-08-15 16:54:46"/>
    <s v="월수금"/>
    <x v="0"/>
  </r>
  <r>
    <d v="2026-08-15T16:58:30"/>
    <s v="19008019"/>
    <x v="12"/>
    <x v="12"/>
    <n v="12"/>
    <m/>
    <n v="12"/>
    <s v="20270726150000"/>
    <s v="디캔팅"/>
    <s v="입고"/>
    <s v="작업완료"/>
    <s v="1013"/>
    <x v="1"/>
    <s v="2026-08-15 16:54:39"/>
    <s v="월수금"/>
    <x v="0"/>
  </r>
  <r>
    <d v="2026-08-15T16:55:35"/>
    <s v="19002747"/>
    <x v="12"/>
    <x v="12"/>
    <n v="12"/>
    <m/>
    <n v="12"/>
    <s v="20270726150000"/>
    <s v="디캔팅"/>
    <s v="입고"/>
    <s v="작업완료"/>
    <s v="1013"/>
    <x v="1"/>
    <s v="2026-08-15 16:52:02"/>
    <s v="월수금"/>
    <x v="0"/>
  </r>
  <r>
    <d v="2026-08-15T16:55:04"/>
    <s v="19001433"/>
    <x v="12"/>
    <x v="12"/>
    <n v="12"/>
    <m/>
    <n v="12"/>
    <s v="20270726150000"/>
    <s v="디캔팅"/>
    <s v="입고"/>
    <s v="작업완료"/>
    <s v="1013"/>
    <x v="1"/>
    <s v="2026-08-15 16:53:24"/>
    <s v="월수금"/>
    <x v="0"/>
  </r>
  <r>
    <d v="2026-08-15T16:53:42"/>
    <s v="19005298"/>
    <x v="12"/>
    <x v="12"/>
    <n v="12"/>
    <m/>
    <n v="12"/>
    <s v="20270726150000"/>
    <s v="디캔팅"/>
    <s v="입고"/>
    <s v="작업완료"/>
    <s v="1013"/>
    <x v="1"/>
    <s v="2026-08-15 16:51:53"/>
    <s v="월수금"/>
    <x v="0"/>
  </r>
  <r>
    <d v="2026-08-15T16:52:46"/>
    <s v="19022210"/>
    <x v="12"/>
    <x v="12"/>
    <n v="12"/>
    <m/>
    <n v="12"/>
    <s v="20270726150000"/>
    <s v="디캔팅"/>
    <s v="입고"/>
    <s v="작업완료"/>
    <s v="1013"/>
    <x v="1"/>
    <s v="2026-08-15 16:50:41"/>
    <s v="월수금"/>
    <x v="0"/>
  </r>
  <r>
    <d v="2026-08-15T16:52:17"/>
    <s v="19003834"/>
    <x v="12"/>
    <x v="12"/>
    <n v="12"/>
    <m/>
    <n v="12"/>
    <s v="20270726150000"/>
    <s v="디캔팅"/>
    <s v="입고"/>
    <s v="작업완료"/>
    <s v="1013"/>
    <x v="1"/>
    <s v="2026-08-15 16:50:29"/>
    <s v="월수금"/>
    <x v="0"/>
  </r>
  <r>
    <d v="2026-08-15T16:32:18"/>
    <s v="19019724"/>
    <x v="12"/>
    <x v="12"/>
    <n v="12"/>
    <m/>
    <n v="12"/>
    <s v="20270726150000"/>
    <s v="디캔팅"/>
    <s v="입고"/>
    <s v="작업완료"/>
    <s v="1013"/>
    <x v="1"/>
    <s v="2026-08-15 16:30:26"/>
    <s v="월수금"/>
    <x v="0"/>
  </r>
  <r>
    <d v="2026-08-15T16:31:56"/>
    <s v="19003278"/>
    <x v="12"/>
    <x v="12"/>
    <n v="12"/>
    <m/>
    <n v="12"/>
    <s v="20270726150000"/>
    <s v="디캔팅"/>
    <s v="입고"/>
    <s v="작업완료"/>
    <s v="1013"/>
    <x v="1"/>
    <s v="2026-08-15 16:30:17"/>
    <s v="월수금"/>
    <x v="0"/>
  </r>
  <r>
    <d v="2026-08-15T16:31:36"/>
    <s v="19011925"/>
    <x v="12"/>
    <x v="12"/>
    <n v="12"/>
    <m/>
    <n v="12"/>
    <s v="20270726150000"/>
    <s v="디캔팅"/>
    <s v="입고"/>
    <s v="작업완료"/>
    <s v="1013"/>
    <x v="1"/>
    <s v="2026-08-15 16:28:57"/>
    <s v="월수금"/>
    <x v="0"/>
  </r>
  <r>
    <d v="2026-08-15T16:30:36"/>
    <s v="19009728"/>
    <x v="12"/>
    <x v="12"/>
    <n v="12"/>
    <m/>
    <n v="12"/>
    <s v="20270726150000"/>
    <s v="디캔팅"/>
    <s v="입고"/>
    <s v="작업완료"/>
    <s v="1013"/>
    <x v="1"/>
    <s v="2026-08-15 16:28:51"/>
    <s v="월수금"/>
    <x v="0"/>
  </r>
  <r>
    <d v="2026-08-15T16:29:37"/>
    <s v="19023673"/>
    <x v="12"/>
    <x v="12"/>
    <n v="12"/>
    <m/>
    <n v="12"/>
    <s v="20270726150000"/>
    <s v="디캔팅"/>
    <s v="입고"/>
    <s v="작업완료"/>
    <s v="1013"/>
    <x v="1"/>
    <s v="2026-08-15 16:27:39"/>
    <s v="월수금"/>
    <x v="0"/>
  </r>
  <r>
    <d v="2026-08-15T16:29:36"/>
    <s v="19026979"/>
    <x v="12"/>
    <x v="12"/>
    <n v="12"/>
    <m/>
    <n v="12"/>
    <s v="20270726150000"/>
    <s v="디캔팅"/>
    <s v="입고"/>
    <s v="작업완료"/>
    <s v="1013"/>
    <x v="1"/>
    <s v="2026-08-15 16:27:45"/>
    <s v="월수금"/>
    <x v="0"/>
  </r>
  <r>
    <d v="2026-08-15T16:28:40"/>
    <s v="19006424"/>
    <x v="12"/>
    <x v="12"/>
    <n v="12"/>
    <m/>
    <n v="12"/>
    <s v="20270726150000"/>
    <s v="디캔팅"/>
    <s v="입고"/>
    <s v="작업완료"/>
    <s v="1013"/>
    <x v="1"/>
    <s v="2026-08-15 16:26:35"/>
    <s v="월수금"/>
    <x v="0"/>
  </r>
  <r>
    <d v="2026-08-15T16:28:19"/>
    <s v="19009930"/>
    <x v="12"/>
    <x v="12"/>
    <n v="12"/>
    <m/>
    <n v="12"/>
    <s v="20270726150000"/>
    <s v="디캔팅"/>
    <s v="입고"/>
    <s v="작업완료"/>
    <s v="1013"/>
    <x v="1"/>
    <s v="2026-08-15 16:26:25"/>
    <s v="월수금"/>
    <x v="0"/>
  </r>
  <r>
    <d v="2026-08-15T16:27:22"/>
    <s v="19012007"/>
    <x v="12"/>
    <x v="12"/>
    <n v="12"/>
    <m/>
    <n v="12"/>
    <s v="20270726150000"/>
    <s v="디캔팅"/>
    <s v="입고"/>
    <s v="작업완료"/>
    <s v="1013"/>
    <x v="1"/>
    <s v="2026-08-15 16:25:03"/>
    <s v="월수금"/>
    <x v="0"/>
  </r>
  <r>
    <d v="2026-08-15T16:27:20"/>
    <s v="19015491"/>
    <x v="12"/>
    <x v="12"/>
    <n v="12"/>
    <m/>
    <n v="12"/>
    <s v="20270726150000"/>
    <s v="디캔팅"/>
    <s v="입고"/>
    <s v="작업완료"/>
    <s v="1013"/>
    <x v="1"/>
    <s v="2026-08-15 16:25:10"/>
    <s v="월수금"/>
    <x v="0"/>
  </r>
  <r>
    <d v="2026-08-15T16:25:50"/>
    <s v="19005102"/>
    <x v="12"/>
    <x v="12"/>
    <n v="12"/>
    <m/>
    <n v="12"/>
    <s v="20270726150000"/>
    <s v="디캔팅"/>
    <s v="입고"/>
    <s v="작업완료"/>
    <s v="1013"/>
    <x v="1"/>
    <s v="2026-08-15 16:23:51"/>
    <s v="월수금"/>
    <x v="0"/>
  </r>
  <r>
    <d v="2026-08-14T15:05:07"/>
    <s v="19004453"/>
    <x v="12"/>
    <x v="12"/>
    <n v="12"/>
    <m/>
    <n v="12"/>
    <s v="20270725150000"/>
    <s v="디캔팅"/>
    <s v="입고"/>
    <s v="작업완료"/>
    <s v="1001"/>
    <x v="13"/>
    <s v="2026-08-14 15:02:06"/>
    <s v="월수금"/>
    <x v="1"/>
  </r>
  <r>
    <d v="2026-08-14T15:01:55"/>
    <s v="19904453"/>
    <x v="12"/>
    <x v="12"/>
    <n v="12"/>
    <m/>
    <n v="12"/>
    <s v="20270725150000"/>
    <s v="디캔팅"/>
    <s v="입고"/>
    <s v="작업취소"/>
    <s v="1001"/>
    <x v="13"/>
    <s v="2026-08-14 15:01:55"/>
    <s v="월수금"/>
    <x v="1"/>
  </r>
  <r>
    <d v="2026-08-14T14:20:38"/>
    <s v="19029256"/>
    <x v="12"/>
    <x v="12"/>
    <n v="6"/>
    <m/>
    <n v="6"/>
    <s v="20270725150000"/>
    <s v="디캔팅"/>
    <s v="입고"/>
    <s v="작업완료"/>
    <s v="1010"/>
    <x v="7"/>
    <s v="2026-08-14 14:18:32"/>
    <s v="월수금"/>
    <x v="1"/>
  </r>
  <r>
    <d v="2026-08-14T14:20:02"/>
    <s v="19013994"/>
    <x v="12"/>
    <x v="12"/>
    <n v="12"/>
    <m/>
    <n v="12"/>
    <s v="20270725150000"/>
    <s v="디캔팅"/>
    <s v="입고"/>
    <s v="작업완료"/>
    <s v="1010"/>
    <x v="7"/>
    <s v="2026-08-14 14:18:24"/>
    <s v="월수금"/>
    <x v="1"/>
  </r>
  <r>
    <d v="2026-08-14T14:19:31"/>
    <s v="19015182"/>
    <x v="12"/>
    <x v="12"/>
    <n v="12"/>
    <m/>
    <n v="12"/>
    <s v="20270725150000"/>
    <s v="디캔팅"/>
    <s v="입고"/>
    <s v="작업완료"/>
    <s v="1010"/>
    <x v="7"/>
    <s v="2026-08-14 14:17:16"/>
    <s v="월수금"/>
    <x v="1"/>
  </r>
  <r>
    <d v="2026-08-14T14:19:18"/>
    <s v="19022683"/>
    <x v="12"/>
    <x v="12"/>
    <n v="12"/>
    <m/>
    <n v="12"/>
    <s v="20270725150000"/>
    <s v="디캔팅"/>
    <s v="입고"/>
    <s v="작업완료"/>
    <s v="1010"/>
    <x v="7"/>
    <s v="2026-08-14 14:17:10"/>
    <s v="월수금"/>
    <x v="1"/>
  </r>
  <r>
    <d v="2026-08-14T14:18:42"/>
    <s v="19008182"/>
    <x v="12"/>
    <x v="12"/>
    <n v="12"/>
    <m/>
    <n v="12"/>
    <s v="20270725150000"/>
    <s v="디캔팅"/>
    <s v="입고"/>
    <s v="작업완료"/>
    <s v="1010"/>
    <x v="7"/>
    <s v="2026-08-14 14:16:14"/>
    <s v="월수금"/>
    <x v="1"/>
  </r>
  <r>
    <d v="2026-08-14T14:18:36"/>
    <s v="19027502"/>
    <x v="12"/>
    <x v="12"/>
    <n v="12"/>
    <m/>
    <n v="12"/>
    <s v="20270725150000"/>
    <s v="디캔팅"/>
    <s v="입고"/>
    <s v="작업완료"/>
    <s v="1010"/>
    <x v="7"/>
    <s v="2026-08-14 14:16:03"/>
    <s v="월수금"/>
    <x v="1"/>
  </r>
  <r>
    <d v="2026-08-14T14:17:01"/>
    <s v="19001120"/>
    <x v="12"/>
    <x v="12"/>
    <n v="12"/>
    <m/>
    <n v="12"/>
    <s v="20270725150000"/>
    <s v="디캔팅"/>
    <s v="입고"/>
    <s v="작업완료"/>
    <s v="1010"/>
    <x v="7"/>
    <s v="2026-08-14 14:14:58"/>
    <s v="월수금"/>
    <x v="1"/>
  </r>
  <r>
    <d v="2026-08-14T14:16:40"/>
    <s v="19020044"/>
    <x v="12"/>
    <x v="12"/>
    <n v="12"/>
    <m/>
    <n v="12"/>
    <s v="20270725150000"/>
    <s v="디캔팅"/>
    <s v="입고"/>
    <s v="작업완료"/>
    <s v="1010"/>
    <x v="7"/>
    <s v="2026-08-14 14:15:04"/>
    <s v="월수금"/>
    <x v="1"/>
  </r>
  <r>
    <d v="2026-08-14T14:16:01"/>
    <s v="19016244"/>
    <x v="12"/>
    <x v="12"/>
    <n v="12"/>
    <m/>
    <n v="12"/>
    <s v="20270725150000"/>
    <s v="디캔팅"/>
    <s v="입고"/>
    <s v="작업완료"/>
    <s v="1010"/>
    <x v="7"/>
    <s v="2026-08-14 14:13:55"/>
    <s v="월수금"/>
    <x v="1"/>
  </r>
  <r>
    <d v="2026-08-14T14:15:51"/>
    <s v="19028342"/>
    <x v="12"/>
    <x v="12"/>
    <n v="12"/>
    <m/>
    <n v="12"/>
    <s v="20270725150000"/>
    <s v="디캔팅"/>
    <s v="입고"/>
    <s v="작업완료"/>
    <s v="1010"/>
    <x v="7"/>
    <s v="2026-08-14 14:13:49"/>
    <s v="월수금"/>
    <x v="1"/>
  </r>
  <r>
    <d v="2026-08-14T14:14:30"/>
    <s v="19024379"/>
    <x v="12"/>
    <x v="12"/>
    <n v="12"/>
    <m/>
    <n v="12"/>
    <s v="20270725150000"/>
    <s v="디캔팅"/>
    <s v="입고"/>
    <s v="작업완료"/>
    <s v="1010"/>
    <x v="7"/>
    <s v="2026-08-14 14:12:26"/>
    <s v="월수금"/>
    <x v="1"/>
  </r>
  <r>
    <d v="2026-08-14T14:14:13"/>
    <s v="19012639"/>
    <x v="12"/>
    <x v="12"/>
    <n v="12"/>
    <m/>
    <n v="12"/>
    <s v="20270725150000"/>
    <s v="디캔팅"/>
    <s v="입고"/>
    <s v="작업완료"/>
    <s v="1010"/>
    <x v="7"/>
    <s v="2026-08-14 14:12:32"/>
    <s v="월수금"/>
    <x v="1"/>
  </r>
  <r>
    <d v="2026-08-14T14:13:15"/>
    <s v="19005298"/>
    <x v="12"/>
    <x v="12"/>
    <n v="12"/>
    <m/>
    <n v="12"/>
    <s v="20270725150000"/>
    <s v="디캔팅"/>
    <s v="입고"/>
    <s v="작업완료"/>
    <s v="1010"/>
    <x v="7"/>
    <s v="2026-08-14 14:11:22"/>
    <s v="월수금"/>
    <x v="1"/>
  </r>
  <r>
    <d v="2026-08-14T14:13:03"/>
    <s v="19010557"/>
    <x v="12"/>
    <x v="12"/>
    <n v="12"/>
    <m/>
    <n v="12"/>
    <s v="20270725150000"/>
    <s v="디캔팅"/>
    <s v="입고"/>
    <s v="작업완료"/>
    <s v="1010"/>
    <x v="7"/>
    <s v="2026-08-14 14:11:16"/>
    <s v="월수금"/>
    <x v="1"/>
  </r>
  <r>
    <d v="2026-08-14T14:11:55"/>
    <s v="19007325"/>
    <x v="12"/>
    <x v="12"/>
    <n v="12"/>
    <m/>
    <n v="12"/>
    <s v="20270725150000"/>
    <s v="디캔팅"/>
    <s v="입고"/>
    <s v="작업완료"/>
    <s v="1010"/>
    <x v="7"/>
    <s v="2026-08-14 14:09:12"/>
    <s v="월수금"/>
    <x v="1"/>
  </r>
  <r>
    <d v="2026-08-14T14:11:29"/>
    <s v="19004120"/>
    <x v="12"/>
    <x v="12"/>
    <n v="12"/>
    <m/>
    <n v="12"/>
    <s v="20270725150000"/>
    <s v="디캔팅"/>
    <s v="입고"/>
    <s v="작업완료"/>
    <s v="1010"/>
    <x v="7"/>
    <s v="2026-08-14 14:09:23"/>
    <s v="월수금"/>
    <x v="1"/>
  </r>
  <r>
    <d v="2026-08-14T14:10:08"/>
    <s v="19015285"/>
    <x v="12"/>
    <x v="12"/>
    <n v="12"/>
    <m/>
    <n v="12"/>
    <s v="20270725150000"/>
    <s v="디캔팅"/>
    <s v="입고"/>
    <s v="작업완료"/>
    <s v="1010"/>
    <x v="7"/>
    <s v="2026-08-14 14:08:05"/>
    <s v="월수금"/>
    <x v="1"/>
  </r>
  <r>
    <d v="2026-08-14T14:09:44"/>
    <s v="19005385"/>
    <x v="12"/>
    <x v="12"/>
    <n v="12"/>
    <m/>
    <n v="12"/>
    <s v="20270725150000"/>
    <s v="디캔팅"/>
    <s v="입고"/>
    <s v="작업완료"/>
    <s v="1010"/>
    <x v="7"/>
    <s v="2026-08-14 14:07:59"/>
    <s v="월수금"/>
    <x v="1"/>
  </r>
  <r>
    <d v="2026-08-14T14:08:01"/>
    <s v="19017203"/>
    <x v="12"/>
    <x v="12"/>
    <n v="12"/>
    <m/>
    <n v="12"/>
    <s v="20270725150000"/>
    <s v="디캔팅"/>
    <s v="입고"/>
    <s v="작업완료"/>
    <s v="1010"/>
    <x v="7"/>
    <s v="2026-08-14 14:06:04"/>
    <s v="월수금"/>
    <x v="1"/>
  </r>
  <r>
    <d v="2026-08-14T14:07:55"/>
    <s v="19023833"/>
    <x v="12"/>
    <x v="12"/>
    <n v="12"/>
    <m/>
    <n v="12"/>
    <s v="20270725150000"/>
    <s v="디캔팅"/>
    <s v="입고"/>
    <s v="작업완료"/>
    <s v="1010"/>
    <x v="7"/>
    <s v="2026-08-14 14:06:14"/>
    <s v="월수금"/>
    <x v="1"/>
  </r>
  <r>
    <d v="2026-08-14T14:06:41"/>
    <s v="19007340"/>
    <x v="12"/>
    <x v="12"/>
    <n v="12"/>
    <m/>
    <n v="12"/>
    <s v="20270725150000"/>
    <s v="디캔팅"/>
    <s v="입고"/>
    <s v="작업완료"/>
    <s v="1010"/>
    <x v="7"/>
    <s v="2026-08-14 14:04:20"/>
    <s v="월수금"/>
    <x v="1"/>
  </r>
  <r>
    <d v="2026-08-14T14:05:32"/>
    <s v="19000925"/>
    <x v="12"/>
    <x v="12"/>
    <n v="12"/>
    <m/>
    <n v="12"/>
    <s v="20270725150000"/>
    <s v="디캔팅"/>
    <s v="입고"/>
    <s v="작업완료"/>
    <s v="1010"/>
    <x v="7"/>
    <s v="2026-08-14 14:03:03"/>
    <s v="월수금"/>
    <x v="1"/>
  </r>
  <r>
    <d v="2026-08-14T14:05:30"/>
    <s v="19009572"/>
    <x v="12"/>
    <x v="12"/>
    <n v="12"/>
    <m/>
    <n v="12"/>
    <s v="20270725150000"/>
    <s v="디캔팅"/>
    <s v="입고"/>
    <s v="작업완료"/>
    <s v="1010"/>
    <x v="7"/>
    <s v="2026-08-14 14:03:09"/>
    <s v="월수금"/>
    <x v="1"/>
  </r>
  <r>
    <d v="2026-08-14T14:03:35"/>
    <s v="19015431"/>
    <x v="12"/>
    <x v="12"/>
    <n v="12"/>
    <m/>
    <n v="12"/>
    <s v="20270725150000"/>
    <s v="디캔팅"/>
    <s v="입고"/>
    <s v="작업완료"/>
    <s v="1010"/>
    <x v="7"/>
    <s v="2026-08-14 14:00:52"/>
    <s v="월수금"/>
    <x v="1"/>
  </r>
  <r>
    <d v="2026-08-14T14:03:04"/>
    <s v="19015032"/>
    <x v="12"/>
    <x v="12"/>
    <n v="12"/>
    <m/>
    <n v="12"/>
    <s v="20270725150000"/>
    <s v="디캔팅"/>
    <s v="입고"/>
    <s v="작업완료"/>
    <s v="1010"/>
    <x v="7"/>
    <s v="2026-08-14 13:56:49"/>
    <s v="월수금"/>
    <x v="1"/>
  </r>
  <r>
    <d v="2026-08-14T14:02:59"/>
    <s v="19007247"/>
    <x v="12"/>
    <x v="12"/>
    <n v="12"/>
    <m/>
    <n v="12"/>
    <s v="20270725150000"/>
    <s v="디캔팅"/>
    <s v="입고"/>
    <s v="작업완료"/>
    <s v="1010"/>
    <x v="7"/>
    <s v="2026-08-14 14:00:59"/>
    <s v="월수금"/>
    <x v="1"/>
  </r>
  <r>
    <d v="2026-08-14T14:01:57"/>
    <s v="19000371"/>
    <x v="12"/>
    <x v="12"/>
    <n v="12"/>
    <m/>
    <n v="12"/>
    <s v="20270725150000"/>
    <s v="디캔팅"/>
    <s v="입고"/>
    <s v="작업완료"/>
    <s v="1010"/>
    <x v="7"/>
    <s v="2026-08-14 13:58:17"/>
    <s v="월수금"/>
    <x v="1"/>
  </r>
  <r>
    <d v="2026-08-14T14:01:27"/>
    <s v="19000266"/>
    <x v="12"/>
    <x v="12"/>
    <n v="12"/>
    <m/>
    <n v="12"/>
    <s v="20270725150000"/>
    <s v="디캔팅"/>
    <s v="입고"/>
    <s v="작업완료"/>
    <s v="1010"/>
    <x v="7"/>
    <s v="2026-08-14 13:59:29"/>
    <s v="월수금"/>
    <x v="1"/>
  </r>
  <r>
    <d v="2026-08-14T14:01:17"/>
    <s v="19008281"/>
    <x v="12"/>
    <x v="12"/>
    <n v="12"/>
    <m/>
    <n v="12"/>
    <s v="20270725150000"/>
    <s v="디캔팅"/>
    <s v="입고"/>
    <s v="작업완료"/>
    <s v="1010"/>
    <x v="7"/>
    <s v="2026-08-14 13:59:35"/>
    <s v="월수금"/>
    <x v="1"/>
  </r>
  <r>
    <d v="2026-08-14T14:00:18"/>
    <s v="19000065"/>
    <x v="12"/>
    <x v="12"/>
    <n v="12"/>
    <m/>
    <n v="12"/>
    <s v="20270725150000"/>
    <s v="디캔팅"/>
    <s v="입고"/>
    <s v="작업완료"/>
    <s v="1010"/>
    <x v="7"/>
    <s v="2026-08-14 13:58:22"/>
    <s v="월수금"/>
    <x v="1"/>
  </r>
  <r>
    <d v="2026-08-14T13:59:03"/>
    <s v="19012353"/>
    <x v="12"/>
    <x v="12"/>
    <n v="12"/>
    <m/>
    <n v="12"/>
    <s v="20270725150000"/>
    <s v="디캔팅"/>
    <s v="입고"/>
    <s v="작업완료"/>
    <s v="1010"/>
    <x v="7"/>
    <s v="2026-08-14 13:56:58"/>
    <s v="월수금"/>
    <x v="1"/>
  </r>
  <r>
    <d v="2026-08-14T13:58:16"/>
    <s v="19013487"/>
    <x v="12"/>
    <x v="12"/>
    <n v="12"/>
    <m/>
    <n v="12"/>
    <s v="20270725150000"/>
    <s v="디캔팅"/>
    <s v="입고"/>
    <s v="작업완료"/>
    <s v="1010"/>
    <x v="7"/>
    <s v="2026-08-14 13:55:20"/>
    <s v="월수금"/>
    <x v="1"/>
  </r>
  <r>
    <d v="2026-08-14T13:57:17"/>
    <s v="19007766"/>
    <x v="12"/>
    <x v="12"/>
    <n v="12"/>
    <m/>
    <n v="12"/>
    <s v="20270725150000"/>
    <s v="디캔팅"/>
    <s v="입고"/>
    <s v="작업완료"/>
    <s v="1010"/>
    <x v="7"/>
    <s v="2026-08-14 13:55:36"/>
    <s v="월수금"/>
    <x v="1"/>
  </r>
  <r>
    <d v="2026-08-14T13:56:03"/>
    <s v="19002195"/>
    <x v="12"/>
    <x v="12"/>
    <n v="12"/>
    <m/>
    <n v="12"/>
    <s v="20270725150000"/>
    <s v="디캔팅"/>
    <s v="입고"/>
    <s v="작업완료"/>
    <s v="1010"/>
    <x v="7"/>
    <s v="2026-08-14 13:54:11"/>
    <s v="월수금"/>
    <x v="1"/>
  </r>
  <r>
    <d v="2026-08-14T13:55:50"/>
    <s v="19012696"/>
    <x v="12"/>
    <x v="12"/>
    <n v="12"/>
    <m/>
    <n v="12"/>
    <s v="20270725150000"/>
    <s v="디캔팅"/>
    <s v="입고"/>
    <s v="작업완료"/>
    <s v="1010"/>
    <x v="7"/>
    <s v="2026-08-14 13:53:56"/>
    <s v="월수금"/>
    <x v="1"/>
  </r>
  <r>
    <d v="2026-08-14T13:55:45"/>
    <s v="19000365"/>
    <x v="12"/>
    <x v="12"/>
    <n v="12"/>
    <m/>
    <n v="12"/>
    <s v="20270725150000"/>
    <s v="디캔팅"/>
    <s v="입고"/>
    <s v="작업완료"/>
    <s v="1010"/>
    <x v="7"/>
    <s v="2026-08-14 13:52:46"/>
    <s v="월수금"/>
    <x v="1"/>
  </r>
  <r>
    <d v="2026-08-14T13:54:27"/>
    <s v="19006297"/>
    <x v="12"/>
    <x v="12"/>
    <n v="12"/>
    <m/>
    <n v="12"/>
    <s v="20270725150000"/>
    <s v="디캔팅"/>
    <s v="입고"/>
    <s v="작업완료"/>
    <s v="1010"/>
    <x v="7"/>
    <s v="2026-08-14 13:52:41"/>
    <s v="월수금"/>
    <x v="1"/>
  </r>
  <r>
    <d v="2026-08-14T13:54:24"/>
    <s v="19017484"/>
    <x v="12"/>
    <x v="12"/>
    <n v="12"/>
    <m/>
    <n v="12"/>
    <s v="20270725150000"/>
    <s v="디캔팅"/>
    <s v="입고"/>
    <s v="작업완료"/>
    <s v="1010"/>
    <x v="7"/>
    <s v="2026-08-14 13:51:36"/>
    <s v="월수금"/>
    <x v="1"/>
  </r>
  <r>
    <d v="2026-08-14T13:53:22"/>
    <s v="19003320"/>
    <x v="12"/>
    <x v="12"/>
    <n v="12"/>
    <m/>
    <n v="12"/>
    <s v="20270725150000"/>
    <s v="디캔팅"/>
    <s v="입고"/>
    <s v="작업완료"/>
    <s v="1010"/>
    <x v="7"/>
    <s v="2026-08-14 13:51:30"/>
    <s v="월수금"/>
    <x v="1"/>
  </r>
  <r>
    <d v="2026-08-13T17:37:49"/>
    <s v="19005495"/>
    <x v="12"/>
    <x v="12"/>
    <n v="12"/>
    <m/>
    <n v="12"/>
    <s v="20270725150000"/>
    <s v="디캔팅"/>
    <s v="입고"/>
    <s v="작업완료"/>
    <s v="1003"/>
    <x v="5"/>
    <s v="2026-08-13 17:36:16"/>
    <s v="월수금"/>
    <x v="4"/>
  </r>
  <r>
    <d v="2026-08-13T17:37:42"/>
    <s v="19009811"/>
    <x v="12"/>
    <x v="12"/>
    <n v="12"/>
    <m/>
    <n v="12"/>
    <s v="20270725150000"/>
    <s v="디캔팅"/>
    <s v="입고"/>
    <s v="작업완료"/>
    <s v="1003"/>
    <x v="5"/>
    <s v="2026-08-13 17:36:04"/>
    <s v="월수금"/>
    <x v="4"/>
  </r>
  <r>
    <d v="2026-08-13T17:36:02"/>
    <s v="19003663"/>
    <x v="12"/>
    <x v="12"/>
    <n v="12"/>
    <m/>
    <n v="12"/>
    <s v="20270725150000"/>
    <s v="디캔팅"/>
    <s v="입고"/>
    <s v="작업완료"/>
    <s v="1003"/>
    <x v="5"/>
    <s v="2026-08-13 17:34:09"/>
    <s v="월수금"/>
    <x v="4"/>
  </r>
  <r>
    <d v="2026-08-13T17:35:58"/>
    <s v="19003066"/>
    <x v="12"/>
    <x v="12"/>
    <n v="12"/>
    <m/>
    <n v="12"/>
    <s v="20270725150000"/>
    <s v="디캔팅"/>
    <s v="입고"/>
    <s v="작업완료"/>
    <s v="1003"/>
    <x v="5"/>
    <s v="2026-08-13 17:34:15"/>
    <s v="월수금"/>
    <x v="4"/>
  </r>
  <r>
    <d v="2026-08-13T17:34:35"/>
    <s v="19003504"/>
    <x v="12"/>
    <x v="12"/>
    <n v="12"/>
    <m/>
    <n v="12"/>
    <s v="20270725150000"/>
    <s v="디캔팅"/>
    <s v="입고"/>
    <s v="작업완료"/>
    <s v="1003"/>
    <x v="5"/>
    <s v="2026-08-13 17:32:39"/>
    <s v="월수금"/>
    <x v="4"/>
  </r>
  <r>
    <d v="2026-08-13T17:34:06"/>
    <s v="19002228"/>
    <x v="12"/>
    <x v="12"/>
    <n v="12"/>
    <m/>
    <n v="12"/>
    <s v="20270725150000"/>
    <s v="디캔팅"/>
    <s v="입고"/>
    <s v="작업완료"/>
    <s v="1003"/>
    <x v="5"/>
    <s v="2026-08-13 17:32:33"/>
    <s v="월수금"/>
    <x v="4"/>
  </r>
  <r>
    <d v="2026-08-13T17:33:08"/>
    <s v="19002577"/>
    <x v="12"/>
    <x v="12"/>
    <n v="12"/>
    <m/>
    <n v="12"/>
    <s v="20270725150000"/>
    <s v="디캔팅"/>
    <s v="입고"/>
    <s v="작업완료"/>
    <s v="1003"/>
    <x v="5"/>
    <s v="2026-08-13 17:30:57"/>
    <s v="월수금"/>
    <x v="4"/>
  </r>
  <r>
    <d v="2026-08-13T17:32:36"/>
    <s v="19004802"/>
    <x v="12"/>
    <x v="12"/>
    <n v="12"/>
    <m/>
    <n v="12"/>
    <s v="20270725150000"/>
    <s v="디캔팅"/>
    <s v="입고"/>
    <s v="작업완료"/>
    <s v="1003"/>
    <x v="5"/>
    <s v="2026-08-13 17:31:04"/>
    <s v="월수금"/>
    <x v="4"/>
  </r>
  <r>
    <d v="2026-08-13T17:31:02"/>
    <s v="19000048"/>
    <x v="12"/>
    <x v="12"/>
    <n v="12"/>
    <m/>
    <n v="12"/>
    <s v="20270725150000"/>
    <s v="디캔팅"/>
    <s v="입고"/>
    <s v="작업완료"/>
    <s v="1003"/>
    <x v="5"/>
    <s v="2026-08-13 17:29:27"/>
    <s v="월수금"/>
    <x v="4"/>
  </r>
  <r>
    <d v="2026-08-13T17:30:54"/>
    <s v="19006208"/>
    <x v="12"/>
    <x v="12"/>
    <n v="12"/>
    <m/>
    <n v="12"/>
    <s v="20270725150000"/>
    <s v="디캔팅"/>
    <s v="입고"/>
    <s v="작업완료"/>
    <s v="1003"/>
    <x v="5"/>
    <s v="2026-08-13 17:29:32"/>
    <s v="월수금"/>
    <x v="4"/>
  </r>
  <r>
    <d v="2026-08-13T17:29:19"/>
    <s v="19002102"/>
    <x v="12"/>
    <x v="12"/>
    <n v="12"/>
    <m/>
    <n v="12"/>
    <s v="20270725150000"/>
    <s v="디캔팅"/>
    <s v="입고"/>
    <s v="작업완료"/>
    <s v="1003"/>
    <x v="5"/>
    <s v="2026-08-13 17:27:52"/>
    <s v="월수금"/>
    <x v="4"/>
  </r>
  <r>
    <d v="2026-08-13T17:29:09"/>
    <s v="19022539"/>
    <x v="12"/>
    <x v="12"/>
    <n v="12"/>
    <m/>
    <n v="12"/>
    <s v="20270725150000"/>
    <s v="디캔팅"/>
    <s v="입고"/>
    <s v="작업완료"/>
    <s v="1003"/>
    <x v="5"/>
    <s v="2026-08-13 17:27:47"/>
    <s v="월수금"/>
    <x v="4"/>
  </r>
  <r>
    <d v="2026-08-13T17:27:58"/>
    <s v="19000584"/>
    <x v="12"/>
    <x v="12"/>
    <n v="12"/>
    <m/>
    <n v="12"/>
    <s v="20270725150000"/>
    <s v="디캔팅"/>
    <s v="입고"/>
    <s v="작업완료"/>
    <s v="1003"/>
    <x v="5"/>
    <s v="2026-08-13 17:26:14"/>
    <s v="월수금"/>
    <x v="4"/>
  </r>
  <r>
    <d v="2026-08-13T17:27:27"/>
    <s v="19000621"/>
    <x v="12"/>
    <x v="12"/>
    <n v="12"/>
    <m/>
    <n v="12"/>
    <s v="20270725150000"/>
    <s v="디캔팅"/>
    <s v="입고"/>
    <s v="작업완료"/>
    <s v="1003"/>
    <x v="5"/>
    <s v="2026-08-13 17:26:10"/>
    <s v="월수금"/>
    <x v="4"/>
  </r>
  <r>
    <d v="2026-08-13T17:25:55"/>
    <s v="19006647"/>
    <x v="12"/>
    <x v="12"/>
    <n v="12"/>
    <m/>
    <n v="12"/>
    <s v="20270725150000"/>
    <s v="디캔팅"/>
    <s v="입고"/>
    <s v="작업완료"/>
    <s v="1003"/>
    <x v="5"/>
    <s v="2026-08-13 17:24:27"/>
    <s v="월수금"/>
    <x v="4"/>
  </r>
  <r>
    <d v="2026-08-13T17:25:51"/>
    <s v="19002174"/>
    <x v="12"/>
    <x v="12"/>
    <n v="12"/>
    <m/>
    <n v="12"/>
    <s v="20270725150000"/>
    <s v="디캔팅"/>
    <s v="입고"/>
    <s v="작업완료"/>
    <s v="1003"/>
    <x v="5"/>
    <s v="2026-08-13 17:24:22"/>
    <s v="월수금"/>
    <x v="4"/>
  </r>
  <r>
    <d v="2026-08-13T17:24:41"/>
    <s v="19004842"/>
    <x v="12"/>
    <x v="12"/>
    <n v="12"/>
    <m/>
    <n v="12"/>
    <s v="20270725150000"/>
    <s v="디캔팅"/>
    <s v="입고"/>
    <s v="작업완료"/>
    <s v="1003"/>
    <x v="5"/>
    <s v="2026-08-13 17:22:26"/>
    <s v="월수금"/>
    <x v="4"/>
  </r>
  <r>
    <d v="2026-08-13T17:24:39"/>
    <s v="19001436"/>
    <x v="12"/>
    <x v="12"/>
    <n v="12"/>
    <m/>
    <n v="12"/>
    <s v="20270725150000"/>
    <s v="디캔팅"/>
    <s v="입고"/>
    <s v="작업완료"/>
    <s v="1003"/>
    <x v="5"/>
    <s v="2026-08-13 17:22:50"/>
    <s v="월수금"/>
    <x v="4"/>
  </r>
  <r>
    <d v="2026-08-13T16:55:50"/>
    <s v="19014015"/>
    <x v="12"/>
    <x v="12"/>
    <n v="12"/>
    <m/>
    <n v="12"/>
    <s v="20270725150000"/>
    <s v="디캔팅"/>
    <s v="입고"/>
    <s v="작업완료"/>
    <s v="1003"/>
    <x v="5"/>
    <s v="2026-08-13 16:53:48"/>
    <s v="월수금"/>
    <x v="4"/>
  </r>
  <r>
    <d v="2026-08-13T16:55:40"/>
    <s v="19005811"/>
    <x v="12"/>
    <x v="12"/>
    <n v="12"/>
    <m/>
    <n v="12"/>
    <s v="20270725150000"/>
    <s v="디캔팅"/>
    <s v="입고"/>
    <s v="작업완료"/>
    <s v="1003"/>
    <x v="5"/>
    <s v="2026-08-13 16:53:55"/>
    <s v="월수금"/>
    <x v="4"/>
  </r>
  <r>
    <d v="2026-08-13T16:54:05"/>
    <s v="19002242"/>
    <x v="12"/>
    <x v="12"/>
    <n v="12"/>
    <m/>
    <n v="12"/>
    <s v="20270725150000"/>
    <s v="디캔팅"/>
    <s v="입고"/>
    <s v="작업완료"/>
    <s v="1003"/>
    <x v="5"/>
    <s v="2026-08-13 16:52:01"/>
    <s v="월수금"/>
    <x v="4"/>
  </r>
  <r>
    <d v="2026-08-13T16:53:24"/>
    <s v="19001631"/>
    <x v="12"/>
    <x v="12"/>
    <n v="12"/>
    <m/>
    <n v="12"/>
    <s v="20270725150000"/>
    <s v="디캔팅"/>
    <s v="입고"/>
    <s v="작업완료"/>
    <s v="1003"/>
    <x v="5"/>
    <s v="2026-08-13 16:51:54"/>
    <s v="월수금"/>
    <x v="4"/>
  </r>
  <r>
    <d v="2026-08-13T16:51:54"/>
    <s v="19002433"/>
    <x v="12"/>
    <x v="12"/>
    <n v="12"/>
    <m/>
    <n v="12"/>
    <s v="20270725150000"/>
    <s v="디캔팅"/>
    <s v="입고"/>
    <s v="작업완료"/>
    <s v="1003"/>
    <x v="5"/>
    <s v="2026-08-13 16:50:13"/>
    <s v="월수금"/>
    <x v="4"/>
  </r>
  <r>
    <d v="2026-08-13T16:51:43"/>
    <s v="19001423"/>
    <x v="12"/>
    <x v="12"/>
    <n v="12"/>
    <m/>
    <n v="12"/>
    <s v="20270725150000"/>
    <s v="디캔팅"/>
    <s v="입고"/>
    <s v="작업완료"/>
    <s v="1003"/>
    <x v="5"/>
    <s v="2026-08-13 16:50:08"/>
    <s v="월수금"/>
    <x v="4"/>
  </r>
  <r>
    <d v="2026-08-13T16:49:54"/>
    <s v="19007376"/>
    <x v="12"/>
    <x v="12"/>
    <n v="12"/>
    <m/>
    <n v="12"/>
    <s v="20270725150000"/>
    <s v="디캔팅"/>
    <s v="입고"/>
    <s v="작업완료"/>
    <s v="1003"/>
    <x v="5"/>
    <s v="2026-08-13 16:48:27"/>
    <s v="월수금"/>
    <x v="4"/>
  </r>
  <r>
    <d v="2026-08-13T16:49:47"/>
    <s v="19003561"/>
    <x v="12"/>
    <x v="12"/>
    <n v="12"/>
    <m/>
    <n v="12"/>
    <s v="20270725150000"/>
    <s v="디캔팅"/>
    <s v="입고"/>
    <s v="작업완료"/>
    <s v="1003"/>
    <x v="5"/>
    <s v="2026-08-13 16:48:22"/>
    <s v="월수금"/>
    <x v="4"/>
  </r>
  <r>
    <d v="2026-08-13T16:48:31"/>
    <s v="19000736"/>
    <x v="12"/>
    <x v="12"/>
    <n v="12"/>
    <m/>
    <n v="12"/>
    <s v="20270725150000"/>
    <s v="디캔팅"/>
    <s v="입고"/>
    <s v="작업완료"/>
    <s v="1003"/>
    <x v="5"/>
    <s v="2026-08-13 16:46:47"/>
    <s v="월수금"/>
    <x v="4"/>
  </r>
  <r>
    <d v="2026-08-13T16:48:28"/>
    <s v="19002959"/>
    <x v="12"/>
    <x v="12"/>
    <n v="12"/>
    <m/>
    <n v="12"/>
    <s v="20270725150000"/>
    <s v="디캔팅"/>
    <s v="입고"/>
    <s v="작업완료"/>
    <s v="1003"/>
    <x v="5"/>
    <s v="2026-08-13 16:46:42"/>
    <s v="월수금"/>
    <x v="4"/>
  </r>
  <r>
    <d v="2026-08-13T16:47:37"/>
    <s v="19005828"/>
    <x v="12"/>
    <x v="12"/>
    <n v="12"/>
    <m/>
    <n v="12"/>
    <s v="20270725150000"/>
    <s v="디캔팅"/>
    <s v="입고"/>
    <s v="작업완료"/>
    <s v="1003"/>
    <x v="5"/>
    <s v="2026-08-13 16:45:02"/>
    <s v="월수금"/>
    <x v="4"/>
  </r>
  <r>
    <d v="2026-08-13T16:47:22"/>
    <s v="19001286"/>
    <x v="12"/>
    <x v="12"/>
    <n v="12"/>
    <m/>
    <n v="12"/>
    <s v="20270725150000"/>
    <s v="디캔팅"/>
    <s v="입고"/>
    <s v="작업완료"/>
    <s v="1003"/>
    <x v="5"/>
    <s v="2026-08-13 16:45:08"/>
    <s v="월수금"/>
    <x v="4"/>
  </r>
  <r>
    <d v="2026-08-13T16:45:15"/>
    <s v="19003818"/>
    <x v="12"/>
    <x v="12"/>
    <n v="12"/>
    <m/>
    <n v="12"/>
    <s v="20270725150000"/>
    <s v="디캔팅"/>
    <s v="입고"/>
    <s v="작업완료"/>
    <s v="1003"/>
    <x v="5"/>
    <s v="2026-08-13 16:43:12"/>
    <s v="월수금"/>
    <x v="4"/>
  </r>
  <r>
    <d v="2026-08-13T16:45:05"/>
    <s v="19000206"/>
    <x v="12"/>
    <x v="12"/>
    <n v="12"/>
    <m/>
    <n v="12"/>
    <s v="20270725150000"/>
    <s v="디캔팅"/>
    <s v="입고"/>
    <s v="작업완료"/>
    <s v="1003"/>
    <x v="5"/>
    <s v="2026-08-13 16:43:07"/>
    <s v="월수금"/>
    <x v="4"/>
  </r>
  <r>
    <d v="2026-08-13T16:43:15"/>
    <s v="19008930"/>
    <x v="12"/>
    <x v="12"/>
    <n v="12"/>
    <m/>
    <n v="12"/>
    <s v="20270725150000"/>
    <s v="디캔팅"/>
    <s v="입고"/>
    <s v="작업완료"/>
    <s v="1003"/>
    <x v="5"/>
    <s v="2026-08-13 16:41:10"/>
    <s v="월수금"/>
    <x v="4"/>
  </r>
  <r>
    <d v="2026-08-13T16:42:37"/>
    <s v="19007502"/>
    <x v="12"/>
    <x v="12"/>
    <n v="12"/>
    <m/>
    <n v="12"/>
    <s v="20270725150000"/>
    <s v="디캔팅"/>
    <s v="입고"/>
    <s v="작업완료"/>
    <s v="1003"/>
    <x v="5"/>
    <s v="2026-08-13 16:41:05"/>
    <s v="월수금"/>
    <x v="4"/>
  </r>
  <r>
    <d v="2026-08-13T16:40:49"/>
    <s v="19015820"/>
    <x v="12"/>
    <x v="12"/>
    <n v="12"/>
    <m/>
    <n v="12"/>
    <s v="20270725150000"/>
    <s v="디캔팅"/>
    <s v="입고"/>
    <s v="작업완료"/>
    <s v="1003"/>
    <x v="5"/>
    <s v="2026-08-13 16:39:12"/>
    <s v="월수금"/>
    <x v="4"/>
  </r>
  <r>
    <d v="2026-08-13T16:40:32"/>
    <s v="19000968"/>
    <x v="12"/>
    <x v="12"/>
    <n v="12"/>
    <m/>
    <n v="12"/>
    <s v="20270725150000"/>
    <s v="디캔팅"/>
    <s v="입고"/>
    <s v="작업완료"/>
    <s v="1003"/>
    <x v="5"/>
    <s v="2026-08-13 16:39:07"/>
    <s v="월수금"/>
    <x v="4"/>
  </r>
  <r>
    <d v="2026-08-13T16:39:12"/>
    <s v="19001218"/>
    <x v="12"/>
    <x v="12"/>
    <n v="12"/>
    <m/>
    <n v="12"/>
    <s v="20270725150000"/>
    <s v="디캔팅"/>
    <s v="입고"/>
    <s v="작업완료"/>
    <s v="1003"/>
    <x v="5"/>
    <s v="2026-08-13 16:37:28"/>
    <s v="월수금"/>
    <x v="4"/>
  </r>
  <r>
    <d v="2026-08-13T16:39:08"/>
    <s v="19020946"/>
    <x v="12"/>
    <x v="12"/>
    <n v="12"/>
    <m/>
    <n v="12"/>
    <s v="20270725150000"/>
    <s v="디캔팅"/>
    <s v="입고"/>
    <s v="작업완료"/>
    <s v="1003"/>
    <x v="5"/>
    <s v="2026-08-13 16:37:23"/>
    <s v="월수금"/>
    <x v="4"/>
  </r>
  <r>
    <d v="2026-08-13T16:38:17"/>
    <s v="19019877"/>
    <x v="12"/>
    <x v="12"/>
    <n v="12"/>
    <m/>
    <n v="12"/>
    <s v="20270725150000"/>
    <s v="디캔팅"/>
    <s v="입고"/>
    <s v="작업완료"/>
    <s v="1003"/>
    <x v="5"/>
    <s v="2026-08-13 16:35:54"/>
    <s v="월수금"/>
    <x v="4"/>
  </r>
  <r>
    <d v="2026-08-13T16:37:30"/>
    <s v="19001107"/>
    <x v="12"/>
    <x v="12"/>
    <n v="12"/>
    <m/>
    <n v="12"/>
    <s v="20270725150000"/>
    <s v="디캔팅"/>
    <s v="입고"/>
    <s v="작업완료"/>
    <s v="1003"/>
    <x v="5"/>
    <s v="2026-08-13 16:35:48"/>
    <s v="월수금"/>
    <x v="4"/>
  </r>
  <r>
    <d v="2026-08-13T16:34:30"/>
    <s v="19003285"/>
    <x v="12"/>
    <x v="12"/>
    <n v="12"/>
    <m/>
    <n v="12"/>
    <s v="20270725150000"/>
    <s v="디캔팅"/>
    <s v="입고"/>
    <s v="작업완료"/>
    <s v="1003"/>
    <x v="5"/>
    <s v="2026-08-13 16:32:54"/>
    <s v="월수금"/>
    <x v="4"/>
  </r>
  <r>
    <d v="2026-08-13T16:34:30"/>
    <s v="19010164"/>
    <x v="12"/>
    <x v="12"/>
    <n v="12"/>
    <m/>
    <n v="12"/>
    <s v="20270725150000"/>
    <s v="디캔팅"/>
    <s v="입고"/>
    <s v="작업완료"/>
    <s v="1003"/>
    <x v="5"/>
    <s v="2026-08-13 16:32:48"/>
    <s v="월수금"/>
    <x v="4"/>
  </r>
  <r>
    <d v="2026-08-13T16:32:39"/>
    <s v="19003049"/>
    <x v="12"/>
    <x v="12"/>
    <n v="12"/>
    <m/>
    <n v="12"/>
    <s v="20270725150000"/>
    <s v="디캔팅"/>
    <s v="입고"/>
    <s v="작업완료"/>
    <s v="1003"/>
    <x v="5"/>
    <s v="2026-08-13 16:31:06"/>
    <s v="월수금"/>
    <x v="4"/>
  </r>
  <r>
    <d v="2026-08-13T16:32:35"/>
    <s v="19007233"/>
    <x v="12"/>
    <x v="12"/>
    <n v="12"/>
    <m/>
    <n v="12"/>
    <s v="20270725150000"/>
    <s v="디캔팅"/>
    <s v="입고"/>
    <s v="작업완료"/>
    <s v="1003"/>
    <x v="5"/>
    <s v="2026-08-13 16:31:13"/>
    <s v="월수금"/>
    <x v="4"/>
  </r>
  <r>
    <d v="2026-08-13T16:31:09"/>
    <s v="19002377"/>
    <x v="12"/>
    <x v="12"/>
    <n v="12"/>
    <m/>
    <n v="12"/>
    <s v="20270725150000"/>
    <s v="디캔팅"/>
    <s v="입고"/>
    <s v="작업완료"/>
    <s v="1003"/>
    <x v="5"/>
    <s v="2026-08-13 16:29:28"/>
    <s v="월수금"/>
    <x v="4"/>
  </r>
  <r>
    <d v="2026-08-13T16:31:07"/>
    <s v="19009595"/>
    <x v="12"/>
    <x v="12"/>
    <n v="12"/>
    <m/>
    <n v="12"/>
    <s v="20270725150000"/>
    <s v="디캔팅"/>
    <s v="입고"/>
    <s v="작업완료"/>
    <s v="1003"/>
    <x v="5"/>
    <s v="2026-08-13 16:29:34"/>
    <s v="월수금"/>
    <x v="4"/>
  </r>
  <r>
    <d v="2026-08-13T16:29:44"/>
    <s v="19017532"/>
    <x v="12"/>
    <x v="12"/>
    <n v="12"/>
    <m/>
    <n v="12"/>
    <s v="20270725150000"/>
    <s v="디캔팅"/>
    <s v="입고"/>
    <s v="작업완료"/>
    <s v="1003"/>
    <x v="5"/>
    <s v="2026-08-13 16:27:59"/>
    <s v="월수금"/>
    <x v="4"/>
  </r>
  <r>
    <d v="2026-08-13T16:29:08"/>
    <s v="19004932"/>
    <x v="12"/>
    <x v="12"/>
    <n v="12"/>
    <m/>
    <n v="12"/>
    <s v="20270725150000"/>
    <s v="디캔팅"/>
    <s v="입고"/>
    <s v="작업완료"/>
    <s v="1003"/>
    <x v="5"/>
    <s v="2026-08-13 16:27:53"/>
    <s v="월수금"/>
    <x v="4"/>
  </r>
  <r>
    <d v="2026-08-12T16:23:19"/>
    <s v="19005980"/>
    <x v="12"/>
    <x v="12"/>
    <n v="12"/>
    <m/>
    <n v="12"/>
    <s v="20270725150000"/>
    <s v="디캔팅"/>
    <s v="입고"/>
    <s v="작업완료"/>
    <s v="1014"/>
    <x v="10"/>
    <s v="2026-08-12 15:35:57"/>
    <s v="월수금"/>
    <x v="2"/>
  </r>
  <r>
    <d v="2026-08-12T15:46:05"/>
    <s v="19014277"/>
    <x v="12"/>
    <x v="12"/>
    <n v="12"/>
    <m/>
    <n v="12"/>
    <s v="20270725150000"/>
    <s v="디캔팅"/>
    <s v="입고"/>
    <s v="작업완료"/>
    <s v="1014"/>
    <x v="10"/>
    <s v="2026-08-12 15:43:47"/>
    <s v="월수금"/>
    <x v="2"/>
  </r>
  <r>
    <d v="2026-08-12T15:45:41"/>
    <s v="19012398"/>
    <x v="12"/>
    <x v="12"/>
    <n v="12"/>
    <m/>
    <n v="12"/>
    <s v="20270725150000"/>
    <s v="디캔팅"/>
    <s v="입고"/>
    <s v="작업완료"/>
    <s v="1014"/>
    <x v="10"/>
    <s v="2026-08-12 15:43:43"/>
    <s v="월수금"/>
    <x v="2"/>
  </r>
  <r>
    <d v="2026-08-12T15:43:27"/>
    <s v="19014284"/>
    <x v="12"/>
    <x v="12"/>
    <n v="12"/>
    <m/>
    <n v="12"/>
    <s v="20270725150000"/>
    <s v="디캔팅"/>
    <s v="입고"/>
    <s v="작업완료"/>
    <s v="1014"/>
    <x v="10"/>
    <s v="2026-08-12 15:41:17"/>
    <s v="월수금"/>
    <x v="2"/>
  </r>
  <r>
    <d v="2026-08-12T15:43:06"/>
    <s v="19010464"/>
    <x v="12"/>
    <x v="12"/>
    <n v="12"/>
    <m/>
    <n v="12"/>
    <s v="20270725150000"/>
    <s v="디캔팅"/>
    <s v="입고"/>
    <s v="작업완료"/>
    <s v="1014"/>
    <x v="10"/>
    <s v="2026-08-12 15:41:13"/>
    <s v="월수금"/>
    <x v="2"/>
  </r>
  <r>
    <d v="2026-08-12T15:42:10"/>
    <s v="19012553"/>
    <x v="12"/>
    <x v="12"/>
    <n v="12"/>
    <m/>
    <n v="12"/>
    <s v="20270725150000"/>
    <s v="디캔팅"/>
    <s v="입고"/>
    <s v="작업완료"/>
    <s v="1014"/>
    <x v="10"/>
    <s v="2026-08-12 15:40:12"/>
    <s v="월수금"/>
    <x v="2"/>
  </r>
  <r>
    <d v="2026-08-12T15:42:09"/>
    <s v="19001658"/>
    <x v="12"/>
    <x v="12"/>
    <n v="12"/>
    <m/>
    <n v="12"/>
    <s v="20270725150000"/>
    <s v="디캔팅"/>
    <s v="입고"/>
    <s v="작업완료"/>
    <s v="1014"/>
    <x v="10"/>
    <s v="2026-08-12 15:40:09"/>
    <s v="월수금"/>
    <x v="2"/>
  </r>
  <r>
    <d v="2026-08-12T15:41:26"/>
    <s v="19000252"/>
    <x v="12"/>
    <x v="12"/>
    <n v="12"/>
    <m/>
    <n v="12"/>
    <s v="20270725150000"/>
    <s v="디캔팅"/>
    <s v="입고"/>
    <s v="작업완료"/>
    <s v="1014"/>
    <x v="10"/>
    <s v="2026-08-12 15:39:15"/>
    <s v="월수금"/>
    <x v="2"/>
  </r>
  <r>
    <d v="2026-08-12T15:41:23"/>
    <s v="19022035"/>
    <x v="12"/>
    <x v="12"/>
    <n v="12"/>
    <m/>
    <n v="12"/>
    <s v="20270725150000"/>
    <s v="디캔팅"/>
    <s v="입고"/>
    <s v="작업완료"/>
    <s v="1014"/>
    <x v="10"/>
    <s v="2026-08-12 15:39:19"/>
    <s v="월수금"/>
    <x v="2"/>
  </r>
  <r>
    <d v="2026-08-12T15:39:45"/>
    <s v="19014411"/>
    <x v="12"/>
    <x v="12"/>
    <n v="12"/>
    <m/>
    <n v="12"/>
    <s v="20270725150000"/>
    <s v="디캔팅"/>
    <s v="입고"/>
    <s v="작업완료"/>
    <s v="1014"/>
    <x v="10"/>
    <s v="2026-08-12 15:37:32"/>
    <s v="월수금"/>
    <x v="2"/>
  </r>
  <r>
    <d v="2026-08-12T15:39:16"/>
    <s v="19014369"/>
    <x v="12"/>
    <x v="12"/>
    <n v="12"/>
    <m/>
    <n v="12"/>
    <s v="20270725150000"/>
    <s v="디캔팅"/>
    <s v="입고"/>
    <s v="작업완료"/>
    <s v="1014"/>
    <x v="10"/>
    <s v="2026-08-12 15:37:26"/>
    <s v="월수금"/>
    <x v="2"/>
  </r>
  <r>
    <d v="2026-08-12T15:38:02"/>
    <s v="19009912"/>
    <x v="12"/>
    <x v="12"/>
    <n v="12"/>
    <m/>
    <n v="12"/>
    <s v="20270725150000"/>
    <s v="디캔팅"/>
    <s v="입고"/>
    <s v="작업완료"/>
    <s v="1014"/>
    <x v="10"/>
    <s v="2026-08-12 15:34:33"/>
    <s v="월수금"/>
    <x v="2"/>
  </r>
  <r>
    <d v="2026-08-12T15:38:01"/>
    <s v="19022837"/>
    <x v="12"/>
    <x v="12"/>
    <n v="12"/>
    <m/>
    <n v="12"/>
    <s v="20270725150000"/>
    <s v="디캔팅"/>
    <s v="입고"/>
    <s v="작업완료"/>
    <s v="1014"/>
    <x v="10"/>
    <s v="2026-08-12 15:36:01"/>
    <s v="월수금"/>
    <x v="2"/>
  </r>
  <r>
    <d v="2026-08-12T15:36:47"/>
    <s v="19000317"/>
    <x v="12"/>
    <x v="12"/>
    <n v="6"/>
    <m/>
    <n v="6"/>
    <s v="20270725150000"/>
    <s v="디캔팅"/>
    <s v="입고"/>
    <s v="작업완료"/>
    <s v="1014"/>
    <x v="10"/>
    <s v="2026-08-12 15:34:30"/>
    <s v="월수금"/>
    <x v="2"/>
  </r>
  <r>
    <d v="2026-08-12T15:36:06"/>
    <s v="19000478"/>
    <x v="12"/>
    <x v="12"/>
    <n v="12"/>
    <m/>
    <n v="12"/>
    <s v="20270725150000"/>
    <s v="디캔팅"/>
    <s v="입고"/>
    <s v="작업완료"/>
    <s v="1014"/>
    <x v="10"/>
    <s v="2026-08-12 15:33:45"/>
    <s v="월수금"/>
    <x v="2"/>
  </r>
  <r>
    <d v="2026-08-12T15:36:06"/>
    <s v="19000434"/>
    <x v="12"/>
    <x v="12"/>
    <n v="12"/>
    <m/>
    <n v="12"/>
    <s v="20270725150000"/>
    <s v="디캔팅"/>
    <s v="입고"/>
    <s v="작업완료"/>
    <s v="1014"/>
    <x v="10"/>
    <s v="2026-08-12 15:33:42"/>
    <s v="월수금"/>
    <x v="2"/>
  </r>
  <r>
    <d v="2026-08-12T15:36:05"/>
    <s v="19021330"/>
    <x v="12"/>
    <x v="12"/>
    <n v="12"/>
    <m/>
    <n v="12"/>
    <s v="20270725150000"/>
    <s v="디캔팅"/>
    <s v="입고"/>
    <s v="작업완료"/>
    <s v="1014"/>
    <x v="10"/>
    <s v="2026-08-12 15:32:50"/>
    <s v="월수금"/>
    <x v="2"/>
  </r>
  <r>
    <d v="2026-08-12T15:34:44"/>
    <s v="19011813"/>
    <x v="12"/>
    <x v="12"/>
    <n v="12"/>
    <m/>
    <n v="12"/>
    <s v="20270725150000"/>
    <s v="디캔팅"/>
    <s v="입고"/>
    <s v="작업완료"/>
    <s v="1014"/>
    <x v="10"/>
    <s v="2026-08-12 15:32:45"/>
    <s v="월수금"/>
    <x v="2"/>
  </r>
  <r>
    <d v="2026-08-12T07:15:02"/>
    <s v="19005354"/>
    <x v="12"/>
    <x v="12"/>
    <n v="12"/>
    <m/>
    <n v="12"/>
    <s v="20270723000000"/>
    <s v="디캔팅"/>
    <s v="입고"/>
    <s v="작업완료"/>
    <s v="1011"/>
    <x v="0"/>
    <s v="2026-08-12 07:12:06"/>
    <s v="월수금"/>
    <x v="2"/>
  </r>
  <r>
    <d v="2026-08-12T07:14:09"/>
    <s v="19005908"/>
    <x v="12"/>
    <x v="12"/>
    <n v="12"/>
    <m/>
    <n v="12"/>
    <s v="20270723000000"/>
    <s v="디캔팅"/>
    <s v="입고"/>
    <s v="작업완료"/>
    <s v="1011"/>
    <x v="0"/>
    <s v="2026-08-12 07:12:02"/>
    <s v="월수금"/>
    <x v="2"/>
  </r>
  <r>
    <d v="2026-08-12T07:13:40"/>
    <s v="19000889"/>
    <x v="12"/>
    <x v="12"/>
    <n v="12"/>
    <m/>
    <n v="12"/>
    <s v="20270723000000"/>
    <s v="디캔팅"/>
    <s v="입고"/>
    <s v="작업완료"/>
    <s v="1011"/>
    <x v="0"/>
    <s v="2026-08-12 07:11:57"/>
    <s v="월수금"/>
    <x v="2"/>
  </r>
  <r>
    <d v="2026-08-12T07:10:36"/>
    <s v="19019791"/>
    <x v="12"/>
    <x v="12"/>
    <n v="12"/>
    <m/>
    <n v="12"/>
    <s v="20270723000000"/>
    <s v="디캔팅"/>
    <s v="입고"/>
    <s v="작업완료"/>
    <s v="1011"/>
    <x v="0"/>
    <s v="2026-08-12 07:08:11"/>
    <s v="월수금"/>
    <x v="2"/>
  </r>
  <r>
    <d v="2026-08-12T07:10:13"/>
    <s v="19007864"/>
    <x v="12"/>
    <x v="12"/>
    <n v="12"/>
    <m/>
    <n v="12"/>
    <s v="20270723000000"/>
    <s v="디캔팅"/>
    <s v="입고"/>
    <s v="작업완료"/>
    <s v="1011"/>
    <x v="0"/>
    <s v="2026-08-12 07:08:04"/>
    <s v="월수금"/>
    <x v="2"/>
  </r>
  <r>
    <d v="2026-08-12T07:09:42"/>
    <s v="19016895"/>
    <x v="12"/>
    <x v="12"/>
    <n v="12"/>
    <m/>
    <n v="12"/>
    <s v="20270723000000"/>
    <s v="디캔팅"/>
    <s v="입고"/>
    <s v="작업완료"/>
    <s v="1011"/>
    <x v="0"/>
    <s v="2026-08-12 07:07:59"/>
    <s v="월수금"/>
    <x v="2"/>
  </r>
  <r>
    <d v="2026-08-12T07:08:19"/>
    <s v="19012196"/>
    <x v="12"/>
    <x v="12"/>
    <n v="12"/>
    <m/>
    <n v="12"/>
    <s v="20270723000000"/>
    <s v="디캔팅"/>
    <s v="입고"/>
    <s v="작업완료"/>
    <s v="1011"/>
    <x v="0"/>
    <s v="2026-08-12 07:06:03"/>
    <s v="월수금"/>
    <x v="2"/>
  </r>
  <r>
    <d v="2026-08-12T07:08:00"/>
    <s v="19014530"/>
    <x v="12"/>
    <x v="12"/>
    <n v="12"/>
    <m/>
    <n v="12"/>
    <s v="20270723000000"/>
    <s v="디캔팅"/>
    <s v="입고"/>
    <s v="작업완료"/>
    <s v="1011"/>
    <x v="0"/>
    <s v="2026-08-12 07:06:12"/>
    <s v="월수금"/>
    <x v="2"/>
  </r>
  <r>
    <d v="2026-08-12T07:07:59"/>
    <s v="19023492"/>
    <x v="12"/>
    <x v="12"/>
    <n v="12"/>
    <m/>
    <n v="12"/>
    <s v="20270723000000"/>
    <s v="디캔팅"/>
    <s v="입고"/>
    <s v="작업완료"/>
    <s v="1011"/>
    <x v="0"/>
    <s v="2026-08-12 07:06:07"/>
    <s v="월수금"/>
    <x v="2"/>
  </r>
  <r>
    <d v="2026-08-12T07:06:18"/>
    <s v="19021927"/>
    <x v="12"/>
    <x v="12"/>
    <n v="12"/>
    <m/>
    <n v="12"/>
    <s v="20270723000000"/>
    <s v="디캔팅"/>
    <s v="입고"/>
    <s v="작업완료"/>
    <s v="1011"/>
    <x v="0"/>
    <s v="2026-08-12 07:03:52"/>
    <s v="월수금"/>
    <x v="2"/>
  </r>
  <r>
    <d v="2026-08-12T07:06:03"/>
    <s v="19011580"/>
    <x v="12"/>
    <x v="12"/>
    <n v="12"/>
    <m/>
    <n v="12"/>
    <s v="20270723000000"/>
    <s v="디캔팅"/>
    <s v="입고"/>
    <s v="작업완료"/>
    <s v="1011"/>
    <x v="0"/>
    <s v="2026-08-12 07:03:48"/>
    <s v="월수금"/>
    <x v="2"/>
  </r>
  <r>
    <d v="2026-08-12T07:05:46"/>
    <s v="19004925"/>
    <x v="12"/>
    <x v="12"/>
    <n v="12"/>
    <m/>
    <n v="12"/>
    <s v="20270723000000"/>
    <s v="디캔팅"/>
    <s v="입고"/>
    <s v="작업완료"/>
    <s v="1011"/>
    <x v="0"/>
    <s v="2026-08-12 07:03:57"/>
    <s v="월수금"/>
    <x v="2"/>
  </r>
  <r>
    <d v="2026-08-12T07:03:53"/>
    <s v="19012432"/>
    <x v="12"/>
    <x v="12"/>
    <n v="12"/>
    <m/>
    <n v="12"/>
    <s v="20270723000000"/>
    <s v="디캔팅"/>
    <s v="입고"/>
    <s v="작업완료"/>
    <s v="1011"/>
    <x v="0"/>
    <s v="2026-08-12 07:01:49"/>
    <s v="월수금"/>
    <x v="2"/>
  </r>
  <r>
    <d v="2026-08-12T07:03:44"/>
    <s v="19014933"/>
    <x v="12"/>
    <x v="12"/>
    <n v="12"/>
    <m/>
    <n v="12"/>
    <s v="20270723000000"/>
    <s v="디캔팅"/>
    <s v="입고"/>
    <s v="작업완료"/>
    <s v="1011"/>
    <x v="0"/>
    <s v="2026-08-12 07:01:54"/>
    <s v="월수금"/>
    <x v="2"/>
  </r>
  <r>
    <d v="2026-08-12T07:03:38"/>
    <s v="19019573"/>
    <x v="12"/>
    <x v="12"/>
    <n v="12"/>
    <m/>
    <n v="12"/>
    <s v="20270723000000"/>
    <s v="디캔팅"/>
    <s v="입고"/>
    <s v="작업완료"/>
    <s v="1011"/>
    <x v="0"/>
    <s v="2026-08-12 07:01:45"/>
    <s v="월수금"/>
    <x v="2"/>
  </r>
  <r>
    <d v="2026-08-12T07:01:19"/>
    <s v="19016516"/>
    <x v="12"/>
    <x v="12"/>
    <n v="12"/>
    <m/>
    <n v="12"/>
    <s v="20270723000000"/>
    <s v="디캔팅"/>
    <s v="입고"/>
    <s v="작업완료"/>
    <s v="1011"/>
    <x v="0"/>
    <s v="2026-08-12 06:59:06"/>
    <s v="월수금"/>
    <x v="2"/>
  </r>
  <r>
    <d v="2026-08-12T07:00:59"/>
    <s v="19024995"/>
    <x v="12"/>
    <x v="12"/>
    <n v="12"/>
    <m/>
    <n v="12"/>
    <s v="20270723000000"/>
    <s v="디캔팅"/>
    <s v="입고"/>
    <s v="작업완료"/>
    <s v="1011"/>
    <x v="0"/>
    <s v="2026-08-12 06:58:55"/>
    <s v="월수금"/>
    <x v="2"/>
  </r>
  <r>
    <d v="2026-08-12T07:00:52"/>
    <s v="19020018"/>
    <x v="12"/>
    <x v="12"/>
    <n v="12"/>
    <m/>
    <n v="12"/>
    <s v="20270723000000"/>
    <s v="디캔팅"/>
    <s v="입고"/>
    <s v="작업완료"/>
    <s v="1011"/>
    <x v="0"/>
    <s v="2026-08-12 06:58:59"/>
    <s v="월수금"/>
    <x v="2"/>
  </r>
  <r>
    <d v="2026-08-12T06:59:13"/>
    <s v="19017205"/>
    <x v="12"/>
    <x v="12"/>
    <n v="12"/>
    <m/>
    <n v="12"/>
    <s v="20270723000000"/>
    <s v="디캔팅"/>
    <s v="입고"/>
    <s v="작업완료"/>
    <s v="1011"/>
    <x v="0"/>
    <s v="2026-08-12 06:56:57"/>
    <s v="월수금"/>
    <x v="2"/>
  </r>
  <r>
    <d v="2026-08-12T06:58:59"/>
    <s v="19014704"/>
    <x v="12"/>
    <x v="12"/>
    <n v="12"/>
    <m/>
    <n v="12"/>
    <s v="20270723000000"/>
    <s v="디캔팅"/>
    <s v="입고"/>
    <s v="작업완료"/>
    <s v="1011"/>
    <x v="0"/>
    <s v="2026-08-12 06:57:07"/>
    <s v="월수금"/>
    <x v="2"/>
  </r>
  <r>
    <d v="2026-08-12T06:58:55"/>
    <s v="19012676"/>
    <x v="12"/>
    <x v="12"/>
    <n v="12"/>
    <m/>
    <n v="12"/>
    <s v="20270723000000"/>
    <s v="디캔팅"/>
    <s v="입고"/>
    <s v="작업완료"/>
    <s v="1011"/>
    <x v="0"/>
    <s v="2026-08-12 06:57:01"/>
    <s v="월수금"/>
    <x v="2"/>
  </r>
  <r>
    <d v="2026-08-12T06:56:40"/>
    <s v="19019959"/>
    <x v="12"/>
    <x v="12"/>
    <n v="12"/>
    <m/>
    <n v="12"/>
    <s v="20270723000000"/>
    <s v="디캔팅"/>
    <s v="입고"/>
    <s v="작업완료"/>
    <s v="1011"/>
    <x v="0"/>
    <s v="2026-08-12 06:54:25"/>
    <s v="월수금"/>
    <x v="2"/>
  </r>
  <r>
    <d v="2026-08-12T06:56:37"/>
    <s v="19023532"/>
    <x v="12"/>
    <x v="12"/>
    <n v="12"/>
    <m/>
    <n v="12"/>
    <s v="20270723000000"/>
    <s v="디캔팅"/>
    <s v="입고"/>
    <s v="작업완료"/>
    <s v="1011"/>
    <x v="0"/>
    <s v="2026-08-12 06:54:36"/>
    <s v="월수금"/>
    <x v="2"/>
  </r>
  <r>
    <d v="2026-08-12T06:56:18"/>
    <s v="19016322"/>
    <x v="12"/>
    <x v="12"/>
    <n v="12"/>
    <m/>
    <n v="12"/>
    <s v="20270723000000"/>
    <s v="디캔팅"/>
    <s v="입고"/>
    <s v="작업완료"/>
    <s v="1011"/>
    <x v="0"/>
    <s v="2026-08-12 06:54:31"/>
    <s v="월수금"/>
    <x v="2"/>
  </r>
  <r>
    <d v="2026-08-12T06:54:52"/>
    <s v="19004837"/>
    <x v="12"/>
    <x v="12"/>
    <n v="12"/>
    <m/>
    <n v="12"/>
    <s v="20270723000000"/>
    <s v="디캔팅"/>
    <s v="입고"/>
    <s v="작업완료"/>
    <s v="1011"/>
    <x v="0"/>
    <s v="2026-08-12 06:52:40"/>
    <s v="월수금"/>
    <x v="2"/>
  </r>
  <r>
    <d v="2026-08-12T06:54:31"/>
    <s v="19017947"/>
    <x v="12"/>
    <x v="12"/>
    <n v="12"/>
    <m/>
    <n v="12"/>
    <s v="20270723000000"/>
    <s v="디캔팅"/>
    <s v="입고"/>
    <s v="작업완료"/>
    <s v="1011"/>
    <x v="0"/>
    <s v="2026-08-12 06:52:37"/>
    <s v="월수금"/>
    <x v="2"/>
  </r>
  <r>
    <d v="2026-08-12T06:54:28"/>
    <s v="19014070"/>
    <x v="12"/>
    <x v="12"/>
    <n v="12"/>
    <m/>
    <n v="12"/>
    <s v="20270723000000"/>
    <s v="디캔팅"/>
    <s v="입고"/>
    <s v="작업완료"/>
    <s v="1011"/>
    <x v="0"/>
    <s v="2026-08-12 06:52:31"/>
    <s v="월수금"/>
    <x v="2"/>
  </r>
  <r>
    <d v="2026-08-12T06:53:03"/>
    <s v="19007142"/>
    <x v="12"/>
    <x v="12"/>
    <n v="12"/>
    <m/>
    <n v="12"/>
    <s v="20270723000000"/>
    <s v="디캔팅"/>
    <s v="입고"/>
    <s v="작업완료"/>
    <s v="1011"/>
    <x v="0"/>
    <s v="2026-08-12 06:50:42"/>
    <s v="월수금"/>
    <x v="2"/>
  </r>
  <r>
    <d v="2026-08-12T06:52:36"/>
    <s v="19024184"/>
    <x v="12"/>
    <x v="12"/>
    <n v="12"/>
    <m/>
    <n v="12"/>
    <s v="20270723000000"/>
    <s v="디캔팅"/>
    <s v="입고"/>
    <s v="작업완료"/>
    <s v="1011"/>
    <x v="0"/>
    <s v="2026-08-12 06:50:34"/>
    <s v="월수금"/>
    <x v="2"/>
  </r>
  <r>
    <d v="2026-08-12T06:52:33"/>
    <s v="19027688"/>
    <x v="12"/>
    <x v="12"/>
    <n v="12"/>
    <m/>
    <n v="12"/>
    <s v="20270723000000"/>
    <s v="디캔팅"/>
    <s v="입고"/>
    <s v="작업완료"/>
    <s v="1011"/>
    <x v="0"/>
    <s v="2026-08-12 06:50:37"/>
    <s v="월수금"/>
    <x v="2"/>
  </r>
  <r>
    <d v="2026-08-12T06:50:50"/>
    <s v="19009719"/>
    <x v="12"/>
    <x v="12"/>
    <n v="12"/>
    <m/>
    <n v="12"/>
    <s v="20270723000000"/>
    <s v="디캔팅"/>
    <s v="입고"/>
    <s v="작업완료"/>
    <s v="1011"/>
    <x v="0"/>
    <s v="2026-08-12 06:48:44"/>
    <s v="월수금"/>
    <x v="2"/>
  </r>
  <r>
    <d v="2026-08-12T06:50:38"/>
    <s v="19014000"/>
    <x v="12"/>
    <x v="12"/>
    <n v="12"/>
    <m/>
    <n v="12"/>
    <s v="20270723000000"/>
    <s v="디캔팅"/>
    <s v="입고"/>
    <s v="작업완료"/>
    <s v="1011"/>
    <x v="0"/>
    <s v="2026-08-12 06:48:40"/>
    <s v="월수금"/>
    <x v="2"/>
  </r>
  <r>
    <d v="2026-08-12T06:50:28"/>
    <s v="19010675"/>
    <x v="12"/>
    <x v="12"/>
    <n v="12"/>
    <m/>
    <n v="12"/>
    <s v="20270723000000"/>
    <s v="디캔팅"/>
    <s v="입고"/>
    <s v="작업완료"/>
    <s v="1011"/>
    <x v="0"/>
    <s v="2026-08-12 06:48:35"/>
    <s v="월수금"/>
    <x v="2"/>
  </r>
  <r>
    <d v="2026-08-12T06:49:00"/>
    <s v="19015764"/>
    <x v="12"/>
    <x v="12"/>
    <n v="12"/>
    <m/>
    <n v="12"/>
    <s v="20270723000000"/>
    <s v="디캔팅"/>
    <s v="입고"/>
    <s v="작업완료"/>
    <s v="1011"/>
    <x v="0"/>
    <s v="2026-08-12 06:46:54"/>
    <s v="월수금"/>
    <x v="2"/>
  </r>
  <r>
    <d v="2026-08-12T06:48:50"/>
    <s v="19024030"/>
    <x v="12"/>
    <x v="12"/>
    <n v="12"/>
    <m/>
    <n v="12"/>
    <s v="20270723000000"/>
    <s v="디캔팅"/>
    <s v="입고"/>
    <s v="작업완료"/>
    <s v="1011"/>
    <x v="0"/>
    <s v="2026-08-12 06:46:59"/>
    <s v="월수금"/>
    <x v="2"/>
  </r>
  <r>
    <d v="2026-08-12T06:48:38"/>
    <s v="19010320"/>
    <x v="12"/>
    <x v="12"/>
    <n v="12"/>
    <m/>
    <n v="12"/>
    <s v="20270723000000"/>
    <s v="디캔팅"/>
    <s v="입고"/>
    <s v="작업완료"/>
    <s v="1011"/>
    <x v="0"/>
    <s v="2026-08-12 06:46:51"/>
    <s v="월수금"/>
    <x v="2"/>
  </r>
  <r>
    <d v="2026-08-12T06:47:05"/>
    <s v="19029002"/>
    <x v="12"/>
    <x v="12"/>
    <n v="12"/>
    <m/>
    <n v="12"/>
    <s v="20270723000000"/>
    <s v="디캔팅"/>
    <s v="입고"/>
    <s v="작업완료"/>
    <s v="1011"/>
    <x v="0"/>
    <s v="2026-08-12 06:44:54"/>
    <s v="월수금"/>
    <x v="2"/>
  </r>
  <r>
    <d v="2026-08-12T06:46:40"/>
    <s v="19010775"/>
    <x v="12"/>
    <x v="12"/>
    <n v="12"/>
    <m/>
    <n v="12"/>
    <s v="20270723000000"/>
    <s v="디캔팅"/>
    <s v="입고"/>
    <s v="작업완료"/>
    <s v="1011"/>
    <x v="0"/>
    <s v="2026-08-12 06:44:48"/>
    <s v="월수금"/>
    <x v="2"/>
  </r>
  <r>
    <d v="2026-08-12T06:46:39"/>
    <s v="19010695"/>
    <x v="12"/>
    <x v="12"/>
    <n v="12"/>
    <m/>
    <n v="12"/>
    <s v="20270723000000"/>
    <s v="디캔팅"/>
    <s v="입고"/>
    <s v="작업완료"/>
    <s v="1011"/>
    <x v="0"/>
    <s v="2026-08-12 06:44:43"/>
    <s v="월수금"/>
    <x v="2"/>
  </r>
  <r>
    <d v="2026-08-12T06:45:11"/>
    <s v="19019324"/>
    <x v="12"/>
    <x v="12"/>
    <n v="12"/>
    <m/>
    <n v="12"/>
    <s v="20270723000000"/>
    <s v="디캔팅"/>
    <s v="입고"/>
    <s v="작업완료"/>
    <s v="1011"/>
    <x v="0"/>
    <s v="2026-08-12 06:42:52"/>
    <s v="월수금"/>
    <x v="2"/>
  </r>
  <r>
    <d v="2026-08-12T06:45:09"/>
    <s v="19016170"/>
    <x v="12"/>
    <x v="12"/>
    <n v="12"/>
    <m/>
    <n v="12"/>
    <s v="20270723000000"/>
    <s v="디캔팅"/>
    <s v="입고"/>
    <s v="작업완료"/>
    <s v="1011"/>
    <x v="0"/>
    <s v="2026-08-12 06:43:02"/>
    <s v="월수금"/>
    <x v="2"/>
  </r>
  <r>
    <d v="2026-08-12T06:44:55"/>
    <s v="19013921"/>
    <x v="12"/>
    <x v="12"/>
    <n v="12"/>
    <m/>
    <n v="12"/>
    <s v="20270723000000"/>
    <s v="디캔팅"/>
    <s v="입고"/>
    <s v="작업완료"/>
    <s v="1011"/>
    <x v="0"/>
    <s v="2026-08-12 06:42:56"/>
    <s v="월수금"/>
    <x v="2"/>
  </r>
  <r>
    <d v="2026-08-12T06:43:08"/>
    <s v="19017293"/>
    <x v="12"/>
    <x v="12"/>
    <n v="12"/>
    <m/>
    <n v="12"/>
    <s v="20270723000000"/>
    <s v="디캔팅"/>
    <s v="입고"/>
    <s v="작업완료"/>
    <s v="1011"/>
    <x v="0"/>
    <s v="2026-08-12 06:40:56"/>
    <s v="월수금"/>
    <x v="2"/>
  </r>
  <r>
    <d v="2026-08-12T06:42:51"/>
    <s v="19008659"/>
    <x v="12"/>
    <x v="12"/>
    <n v="12"/>
    <m/>
    <n v="12"/>
    <s v="20270723000000"/>
    <s v="디캔팅"/>
    <s v="입고"/>
    <s v="작업완료"/>
    <s v="1011"/>
    <x v="0"/>
    <s v="2026-08-12 06:40:52"/>
    <s v="월수금"/>
    <x v="2"/>
  </r>
  <r>
    <d v="2026-08-12T06:42:43"/>
    <s v="19013577"/>
    <x v="12"/>
    <x v="12"/>
    <n v="12"/>
    <m/>
    <n v="12"/>
    <s v="20270723000000"/>
    <s v="디캔팅"/>
    <s v="입고"/>
    <s v="작업완료"/>
    <s v="1011"/>
    <x v="0"/>
    <s v="2026-08-12 06:41:00"/>
    <s v="월수금"/>
    <x v="2"/>
  </r>
  <r>
    <d v="2026-08-12T06:41:26"/>
    <s v="19018587"/>
    <x v="12"/>
    <x v="12"/>
    <n v="12"/>
    <m/>
    <n v="12"/>
    <s v="20270723000000"/>
    <s v="디캔팅"/>
    <s v="입고"/>
    <s v="작업완료"/>
    <s v="1011"/>
    <x v="0"/>
    <s v="2026-08-12 06:39:18"/>
    <s v="월수금"/>
    <x v="2"/>
  </r>
  <r>
    <d v="2026-08-12T06:41:12"/>
    <s v="19022875"/>
    <x v="12"/>
    <x v="12"/>
    <n v="12"/>
    <m/>
    <n v="12"/>
    <s v="20270723000000"/>
    <s v="디캔팅"/>
    <s v="입고"/>
    <s v="작업완료"/>
    <s v="1011"/>
    <x v="0"/>
    <s v="2026-08-12 06:39:14"/>
    <s v="월수금"/>
    <x v="2"/>
  </r>
  <r>
    <d v="2026-08-12T06:41:04"/>
    <s v="19025385"/>
    <x v="12"/>
    <x v="12"/>
    <n v="12"/>
    <m/>
    <n v="12"/>
    <s v="20270723000000"/>
    <s v="디캔팅"/>
    <s v="입고"/>
    <s v="작업완료"/>
    <s v="1011"/>
    <x v="0"/>
    <s v="2026-08-12 06:39:22"/>
    <s v="월수금"/>
    <x v="2"/>
  </r>
  <r>
    <d v="2026-08-10T09:49:33"/>
    <s v="19009758"/>
    <x v="12"/>
    <x v="12"/>
    <n v="12"/>
    <m/>
    <n v="12"/>
    <s v="20270709000000"/>
    <s v="디캔팅"/>
    <s v="입고"/>
    <s v="작업완료"/>
    <s v="1001"/>
    <x v="13"/>
    <s v="2026-08-10 09:47:49"/>
    <s v="월수금"/>
    <x v="3"/>
  </r>
  <r>
    <d v="2026-08-10T09:47:35"/>
    <s v="20009758"/>
    <x v="12"/>
    <x v="12"/>
    <n v="12"/>
    <m/>
    <n v="12"/>
    <s v="20270709000000"/>
    <s v="디캔팅"/>
    <s v="입고"/>
    <s v="작업취소"/>
    <s v="1001"/>
    <x v="13"/>
    <s v="2026-08-10 09:47:35"/>
    <s v="월수금"/>
    <x v="3"/>
  </r>
  <r>
    <d v="2026-08-10T09:38:40"/>
    <s v="19015704"/>
    <x v="12"/>
    <x v="12"/>
    <n v="6"/>
    <m/>
    <n v="6"/>
    <s v="20270709000000"/>
    <s v="디캔팅"/>
    <s v="입고"/>
    <s v="작업완료"/>
    <s v="1013"/>
    <x v="1"/>
    <s v="2026-08-10 09:36:32"/>
    <s v="월수금"/>
    <x v="3"/>
  </r>
  <r>
    <d v="2026-08-10T09:38:15"/>
    <s v="19007094"/>
    <x v="12"/>
    <x v="12"/>
    <n v="12"/>
    <m/>
    <n v="12"/>
    <s v="20270709000000"/>
    <s v="디캔팅"/>
    <s v="입고"/>
    <s v="작업완료"/>
    <s v="1013"/>
    <x v="1"/>
    <s v="2026-08-10 09:36:01"/>
    <s v="월수금"/>
    <x v="3"/>
  </r>
  <r>
    <d v="2026-08-10T09:37:59"/>
    <s v="19011909"/>
    <x v="12"/>
    <x v="12"/>
    <n v="12"/>
    <m/>
    <n v="12"/>
    <s v="20270709000000"/>
    <s v="디캔팅"/>
    <s v="입고"/>
    <s v="작업완료"/>
    <s v="1013"/>
    <x v="1"/>
    <s v="2026-08-10 09:36:07"/>
    <s v="월수금"/>
    <x v="3"/>
  </r>
  <r>
    <d v="2026-08-10T09:36:43"/>
    <s v="19028444"/>
    <x v="12"/>
    <x v="12"/>
    <n v="12"/>
    <m/>
    <n v="12"/>
    <s v="20270709000000"/>
    <s v="디캔팅"/>
    <s v="입고"/>
    <s v="작업완료"/>
    <s v="1013"/>
    <x v="1"/>
    <s v="2026-08-10 09:34:32"/>
    <s v="월수금"/>
    <x v="3"/>
  </r>
  <r>
    <d v="2026-08-10T09:36:21"/>
    <s v="19011886"/>
    <x v="12"/>
    <x v="12"/>
    <n v="12"/>
    <m/>
    <n v="12"/>
    <s v="20270709000000"/>
    <s v="디캔팅"/>
    <s v="입고"/>
    <s v="작업완료"/>
    <s v="1013"/>
    <x v="1"/>
    <s v="2026-08-10 09:34:37"/>
    <s v="월수금"/>
    <x v="3"/>
  </r>
  <r>
    <d v="2026-08-10T09:35:18"/>
    <s v="19014754"/>
    <x v="12"/>
    <x v="12"/>
    <n v="12"/>
    <m/>
    <n v="12"/>
    <s v="20270709000000"/>
    <s v="디캔팅"/>
    <s v="입고"/>
    <s v="작업완료"/>
    <s v="1013"/>
    <x v="1"/>
    <s v="2026-08-10 09:33:17"/>
    <s v="월수금"/>
    <x v="3"/>
  </r>
  <r>
    <d v="2026-08-10T09:35:09"/>
    <s v="19013013"/>
    <x v="12"/>
    <x v="12"/>
    <n v="12"/>
    <m/>
    <n v="12"/>
    <s v="20270709000000"/>
    <s v="디캔팅"/>
    <s v="입고"/>
    <s v="작업완료"/>
    <s v="1013"/>
    <x v="1"/>
    <s v="2026-08-10 09:33:23"/>
    <s v="월수금"/>
    <x v="3"/>
  </r>
  <r>
    <d v="2026-08-10T09:34:08"/>
    <s v="19004619"/>
    <x v="12"/>
    <x v="12"/>
    <n v="12"/>
    <m/>
    <n v="12"/>
    <s v="20270709000000"/>
    <s v="디캔팅"/>
    <s v="입고"/>
    <s v="작업완료"/>
    <s v="1013"/>
    <x v="1"/>
    <s v="2026-08-10 09:31:58"/>
    <s v="월수금"/>
    <x v="3"/>
  </r>
  <r>
    <d v="2026-08-10T09:34:02"/>
    <s v="19010210"/>
    <x v="12"/>
    <x v="12"/>
    <n v="12"/>
    <m/>
    <n v="12"/>
    <s v="20270709000000"/>
    <s v="디캔팅"/>
    <s v="입고"/>
    <s v="작업완료"/>
    <s v="1013"/>
    <x v="1"/>
    <s v="2026-08-10 09:30:07"/>
    <s v="월수금"/>
    <x v="3"/>
  </r>
  <r>
    <d v="2026-08-10T09:33:44"/>
    <s v="19025848"/>
    <x v="12"/>
    <x v="12"/>
    <n v="12"/>
    <m/>
    <n v="12"/>
    <s v="20270709000000"/>
    <s v="디캔팅"/>
    <s v="입고"/>
    <s v="작업완료"/>
    <s v="1010"/>
    <x v="7"/>
    <s v="2026-08-10 09:31:50"/>
    <s v="월수금"/>
    <x v="3"/>
  </r>
  <r>
    <d v="2026-08-10T09:33:43"/>
    <s v="19017115"/>
    <x v="12"/>
    <x v="12"/>
    <n v="12"/>
    <m/>
    <n v="12"/>
    <s v="20270709000000"/>
    <s v="디캔팅"/>
    <s v="입고"/>
    <s v="작업완료"/>
    <s v="1013"/>
    <x v="1"/>
    <s v="2026-08-10 09:31:51"/>
    <s v="월수금"/>
    <x v="3"/>
  </r>
  <r>
    <d v="2026-08-10T09:33:37"/>
    <s v="19018621"/>
    <x v="12"/>
    <x v="12"/>
    <n v="12"/>
    <m/>
    <n v="12"/>
    <s v="20270709000000"/>
    <s v="디캔팅"/>
    <s v="입고"/>
    <s v="작업완료"/>
    <s v="1010"/>
    <x v="7"/>
    <s v="2026-08-10 09:31:44"/>
    <s v="월수금"/>
    <x v="3"/>
  </r>
  <r>
    <d v="2026-08-10T09:32:30"/>
    <s v="19010056"/>
    <x v="12"/>
    <x v="12"/>
    <n v="12"/>
    <m/>
    <n v="12"/>
    <s v="20270709000000"/>
    <s v="디캔팅"/>
    <s v="입고"/>
    <s v="작업완료"/>
    <s v="1013"/>
    <x v="1"/>
    <s v="2026-08-10 09:30:18"/>
    <s v="월수금"/>
    <x v="3"/>
  </r>
  <r>
    <d v="2026-08-10T09:32:06"/>
    <s v="19021585"/>
    <x v="12"/>
    <x v="12"/>
    <n v="12"/>
    <m/>
    <n v="12"/>
    <s v="20270709000000"/>
    <s v="디캔팅"/>
    <s v="입고"/>
    <s v="작업완료"/>
    <s v="1010"/>
    <x v="7"/>
    <s v="2026-08-10 09:30:01"/>
    <s v="월수금"/>
    <x v="3"/>
  </r>
  <r>
    <d v="2026-08-10T09:31:42"/>
    <s v="19025252"/>
    <x v="12"/>
    <x v="12"/>
    <n v="12"/>
    <m/>
    <n v="12"/>
    <s v="20270709000000"/>
    <s v="디캔팅"/>
    <s v="입고"/>
    <s v="작업완료"/>
    <s v="1010"/>
    <x v="7"/>
    <s v="2026-08-10 09:29:55"/>
    <s v="월수금"/>
    <x v="3"/>
  </r>
  <r>
    <d v="2026-08-10T09:31:10"/>
    <s v="19023881"/>
    <x v="12"/>
    <x v="12"/>
    <n v="12"/>
    <m/>
    <n v="12"/>
    <s v="20270709000000"/>
    <s v="디캔팅"/>
    <s v="입고"/>
    <s v="작업완료"/>
    <s v="1013"/>
    <x v="1"/>
    <s v="2026-08-10 09:29:05"/>
    <s v="월수금"/>
    <x v="3"/>
  </r>
  <r>
    <d v="2026-08-10T09:31:02"/>
    <s v="19024047"/>
    <x v="12"/>
    <x v="12"/>
    <n v="12"/>
    <m/>
    <n v="12"/>
    <s v="20270709000000"/>
    <s v="디캔팅"/>
    <s v="입고"/>
    <s v="작업완료"/>
    <s v="1013"/>
    <x v="1"/>
    <s v="2026-08-10 09:28:58"/>
    <s v="월수금"/>
    <x v="3"/>
  </r>
  <r>
    <d v="2026-08-10T09:30:32"/>
    <s v="19026534"/>
    <x v="12"/>
    <x v="12"/>
    <n v="12"/>
    <m/>
    <n v="12"/>
    <s v="20270709000000"/>
    <s v="디캔팅"/>
    <s v="입고"/>
    <s v="작업완료"/>
    <s v="1013"/>
    <x v="1"/>
    <s v="2026-08-10 09:28:51"/>
    <s v="월수금"/>
    <x v="3"/>
  </r>
  <r>
    <d v="2026-08-10T09:29:14"/>
    <s v="19004552"/>
    <x v="12"/>
    <x v="12"/>
    <n v="12"/>
    <m/>
    <n v="12"/>
    <s v="20270709000000"/>
    <s v="디캔팅"/>
    <s v="입고"/>
    <s v="작업완료"/>
    <s v="1010"/>
    <x v="7"/>
    <s v="2026-08-10 09:27:20"/>
    <s v="월수금"/>
    <x v="3"/>
  </r>
  <r>
    <d v="2026-08-10T09:29:13"/>
    <s v="19018471"/>
    <x v="12"/>
    <x v="12"/>
    <n v="12"/>
    <m/>
    <n v="12"/>
    <s v="20270709000000"/>
    <s v="디캔팅"/>
    <s v="입고"/>
    <s v="작업완료"/>
    <s v="1010"/>
    <x v="7"/>
    <s v="2026-08-10 09:27:26"/>
    <s v="월수금"/>
    <x v="3"/>
  </r>
  <r>
    <d v="2026-08-10T09:29:07"/>
    <s v="19010413"/>
    <x v="12"/>
    <x v="12"/>
    <n v="12"/>
    <m/>
    <n v="12"/>
    <s v="20270709000000"/>
    <s v="디캔팅"/>
    <s v="입고"/>
    <s v="작업완료"/>
    <s v="1010"/>
    <x v="7"/>
    <s v="2026-08-10 09:27:15"/>
    <s v="월수금"/>
    <x v="3"/>
  </r>
  <r>
    <d v="2026-08-10T09:28:11"/>
    <s v="19029264"/>
    <x v="12"/>
    <x v="12"/>
    <n v="12"/>
    <m/>
    <n v="12"/>
    <s v="20270709000000"/>
    <s v="디캔팅"/>
    <s v="입고"/>
    <s v="작업완료"/>
    <s v="1013"/>
    <x v="1"/>
    <s v="2026-08-10 09:26:08"/>
    <s v="월수금"/>
    <x v="3"/>
  </r>
  <r>
    <d v="2026-08-10T09:25:52"/>
    <s v="19007199"/>
    <x v="12"/>
    <x v="12"/>
    <n v="12"/>
    <m/>
    <n v="12"/>
    <s v="20270709000000"/>
    <s v="디캔팅"/>
    <s v="입고"/>
    <s v="작업완료"/>
    <s v="1010"/>
    <x v="7"/>
    <s v="2026-08-10 09:23:17"/>
    <s v="월수금"/>
    <x v="3"/>
  </r>
  <r>
    <d v="2026-08-10T09:25:22"/>
    <s v="19010912"/>
    <x v="12"/>
    <x v="12"/>
    <n v="12"/>
    <m/>
    <n v="12"/>
    <s v="20270709000000"/>
    <s v="디캔팅"/>
    <s v="입고"/>
    <s v="작업완료"/>
    <s v="1010"/>
    <x v="7"/>
    <s v="2026-08-10 09:23:21"/>
    <s v="월수금"/>
    <x v="3"/>
  </r>
  <r>
    <d v="2026-08-10T09:25:14"/>
    <s v="19005418"/>
    <x v="12"/>
    <x v="12"/>
    <n v="12"/>
    <m/>
    <n v="12"/>
    <s v="20270709000000"/>
    <s v="디캔팅"/>
    <s v="입고"/>
    <s v="작업완료"/>
    <s v="1010"/>
    <x v="7"/>
    <s v="2026-08-10 09:23:28"/>
    <s v="월수금"/>
    <x v="3"/>
  </r>
  <r>
    <d v="2026-08-10T09:23:11"/>
    <s v="19007016"/>
    <x v="12"/>
    <x v="12"/>
    <n v="12"/>
    <m/>
    <n v="12"/>
    <s v="20270709000000"/>
    <s v="디캔팅"/>
    <s v="입고"/>
    <s v="작업완료"/>
    <s v="1010"/>
    <x v="7"/>
    <s v="2026-08-10 09:21:00"/>
    <s v="월수금"/>
    <x v="3"/>
  </r>
  <r>
    <d v="2026-08-10T09:22:39"/>
    <s v="19004519"/>
    <x v="12"/>
    <x v="12"/>
    <n v="12"/>
    <m/>
    <n v="12"/>
    <s v="20270709000000"/>
    <s v="디캔팅"/>
    <s v="입고"/>
    <s v="작업완료"/>
    <s v="1010"/>
    <x v="7"/>
    <s v="2026-08-10 09:20:47"/>
    <s v="월수금"/>
    <x v="3"/>
  </r>
  <r>
    <d v="2026-08-10T06:35:48"/>
    <s v="19023219"/>
    <x v="12"/>
    <x v="12"/>
    <n v="12"/>
    <m/>
    <n v="12"/>
    <s v="20270723000000"/>
    <s v="디캔팅"/>
    <s v="입고"/>
    <s v="작업완료"/>
    <s v="1002"/>
    <x v="12"/>
    <s v="2026-08-10 06:34:16"/>
    <s v="월수금"/>
    <x v="3"/>
  </r>
  <r>
    <d v="2026-08-10T06:35:37"/>
    <s v="19004887"/>
    <x v="12"/>
    <x v="12"/>
    <n v="12"/>
    <m/>
    <n v="12"/>
    <s v="20270723000000"/>
    <s v="디캔팅"/>
    <s v="입고"/>
    <s v="작업완료"/>
    <s v="1002"/>
    <x v="12"/>
    <s v="2026-08-10 06:34:01"/>
    <s v="월수금"/>
    <x v="3"/>
  </r>
  <r>
    <d v="2026-08-10T06:34:31"/>
    <s v="19007183"/>
    <x v="12"/>
    <x v="12"/>
    <n v="12"/>
    <m/>
    <n v="12"/>
    <s v="20270723000000"/>
    <s v="디캔팅"/>
    <s v="입고"/>
    <s v="작업완료"/>
    <s v="1002"/>
    <x v="12"/>
    <s v="2026-08-10 06:33:00"/>
    <s v="월수금"/>
    <x v="3"/>
  </r>
  <r>
    <d v="2026-08-10T06:34:22"/>
    <s v="19020310"/>
    <x v="12"/>
    <x v="12"/>
    <n v="12"/>
    <m/>
    <n v="12"/>
    <s v="20270723000000"/>
    <s v="디캔팅"/>
    <s v="입고"/>
    <s v="작업완료"/>
    <s v="1002"/>
    <x v="12"/>
    <s v="2026-08-10 06:32:56"/>
    <s v="월수금"/>
    <x v="3"/>
  </r>
  <r>
    <d v="2026-08-10T06:33:17"/>
    <s v="19027896"/>
    <x v="12"/>
    <x v="12"/>
    <n v="12"/>
    <m/>
    <n v="12"/>
    <s v="20270723000000"/>
    <s v="디캔팅"/>
    <s v="입고"/>
    <s v="작업완료"/>
    <s v="1002"/>
    <x v="12"/>
    <s v="2026-08-10 06:31:50"/>
    <s v="월수금"/>
    <x v="3"/>
  </r>
  <r>
    <d v="2026-08-10T06:33:15"/>
    <s v="19002457"/>
    <x v="12"/>
    <x v="12"/>
    <n v="12"/>
    <m/>
    <n v="12"/>
    <s v="20270723000000"/>
    <s v="디캔팅"/>
    <s v="입고"/>
    <s v="작업완료"/>
    <s v="1002"/>
    <x v="12"/>
    <s v="2026-08-10 06:31:55"/>
    <s v="월수금"/>
    <x v="3"/>
  </r>
  <r>
    <d v="2026-08-10T06:32:13"/>
    <s v="19007644"/>
    <x v="12"/>
    <x v="12"/>
    <n v="12"/>
    <m/>
    <n v="12"/>
    <s v="20270723000000"/>
    <s v="디캔팅"/>
    <s v="입고"/>
    <s v="작업완료"/>
    <s v="1002"/>
    <x v="12"/>
    <s v="2026-08-10 06:30:36"/>
    <s v="월수금"/>
    <x v="3"/>
  </r>
  <r>
    <d v="2026-08-10T06:32:07"/>
    <s v="19015421"/>
    <x v="12"/>
    <x v="12"/>
    <n v="12"/>
    <m/>
    <n v="12"/>
    <s v="20270723000000"/>
    <s v="디캔팅"/>
    <s v="입고"/>
    <s v="작업완료"/>
    <s v="1002"/>
    <x v="12"/>
    <s v="2026-08-10 06:30:40"/>
    <s v="월수금"/>
    <x v="3"/>
  </r>
  <r>
    <d v="2026-08-10T06:30:32"/>
    <s v="19020773"/>
    <x v="12"/>
    <x v="12"/>
    <n v="12"/>
    <m/>
    <n v="12"/>
    <s v="20270723000000"/>
    <s v="디캔팅"/>
    <s v="입고"/>
    <s v="작업완료"/>
    <s v="1002"/>
    <x v="12"/>
    <s v="2026-08-10 06:29:02"/>
    <s v="월수금"/>
    <x v="3"/>
  </r>
  <r>
    <d v="2026-08-10T06:30:30"/>
    <s v="19010791"/>
    <x v="12"/>
    <x v="12"/>
    <n v="12"/>
    <m/>
    <n v="12"/>
    <s v="20270723000000"/>
    <s v="디캔팅"/>
    <s v="입고"/>
    <s v="작업완료"/>
    <s v="1002"/>
    <x v="12"/>
    <s v="2026-08-10 06:29:10"/>
    <s v="월수금"/>
    <x v="3"/>
  </r>
  <r>
    <d v="2026-08-10T06:29:49"/>
    <s v="19017146"/>
    <x v="12"/>
    <x v="12"/>
    <n v="12"/>
    <m/>
    <n v="12"/>
    <s v="20270723000000"/>
    <s v="디캔팅"/>
    <s v="입고"/>
    <s v="작업완료"/>
    <s v="1002"/>
    <x v="12"/>
    <s v="2026-08-10 06:27:54"/>
    <s v="월수금"/>
    <x v="3"/>
  </r>
  <r>
    <d v="2026-08-10T06:29:27"/>
    <s v="19017041"/>
    <x v="12"/>
    <x v="12"/>
    <n v="12"/>
    <m/>
    <n v="12"/>
    <s v="20270723000000"/>
    <s v="디캔팅"/>
    <s v="입고"/>
    <s v="작업완료"/>
    <s v="1002"/>
    <x v="12"/>
    <s v="2026-08-10 06:27:59"/>
    <s v="월수금"/>
    <x v="3"/>
  </r>
  <r>
    <d v="2026-08-10T06:28:26"/>
    <s v="19000604"/>
    <x v="12"/>
    <x v="12"/>
    <n v="12"/>
    <m/>
    <n v="12"/>
    <s v="20270723000000"/>
    <s v="디캔팅"/>
    <s v="입고"/>
    <s v="작업완료"/>
    <s v="1002"/>
    <x v="12"/>
    <s v="2026-08-10 06:26:51"/>
    <s v="월수금"/>
    <x v="3"/>
  </r>
  <r>
    <d v="2026-08-10T06:28:21"/>
    <s v="19016973"/>
    <x v="12"/>
    <x v="12"/>
    <n v="12"/>
    <m/>
    <n v="12"/>
    <s v="20270723000000"/>
    <s v="디캔팅"/>
    <s v="입고"/>
    <s v="작업완료"/>
    <s v="1002"/>
    <x v="12"/>
    <s v="2026-08-10 06:26:47"/>
    <s v="월수금"/>
    <x v="3"/>
  </r>
  <r>
    <d v="2026-08-10T06:26:10"/>
    <s v="19009568"/>
    <x v="12"/>
    <x v="12"/>
    <n v="12"/>
    <m/>
    <n v="12"/>
    <s v="20270723000000"/>
    <s v="디캔팅"/>
    <s v="입고"/>
    <s v="작업완료"/>
    <s v="1002"/>
    <x v="12"/>
    <s v="2026-08-10 06:24:44"/>
    <s v="월수금"/>
    <x v="3"/>
  </r>
  <r>
    <d v="2026-08-10T06:26:00"/>
    <s v="19008930"/>
    <x v="12"/>
    <x v="12"/>
    <n v="12"/>
    <m/>
    <n v="12"/>
    <s v="20270723000000"/>
    <s v="디캔팅"/>
    <s v="입고"/>
    <s v="작업완료"/>
    <s v="1002"/>
    <x v="12"/>
    <s v="2026-08-10 06:24:39"/>
    <s v="월수금"/>
    <x v="3"/>
  </r>
  <r>
    <d v="2026-08-10T06:25:44"/>
    <s v="19027358"/>
    <x v="12"/>
    <x v="12"/>
    <n v="12"/>
    <m/>
    <n v="12"/>
    <s v="20270723000000"/>
    <s v="디캔팅"/>
    <s v="입고"/>
    <s v="작업완료"/>
    <s v="1002"/>
    <x v="12"/>
    <s v="2026-08-10 06:23:32"/>
    <s v="월수금"/>
    <x v="3"/>
  </r>
  <r>
    <d v="2026-08-10T06:25:03"/>
    <s v="19005084"/>
    <x v="12"/>
    <x v="12"/>
    <n v="12"/>
    <m/>
    <n v="12"/>
    <s v="20270723000000"/>
    <s v="디캔팅"/>
    <s v="입고"/>
    <s v="작업완료"/>
    <s v="1002"/>
    <x v="12"/>
    <s v="2026-08-10 06:23:36"/>
    <s v="월수금"/>
    <x v="3"/>
  </r>
  <r>
    <d v="2026-08-10T06:24:20"/>
    <s v="19004535"/>
    <x v="12"/>
    <x v="12"/>
    <n v="12"/>
    <m/>
    <n v="12"/>
    <s v="20270723000000"/>
    <s v="디캔팅"/>
    <s v="입고"/>
    <s v="작업완료"/>
    <s v="1002"/>
    <x v="12"/>
    <s v="2026-08-10 06:22:24"/>
    <s v="월수금"/>
    <x v="3"/>
  </r>
  <r>
    <d v="2026-08-10T06:23:56"/>
    <s v="19013895"/>
    <x v="12"/>
    <x v="12"/>
    <n v="12"/>
    <m/>
    <n v="12"/>
    <s v="20270723000000"/>
    <s v="디캔팅"/>
    <s v="입고"/>
    <s v="작업완료"/>
    <s v="1002"/>
    <x v="12"/>
    <s v="2026-08-10 06:22:29"/>
    <s v="월수금"/>
    <x v="3"/>
  </r>
  <r>
    <d v="2026-08-10T06:22:52"/>
    <s v="19009311"/>
    <x v="12"/>
    <x v="12"/>
    <n v="12"/>
    <m/>
    <n v="12"/>
    <s v="20270723000000"/>
    <s v="디캔팅"/>
    <s v="입고"/>
    <s v="작업완료"/>
    <s v="1002"/>
    <x v="12"/>
    <s v="2026-08-10 06:21:18"/>
    <s v="월수금"/>
    <x v="3"/>
  </r>
  <r>
    <d v="2026-08-10T06:22:37"/>
    <s v="19019378"/>
    <x v="12"/>
    <x v="12"/>
    <n v="12"/>
    <m/>
    <n v="12"/>
    <s v="20270723000000"/>
    <s v="디캔팅"/>
    <s v="입고"/>
    <s v="작업완료"/>
    <s v="1002"/>
    <x v="12"/>
    <s v="2026-08-10 06:21:13"/>
    <s v="월수금"/>
    <x v="3"/>
  </r>
  <r>
    <d v="2026-08-10T06:21:48"/>
    <s v="19026916"/>
    <x v="12"/>
    <x v="12"/>
    <n v="12"/>
    <m/>
    <n v="12"/>
    <s v="20270723000000"/>
    <s v="디캔팅"/>
    <s v="입고"/>
    <s v="작업완료"/>
    <s v="1002"/>
    <x v="12"/>
    <s v="2026-08-10 06:20:10"/>
    <s v="월수금"/>
    <x v="3"/>
  </r>
  <r>
    <d v="2026-08-10T06:21:37"/>
    <s v="19011172"/>
    <x v="12"/>
    <x v="12"/>
    <n v="12"/>
    <m/>
    <n v="12"/>
    <s v="20270723000000"/>
    <s v="디캔팅"/>
    <s v="입고"/>
    <s v="작업완료"/>
    <s v="1002"/>
    <x v="12"/>
    <s v="2026-08-10 06:20:06"/>
    <s v="월수금"/>
    <x v="3"/>
  </r>
  <r>
    <d v="2026-08-10T06:20:46"/>
    <s v="19009514"/>
    <x v="12"/>
    <x v="12"/>
    <n v="12"/>
    <m/>
    <n v="12"/>
    <s v="20270723000000"/>
    <s v="디캔팅"/>
    <s v="입고"/>
    <s v="작업완료"/>
    <s v="1002"/>
    <x v="12"/>
    <s v="2026-08-10 06:19:00"/>
    <s v="월수금"/>
    <x v="3"/>
  </r>
  <r>
    <d v="2026-08-10T06:20:35"/>
    <s v="19017445"/>
    <x v="12"/>
    <x v="12"/>
    <n v="12"/>
    <m/>
    <n v="12"/>
    <s v="20270723000000"/>
    <s v="디캔팅"/>
    <s v="입고"/>
    <s v="작업완료"/>
    <s v="1002"/>
    <x v="12"/>
    <s v="2026-08-10 06:19:04"/>
    <s v="월수금"/>
    <x v="3"/>
  </r>
  <r>
    <d v="2026-08-10T06:18:25"/>
    <s v="19010875"/>
    <x v="12"/>
    <x v="12"/>
    <n v="12"/>
    <m/>
    <n v="12"/>
    <s v="20270723000000"/>
    <s v="디캔팅"/>
    <s v="입고"/>
    <s v="작업완료"/>
    <s v="1002"/>
    <x v="12"/>
    <s v="2026-08-10 06:16:50"/>
    <s v="월수금"/>
    <x v="3"/>
  </r>
  <r>
    <d v="2026-08-10T06:18:17"/>
    <s v="19011109"/>
    <x v="12"/>
    <x v="12"/>
    <n v="12"/>
    <m/>
    <n v="12"/>
    <s v="20270723000000"/>
    <s v="디캔팅"/>
    <s v="입고"/>
    <s v="작업완료"/>
    <s v="1002"/>
    <x v="12"/>
    <s v="2026-08-10 06:16:45"/>
    <s v="월수금"/>
    <x v="3"/>
  </r>
  <r>
    <d v="2026-08-10T06:17:26"/>
    <s v="19000347"/>
    <x v="12"/>
    <x v="12"/>
    <n v="12"/>
    <m/>
    <n v="12"/>
    <s v="20270723000000"/>
    <s v="디캔팅"/>
    <s v="입고"/>
    <s v="작업완료"/>
    <s v="1002"/>
    <x v="12"/>
    <s v="2026-08-10 06:15:47"/>
    <s v="월수금"/>
    <x v="3"/>
  </r>
  <r>
    <d v="2026-08-10T06:17:15"/>
    <s v="19001315"/>
    <x v="12"/>
    <x v="12"/>
    <n v="12"/>
    <m/>
    <n v="12"/>
    <s v="20270723000000"/>
    <s v="디캔팅"/>
    <s v="입고"/>
    <s v="작업완료"/>
    <s v="1002"/>
    <x v="12"/>
    <s v="2026-08-10 06:15:42"/>
    <s v="월수금"/>
    <x v="3"/>
  </r>
  <r>
    <d v="2026-08-10T06:16:13"/>
    <s v="19003202"/>
    <x v="12"/>
    <x v="12"/>
    <n v="12"/>
    <m/>
    <n v="12"/>
    <s v="20270723000000"/>
    <s v="디캔팅"/>
    <s v="입고"/>
    <s v="작업완료"/>
    <s v="1002"/>
    <x v="12"/>
    <s v="2026-08-10 06:14:38"/>
    <s v="월수금"/>
    <x v="3"/>
  </r>
  <r>
    <d v="2026-08-10T06:16:07"/>
    <s v="19028072"/>
    <x v="12"/>
    <x v="12"/>
    <n v="12"/>
    <m/>
    <n v="12"/>
    <s v="20270723000000"/>
    <s v="디캔팅"/>
    <s v="입고"/>
    <s v="작업완료"/>
    <s v="1002"/>
    <x v="12"/>
    <s v="2026-08-10 06:14:33"/>
    <s v="월수금"/>
    <x v="3"/>
  </r>
  <r>
    <d v="2026-08-10T06:14:27"/>
    <s v="19002274"/>
    <x v="12"/>
    <x v="12"/>
    <n v="12"/>
    <m/>
    <n v="12"/>
    <s v="20270723000000"/>
    <s v="디캔팅"/>
    <s v="입고"/>
    <s v="작업완료"/>
    <s v="1002"/>
    <x v="12"/>
    <s v="2026-08-10 06:12:51"/>
    <s v="월수금"/>
    <x v="3"/>
  </r>
  <r>
    <d v="2026-08-10T06:14:18"/>
    <s v="19010550"/>
    <x v="12"/>
    <x v="12"/>
    <n v="12"/>
    <m/>
    <n v="12"/>
    <s v="20270723000000"/>
    <s v="디캔팅"/>
    <s v="입고"/>
    <s v="작업완료"/>
    <s v="1002"/>
    <x v="12"/>
    <s v="2026-08-10 06:12:55"/>
    <s v="월수금"/>
    <x v="3"/>
  </r>
  <r>
    <d v="2026-08-10T06:13:18"/>
    <s v="19018624"/>
    <x v="12"/>
    <x v="12"/>
    <n v="12"/>
    <m/>
    <n v="12"/>
    <s v="20270723000000"/>
    <s v="디캔팅"/>
    <s v="입고"/>
    <s v="작업완료"/>
    <s v="1002"/>
    <x v="12"/>
    <s v="2026-08-10 06:11:40"/>
    <s v="월수금"/>
    <x v="3"/>
  </r>
  <r>
    <d v="2026-08-10T06:13:01"/>
    <s v="19011469"/>
    <x v="12"/>
    <x v="12"/>
    <n v="12"/>
    <m/>
    <n v="12"/>
    <s v="20270723000000"/>
    <s v="디캔팅"/>
    <s v="입고"/>
    <s v="작업완료"/>
    <s v="1002"/>
    <x v="12"/>
    <s v="2026-08-10 06:11:35"/>
    <s v="월수금"/>
    <x v="3"/>
  </r>
  <r>
    <d v="2026-08-10T06:11:55"/>
    <s v="19011098"/>
    <x v="12"/>
    <x v="12"/>
    <n v="12"/>
    <m/>
    <n v="12"/>
    <s v="20270723000000"/>
    <s v="디캔팅"/>
    <s v="입고"/>
    <s v="작업완료"/>
    <s v="1002"/>
    <x v="12"/>
    <s v="2026-08-10 06:10:13"/>
    <s v="월수금"/>
    <x v="3"/>
  </r>
  <r>
    <d v="2026-08-10T06:11:49"/>
    <s v="19025154"/>
    <x v="12"/>
    <x v="12"/>
    <n v="12"/>
    <m/>
    <n v="12"/>
    <s v="20270723000000"/>
    <s v="디캔팅"/>
    <s v="입고"/>
    <s v="작업완료"/>
    <s v="1002"/>
    <x v="12"/>
    <s v="2026-08-10 06:10:18"/>
    <s v="월수금"/>
    <x v="3"/>
  </r>
  <r>
    <d v="2026-08-10T06:10:18"/>
    <s v="19004906"/>
    <x v="12"/>
    <x v="12"/>
    <n v="12"/>
    <m/>
    <n v="12"/>
    <s v="20270723000000"/>
    <s v="디캔팅"/>
    <s v="입고"/>
    <s v="작업완료"/>
    <s v="1002"/>
    <x v="12"/>
    <s v="2026-08-10 06:08:39"/>
    <s v="월수금"/>
    <x v="3"/>
  </r>
  <r>
    <d v="2026-08-10T06:10:11"/>
    <s v="19020740"/>
    <x v="12"/>
    <x v="12"/>
    <n v="12"/>
    <m/>
    <n v="12"/>
    <s v="20270723000000"/>
    <s v="디캔팅"/>
    <s v="입고"/>
    <s v="작업완료"/>
    <s v="1002"/>
    <x v="12"/>
    <s v="2026-08-10 06:08:34"/>
    <s v="월수금"/>
    <x v="3"/>
  </r>
  <r>
    <d v="2026-08-10T06:09:14"/>
    <s v="19018108"/>
    <x v="12"/>
    <x v="12"/>
    <n v="12"/>
    <m/>
    <n v="12"/>
    <s v="20270723000000"/>
    <s v="디캔팅"/>
    <s v="입고"/>
    <s v="작업완료"/>
    <s v="1002"/>
    <x v="12"/>
    <s v="2026-08-10 06:07:30"/>
    <s v="월수금"/>
    <x v="3"/>
  </r>
  <r>
    <d v="2026-08-10T06:09:12"/>
    <s v="19012103"/>
    <x v="12"/>
    <x v="12"/>
    <n v="12"/>
    <m/>
    <n v="12"/>
    <s v="20270723000000"/>
    <s v="디캔팅"/>
    <s v="입고"/>
    <s v="작업완료"/>
    <s v="1002"/>
    <x v="12"/>
    <s v="2026-08-10 06:07:34"/>
    <s v="월수금"/>
    <x v="3"/>
  </r>
  <r>
    <d v="2026-08-10T06:08:29"/>
    <s v="19019059"/>
    <x v="12"/>
    <x v="12"/>
    <n v="12"/>
    <m/>
    <n v="12"/>
    <s v="20270723000000"/>
    <s v="디캔팅"/>
    <s v="입고"/>
    <s v="작업완료"/>
    <s v="1002"/>
    <x v="12"/>
    <s v="2026-08-10 06:06:33"/>
    <s v="월수금"/>
    <x v="3"/>
  </r>
  <r>
    <d v="2026-08-10T06:07:54"/>
    <s v="19003760"/>
    <x v="12"/>
    <x v="12"/>
    <n v="12"/>
    <m/>
    <n v="12"/>
    <s v="20270723000000"/>
    <s v="디캔팅"/>
    <s v="입고"/>
    <s v="작업완료"/>
    <s v="1002"/>
    <x v="12"/>
    <s v="2026-08-10 06:06:29"/>
    <s v="월수금"/>
    <x v="3"/>
  </r>
  <r>
    <d v="2026-08-10T06:06:29"/>
    <s v="19006526"/>
    <x v="12"/>
    <x v="12"/>
    <n v="12"/>
    <m/>
    <n v="12"/>
    <s v="20270723000000"/>
    <s v="디캔팅"/>
    <s v="입고"/>
    <s v="작업완료"/>
    <s v="1002"/>
    <x v="12"/>
    <s v="2026-08-10 06:04:56"/>
    <s v="월수금"/>
    <x v="3"/>
  </r>
  <r>
    <d v="2026-08-10T06:06:29"/>
    <s v="19018936"/>
    <x v="12"/>
    <x v="12"/>
    <n v="12"/>
    <m/>
    <n v="12"/>
    <s v="20270723000000"/>
    <s v="디캔팅"/>
    <s v="입고"/>
    <s v="작업완료"/>
    <s v="1002"/>
    <x v="12"/>
    <s v="2026-08-10 06:05:01"/>
    <s v="월수금"/>
    <x v="3"/>
  </r>
  <r>
    <d v="2026-08-10T06:05:20"/>
    <s v="19017035"/>
    <x v="12"/>
    <x v="12"/>
    <n v="12"/>
    <m/>
    <n v="12"/>
    <s v="20270723000000"/>
    <s v="디캔팅"/>
    <s v="입고"/>
    <s v="작업완료"/>
    <s v="1002"/>
    <x v="12"/>
    <s v="2026-08-10 06:03:47"/>
    <s v="월수금"/>
    <x v="3"/>
  </r>
  <r>
    <d v="2026-08-10T06:05:02"/>
    <s v="19004331"/>
    <x v="12"/>
    <x v="12"/>
    <n v="12"/>
    <m/>
    <n v="12"/>
    <s v="20270723000000"/>
    <s v="디캔팅"/>
    <s v="입고"/>
    <s v="작업완료"/>
    <s v="1002"/>
    <x v="12"/>
    <s v="2026-08-10 06:03:41"/>
    <s v="월수금"/>
    <x v="3"/>
  </r>
  <r>
    <d v="2026-08-14T09:26:09"/>
    <s v="19013312"/>
    <x v="13"/>
    <x v="13"/>
    <n v="12"/>
    <m/>
    <n v="12"/>
    <s v="20270707150000"/>
    <s v="디캔팅"/>
    <s v="입고"/>
    <s v="작업완료"/>
    <s v="1011"/>
    <x v="0"/>
    <s v="2026-08-14 09:23:51"/>
    <s v="월수금"/>
    <x v="1"/>
  </r>
  <r>
    <d v="2026-08-14T09:26:04"/>
    <s v="19029851"/>
    <x v="13"/>
    <x v="13"/>
    <n v="8"/>
    <m/>
    <n v="8"/>
    <s v="20270707150000"/>
    <s v="디캔팅"/>
    <s v="입고"/>
    <s v="작업완료"/>
    <s v="1011"/>
    <x v="0"/>
    <s v="2026-08-14 09:24:02"/>
    <s v="월수금"/>
    <x v="1"/>
  </r>
  <r>
    <d v="2026-08-14T09:24:22"/>
    <s v="19018065"/>
    <x v="13"/>
    <x v="13"/>
    <n v="12"/>
    <m/>
    <n v="12"/>
    <s v="20270707150000"/>
    <s v="디캔팅"/>
    <s v="입고"/>
    <s v="작업완료"/>
    <s v="1011"/>
    <x v="0"/>
    <s v="2026-08-14 09:22:16"/>
    <s v="월수금"/>
    <x v="1"/>
  </r>
  <r>
    <d v="2026-08-14T09:24:13"/>
    <s v="19024711"/>
    <x v="13"/>
    <x v="13"/>
    <n v="12"/>
    <m/>
    <n v="12"/>
    <s v="20270707150000"/>
    <s v="디캔팅"/>
    <s v="입고"/>
    <s v="작업완료"/>
    <s v="1011"/>
    <x v="0"/>
    <s v="2026-08-14 09:22:22"/>
    <s v="월수금"/>
    <x v="1"/>
  </r>
  <r>
    <d v="2026-08-14T09:21:26"/>
    <s v="19010040"/>
    <x v="13"/>
    <x v="13"/>
    <n v="12"/>
    <m/>
    <n v="12"/>
    <s v="20270707150000"/>
    <s v="디캔팅"/>
    <s v="입고"/>
    <s v="작업완료"/>
    <s v="1011"/>
    <x v="0"/>
    <s v="2026-08-14 09:19:21"/>
    <s v="월수금"/>
    <x v="1"/>
  </r>
  <r>
    <d v="2026-08-14T09:21:14"/>
    <s v="19025896"/>
    <x v="13"/>
    <x v="13"/>
    <n v="12"/>
    <m/>
    <n v="12"/>
    <s v="20270707150000"/>
    <s v="디캔팅"/>
    <s v="입고"/>
    <s v="작업완료"/>
    <s v="1011"/>
    <x v="0"/>
    <s v="2026-08-14 09:19:14"/>
    <s v="월수금"/>
    <x v="1"/>
  </r>
  <r>
    <d v="2026-08-14T09:18:28"/>
    <s v="19019223"/>
    <x v="13"/>
    <x v="13"/>
    <n v="12"/>
    <m/>
    <n v="12"/>
    <s v="20270707150000"/>
    <s v="디캔팅"/>
    <s v="입고"/>
    <s v="작업완료"/>
    <s v="1011"/>
    <x v="0"/>
    <s v="2026-08-14 09:16:32"/>
    <s v="월수금"/>
    <x v="1"/>
  </r>
  <r>
    <d v="2026-08-14T09:18:22"/>
    <s v="19011719"/>
    <x v="13"/>
    <x v="13"/>
    <n v="12"/>
    <m/>
    <n v="12"/>
    <s v="20270707150000"/>
    <s v="디캔팅"/>
    <s v="입고"/>
    <s v="작업완료"/>
    <s v="1011"/>
    <x v="0"/>
    <s v="2026-08-14 09:16:26"/>
    <s v="월수금"/>
    <x v="1"/>
  </r>
  <r>
    <d v="2026-08-14T09:16:42"/>
    <s v="19028535"/>
    <x v="13"/>
    <x v="13"/>
    <n v="12"/>
    <m/>
    <n v="12"/>
    <s v="20270707150000"/>
    <s v="디캔팅"/>
    <s v="입고"/>
    <s v="작업완료"/>
    <s v="1011"/>
    <x v="0"/>
    <s v="2026-08-14 09:14:25"/>
    <s v="월수금"/>
    <x v="1"/>
  </r>
  <r>
    <d v="2026-08-14T09:16:17"/>
    <s v="19021402"/>
    <x v="13"/>
    <x v="13"/>
    <n v="12"/>
    <m/>
    <n v="12"/>
    <s v="20270707150000"/>
    <s v="디캔팅"/>
    <s v="입고"/>
    <s v="작업완료"/>
    <s v="1011"/>
    <x v="0"/>
    <s v="2026-08-14 09:14:31"/>
    <s v="월수금"/>
    <x v="1"/>
  </r>
  <r>
    <d v="2026-08-14T09:13:40"/>
    <s v="19016943"/>
    <x v="13"/>
    <x v="13"/>
    <n v="12"/>
    <m/>
    <n v="12"/>
    <s v="20270707150000"/>
    <s v="디캔팅"/>
    <s v="입고"/>
    <s v="작업완료"/>
    <s v="1011"/>
    <x v="0"/>
    <s v="2026-08-14 09:11:21"/>
    <s v="월수금"/>
    <x v="1"/>
  </r>
  <r>
    <d v="2026-08-14T09:13:26"/>
    <s v="19017664"/>
    <x v="13"/>
    <x v="13"/>
    <n v="12"/>
    <m/>
    <n v="12"/>
    <s v="20270707150000"/>
    <s v="디캔팅"/>
    <s v="입고"/>
    <s v="작업완료"/>
    <s v="1011"/>
    <x v="0"/>
    <s v="2026-08-14 09:11:27"/>
    <s v="월수금"/>
    <x v="1"/>
  </r>
  <r>
    <d v="2026-08-14T09:11:57"/>
    <s v="19005759"/>
    <x v="13"/>
    <x v="13"/>
    <n v="12"/>
    <m/>
    <n v="12"/>
    <s v="20270707150000"/>
    <s v="디캔팅"/>
    <s v="입고"/>
    <s v="작업완료"/>
    <s v="1011"/>
    <x v="0"/>
    <s v="2026-08-14 09:09:42"/>
    <s v="월수금"/>
    <x v="1"/>
  </r>
  <r>
    <d v="2026-08-14T09:11:28"/>
    <s v="19006811"/>
    <x v="13"/>
    <x v="13"/>
    <n v="12"/>
    <m/>
    <n v="12"/>
    <s v="20270707150000"/>
    <s v="디캔팅"/>
    <s v="입고"/>
    <s v="작업완료"/>
    <s v="1011"/>
    <x v="0"/>
    <s v="2026-08-14 09:09:47"/>
    <s v="월수금"/>
    <x v="1"/>
  </r>
  <r>
    <d v="2026-08-14T09:08:48"/>
    <s v="19024152"/>
    <x v="13"/>
    <x v="13"/>
    <n v="12"/>
    <m/>
    <n v="12"/>
    <s v="20270707150000"/>
    <s v="디캔팅"/>
    <s v="입고"/>
    <s v="작업완료"/>
    <s v="1011"/>
    <x v="0"/>
    <s v="2026-08-14 09:06:32"/>
    <s v="월수금"/>
    <x v="1"/>
  </r>
  <r>
    <d v="2026-08-14T09:08:40"/>
    <s v="19014000"/>
    <x v="13"/>
    <x v="13"/>
    <n v="12"/>
    <m/>
    <n v="12"/>
    <s v="20270707150000"/>
    <s v="디캔팅"/>
    <s v="입고"/>
    <s v="작업완료"/>
    <s v="1011"/>
    <x v="0"/>
    <s v="2026-08-14 09:06:38"/>
    <s v="월수금"/>
    <x v="1"/>
  </r>
  <r>
    <d v="2026-08-12T13:50:21"/>
    <s v="19026955"/>
    <x v="13"/>
    <x v="13"/>
    <n v="12"/>
    <m/>
    <n v="12"/>
    <s v="20270707150000"/>
    <s v="디캔팅"/>
    <s v="입고"/>
    <s v="작업완료"/>
    <s v="1011"/>
    <x v="0"/>
    <s v="2026-08-12 13:47:47"/>
    <s v="월수금"/>
    <x v="2"/>
  </r>
  <r>
    <d v="2026-08-12T13:50:08"/>
    <s v="19029034"/>
    <x v="13"/>
    <x v="13"/>
    <n v="8"/>
    <m/>
    <n v="8"/>
    <s v="20270707150000"/>
    <s v="디캔팅"/>
    <s v="입고"/>
    <s v="작업완료"/>
    <s v="1011"/>
    <x v="0"/>
    <s v="2026-08-12 13:47:55"/>
    <s v="월수금"/>
    <x v="2"/>
  </r>
  <r>
    <d v="2026-08-12T13:47:53"/>
    <s v="19010399"/>
    <x v="13"/>
    <x v="13"/>
    <n v="12"/>
    <m/>
    <n v="12"/>
    <s v="20270707150000"/>
    <s v="디캔팅"/>
    <s v="입고"/>
    <s v="작업완료"/>
    <s v="1011"/>
    <x v="0"/>
    <s v="2026-08-12 13:45:43"/>
    <s v="월수금"/>
    <x v="2"/>
  </r>
  <r>
    <d v="2026-08-12T13:47:47"/>
    <s v="19024635"/>
    <x v="13"/>
    <x v="13"/>
    <n v="12"/>
    <m/>
    <n v="12"/>
    <s v="20270707150000"/>
    <s v="디캔팅"/>
    <s v="입고"/>
    <s v="작업완료"/>
    <s v="1011"/>
    <x v="0"/>
    <s v="2026-08-12 13:45:37"/>
    <s v="월수금"/>
    <x v="2"/>
  </r>
  <r>
    <d v="2026-08-12T13:47:14"/>
    <s v="19003380"/>
    <x v="13"/>
    <x v="13"/>
    <n v="12"/>
    <m/>
    <n v="12"/>
    <s v="20270707150000"/>
    <s v="디캔팅"/>
    <s v="입고"/>
    <s v="작업완료"/>
    <s v="1011"/>
    <x v="0"/>
    <s v="2026-08-12 13:45:33"/>
    <s v="월수금"/>
    <x v="2"/>
  </r>
  <r>
    <d v="2026-08-12T13:44:22"/>
    <s v="19017652"/>
    <x v="13"/>
    <x v="13"/>
    <n v="12"/>
    <m/>
    <n v="12"/>
    <s v="20270707150000"/>
    <s v="디캔팅"/>
    <s v="입고"/>
    <s v="작업완료"/>
    <s v="1011"/>
    <x v="0"/>
    <s v="2026-08-12 13:42:32"/>
    <s v="월수금"/>
    <x v="2"/>
  </r>
  <r>
    <d v="2026-08-12T13:44:10"/>
    <s v="19015450"/>
    <x v="13"/>
    <x v="13"/>
    <n v="12"/>
    <m/>
    <n v="12"/>
    <s v="20270707150000"/>
    <s v="디캔팅"/>
    <s v="입고"/>
    <s v="작업완료"/>
    <s v="1011"/>
    <x v="0"/>
    <s v="2026-08-12 13:42:19"/>
    <s v="월수금"/>
    <x v="2"/>
  </r>
  <r>
    <d v="2026-08-12T13:43:57"/>
    <s v="19000158"/>
    <x v="13"/>
    <x v="13"/>
    <n v="12"/>
    <m/>
    <n v="12"/>
    <s v="20270707150000"/>
    <s v="디캔팅"/>
    <s v="입고"/>
    <s v="작업완료"/>
    <s v="1011"/>
    <x v="0"/>
    <s v="2026-08-12 13:42:26"/>
    <s v="월수금"/>
    <x v="2"/>
  </r>
  <r>
    <d v="2026-08-12T13:42:57"/>
    <s v="19014184"/>
    <x v="13"/>
    <x v="13"/>
    <n v="12"/>
    <m/>
    <n v="12"/>
    <s v="20270707150000"/>
    <s v="디캔팅"/>
    <s v="입고"/>
    <s v="작업완료"/>
    <s v="1011"/>
    <x v="0"/>
    <s v="2026-08-12 13:40:07"/>
    <s v="월수금"/>
    <x v="2"/>
  </r>
  <r>
    <d v="2026-08-12T13:42:52"/>
    <s v="19006872"/>
    <x v="13"/>
    <x v="13"/>
    <n v="12"/>
    <m/>
    <n v="12"/>
    <s v="20270707150000"/>
    <s v="디캔팅"/>
    <s v="입고"/>
    <s v="작업완료"/>
    <s v="1011"/>
    <x v="0"/>
    <s v="2026-08-12 13:39:59"/>
    <s v="월수금"/>
    <x v="2"/>
  </r>
  <r>
    <d v="2026-08-12T13:42:49"/>
    <s v="19000776"/>
    <x v="13"/>
    <x v="13"/>
    <n v="12"/>
    <m/>
    <n v="12"/>
    <s v="20270707150000"/>
    <s v="디캔팅"/>
    <s v="입고"/>
    <s v="작업완료"/>
    <s v="1011"/>
    <x v="0"/>
    <s v="2026-08-12 13:40:03"/>
    <s v="월수금"/>
    <x v="2"/>
  </r>
  <r>
    <d v="2026-08-12T13:38:31"/>
    <s v="19019138"/>
    <x v="13"/>
    <x v="13"/>
    <n v="12"/>
    <m/>
    <n v="12"/>
    <s v="20270707150000"/>
    <s v="디캔팅"/>
    <s v="입고"/>
    <s v="작업완료"/>
    <s v="1011"/>
    <x v="0"/>
    <s v="2026-08-12 13:35:55"/>
    <s v="월수금"/>
    <x v="2"/>
  </r>
  <r>
    <d v="2026-08-12T13:37:41"/>
    <s v="19019563"/>
    <x v="13"/>
    <x v="13"/>
    <n v="12"/>
    <m/>
    <n v="12"/>
    <s v="20270707150000"/>
    <s v="디캔팅"/>
    <s v="입고"/>
    <s v="작업완료"/>
    <s v="1011"/>
    <x v="0"/>
    <s v="2026-08-12 13:35:51"/>
    <s v="월수금"/>
    <x v="2"/>
  </r>
  <r>
    <d v="2026-08-10T18:17:43"/>
    <s v="19001968"/>
    <x v="13"/>
    <x v="13"/>
    <n v="12"/>
    <m/>
    <n v="12"/>
    <s v="20270707150000"/>
    <s v="디캔팅"/>
    <s v="입고"/>
    <s v="작업완료"/>
    <s v="1005"/>
    <x v="2"/>
    <s v="2026-08-10 18:15:10"/>
    <s v="월수금"/>
    <x v="3"/>
  </r>
  <r>
    <d v="2026-08-10T18:16:58"/>
    <s v="19015107"/>
    <x v="13"/>
    <x v="13"/>
    <n v="4"/>
    <m/>
    <n v="4"/>
    <s v="20270707150000"/>
    <s v="디캔팅"/>
    <s v="입고"/>
    <s v="작업완료"/>
    <s v="1005"/>
    <x v="2"/>
    <s v="2026-08-10 18:15:13"/>
    <s v="월수금"/>
    <x v="3"/>
  </r>
  <r>
    <d v="2026-08-10T18:15:53"/>
    <s v="19006081"/>
    <x v="13"/>
    <x v="13"/>
    <n v="12"/>
    <m/>
    <n v="12"/>
    <s v="20270707150000"/>
    <s v="디캔팅"/>
    <s v="입고"/>
    <s v="작업완료"/>
    <s v="1005"/>
    <x v="2"/>
    <s v="2026-08-10 18:14:09"/>
    <s v="월수금"/>
    <x v="3"/>
  </r>
  <r>
    <d v="2026-08-10T18:15:51"/>
    <s v="19001903"/>
    <x v="13"/>
    <x v="13"/>
    <n v="12"/>
    <m/>
    <n v="12"/>
    <s v="20270707150000"/>
    <s v="디캔팅"/>
    <s v="입고"/>
    <s v="작업완료"/>
    <s v="1005"/>
    <x v="2"/>
    <s v="2026-08-10 18:14:03"/>
    <s v="월수금"/>
    <x v="3"/>
  </r>
  <r>
    <d v="2026-08-10T18:15:42"/>
    <s v="19000938"/>
    <x v="13"/>
    <x v="13"/>
    <n v="12"/>
    <m/>
    <n v="12"/>
    <s v="20270707150000"/>
    <s v="디캔팅"/>
    <s v="입고"/>
    <s v="작업완료"/>
    <s v="1005"/>
    <x v="2"/>
    <s v="2026-08-10 18:14:06"/>
    <s v="월수금"/>
    <x v="3"/>
  </r>
  <r>
    <d v="2026-08-10T18:12:44"/>
    <s v="19012243"/>
    <x v="13"/>
    <x v="13"/>
    <n v="12"/>
    <m/>
    <n v="12"/>
    <s v="20270707150000"/>
    <s v="디캔팅"/>
    <s v="입고"/>
    <s v="작업완료"/>
    <s v="1005"/>
    <x v="2"/>
    <s v="2026-08-10 18:11:14"/>
    <s v="월수금"/>
    <x v="3"/>
  </r>
  <r>
    <d v="2026-08-10T18:12:37"/>
    <s v="19014196"/>
    <x v="13"/>
    <x v="13"/>
    <n v="12"/>
    <m/>
    <n v="12"/>
    <s v="20270707150000"/>
    <s v="디캔팅"/>
    <s v="입고"/>
    <s v="작업완료"/>
    <s v="1005"/>
    <x v="2"/>
    <s v="2026-08-10 18:10:52"/>
    <s v="월수금"/>
    <x v="3"/>
  </r>
  <r>
    <d v="2026-08-10T18:12:26"/>
    <s v="19002223"/>
    <x v="13"/>
    <x v="13"/>
    <n v="12"/>
    <m/>
    <n v="12"/>
    <s v="20270707150000"/>
    <s v="디캔팅"/>
    <s v="입고"/>
    <s v="작업완료"/>
    <s v="1005"/>
    <x v="2"/>
    <s v="2026-08-10 18:10:55"/>
    <s v="월수금"/>
    <x v="3"/>
  </r>
  <r>
    <d v="2026-08-10T18:10:49"/>
    <s v="19001087"/>
    <x v="13"/>
    <x v="13"/>
    <n v="12"/>
    <m/>
    <n v="12"/>
    <s v="20270707150000"/>
    <s v="디캔팅"/>
    <s v="입고"/>
    <s v="작업완료"/>
    <s v="1005"/>
    <x v="2"/>
    <s v="2026-08-10 18:08:31"/>
    <s v="월수금"/>
    <x v="3"/>
  </r>
  <r>
    <d v="2026-08-10T18:10:19"/>
    <s v="19007680"/>
    <x v="13"/>
    <x v="13"/>
    <n v="12"/>
    <m/>
    <n v="12"/>
    <s v="20270707150000"/>
    <s v="디캔팅"/>
    <s v="입고"/>
    <s v="작업완료"/>
    <s v="1005"/>
    <x v="2"/>
    <s v="2026-08-10 18:08:35"/>
    <s v="월수금"/>
    <x v="3"/>
  </r>
  <r>
    <d v="2026-08-10T18:10:16"/>
    <s v="19001220"/>
    <x v="13"/>
    <x v="13"/>
    <n v="12"/>
    <m/>
    <n v="12"/>
    <s v="20270707150000"/>
    <s v="디캔팅"/>
    <s v="입고"/>
    <s v="작업완료"/>
    <s v="1005"/>
    <x v="2"/>
    <s v="2026-08-10 18:08:27"/>
    <s v="월수금"/>
    <x v="3"/>
  </r>
  <r>
    <d v="2026-08-10T18:07:50"/>
    <s v="19009775"/>
    <x v="13"/>
    <x v="13"/>
    <n v="12"/>
    <m/>
    <n v="12"/>
    <s v="20270707150000"/>
    <s v="디캔팅"/>
    <s v="입고"/>
    <s v="작업완료"/>
    <s v="1005"/>
    <x v="2"/>
    <s v="2026-08-10 18:05:58"/>
    <s v="월수금"/>
    <x v="3"/>
  </r>
  <r>
    <d v="2026-08-10T18:07:32"/>
    <s v="19001659"/>
    <x v="13"/>
    <x v="13"/>
    <n v="12"/>
    <m/>
    <n v="12"/>
    <s v="20270707150000"/>
    <s v="디캔팅"/>
    <s v="입고"/>
    <s v="작업완료"/>
    <s v="1005"/>
    <x v="2"/>
    <s v="2026-08-10 18:05:52"/>
    <s v="월수금"/>
    <x v="3"/>
  </r>
  <r>
    <d v="2026-08-10T18:07:24"/>
    <s v="19006430"/>
    <x v="13"/>
    <x v="13"/>
    <n v="12"/>
    <m/>
    <n v="12"/>
    <s v="20270707150000"/>
    <s v="디캔팅"/>
    <s v="입고"/>
    <s v="작업완료"/>
    <s v="1005"/>
    <x v="2"/>
    <s v="2026-08-10 18:05:55"/>
    <s v="월수금"/>
    <x v="3"/>
  </r>
  <r>
    <d v="2026-08-10T09:20:14"/>
    <s v="19000776"/>
    <x v="13"/>
    <x v="13"/>
    <n v="4"/>
    <m/>
    <n v="4"/>
    <s v="20270707000000"/>
    <s v="디캔팅"/>
    <s v="입고"/>
    <s v="작업완료"/>
    <s v="1014"/>
    <x v="10"/>
    <s v="2026-08-10 09:18:05"/>
    <s v="월수금"/>
    <x v="3"/>
  </r>
  <r>
    <d v="2026-08-10T09:19:58"/>
    <s v="19016817"/>
    <x v="13"/>
    <x v="13"/>
    <n v="12"/>
    <m/>
    <n v="12"/>
    <s v="20270707000000"/>
    <s v="디캔팅"/>
    <s v="입고"/>
    <s v="작업완료"/>
    <s v="1014"/>
    <x v="10"/>
    <s v="2026-08-10 09:18:00"/>
    <s v="월수금"/>
    <x v="3"/>
  </r>
  <r>
    <d v="2026-08-10T09:19:01"/>
    <s v="19009502"/>
    <x v="13"/>
    <x v="13"/>
    <n v="12"/>
    <m/>
    <n v="12"/>
    <s v="20270707000000"/>
    <s v="디캔팅"/>
    <s v="입고"/>
    <s v="작업완료"/>
    <s v="1014"/>
    <x v="10"/>
    <s v="2026-08-10 09:16:45"/>
    <s v="월수금"/>
    <x v="3"/>
  </r>
  <r>
    <d v="2026-08-10T09:18:38"/>
    <s v="19020787"/>
    <x v="13"/>
    <x v="13"/>
    <n v="12"/>
    <m/>
    <n v="12"/>
    <s v="20270707000000"/>
    <s v="디캔팅"/>
    <s v="입고"/>
    <s v="작업완료"/>
    <s v="1014"/>
    <x v="10"/>
    <s v="2026-08-10 09:16:41"/>
    <s v="월수금"/>
    <x v="3"/>
  </r>
  <r>
    <d v="2026-08-10T09:17:14"/>
    <s v="19006944"/>
    <x v="13"/>
    <x v="13"/>
    <n v="12"/>
    <m/>
    <n v="12"/>
    <s v="20270707000000"/>
    <s v="디캔팅"/>
    <s v="입고"/>
    <s v="작업완료"/>
    <s v="1014"/>
    <x v="10"/>
    <s v="2026-08-10 09:14:56"/>
    <s v="월수금"/>
    <x v="3"/>
  </r>
  <r>
    <d v="2026-08-10T09:16:54"/>
    <s v="19003560"/>
    <x v="13"/>
    <x v="13"/>
    <n v="12"/>
    <m/>
    <n v="12"/>
    <s v="20270707000000"/>
    <s v="디캔팅"/>
    <s v="입고"/>
    <s v="작업완료"/>
    <s v="1014"/>
    <x v="10"/>
    <s v="2026-08-10 09:14:52"/>
    <s v="월수금"/>
    <x v="3"/>
  </r>
  <r>
    <d v="2026-08-10T09:15:01"/>
    <s v="19019903"/>
    <x v="13"/>
    <x v="13"/>
    <n v="12"/>
    <m/>
    <n v="12"/>
    <s v="20270707000000"/>
    <s v="디캔팅"/>
    <s v="입고"/>
    <s v="작업완료"/>
    <s v="1014"/>
    <x v="10"/>
    <s v="2026-08-10 09:13:00"/>
    <s v="월수금"/>
    <x v="3"/>
  </r>
  <r>
    <d v="2026-08-10T09:14:40"/>
    <s v="19005184"/>
    <x v="13"/>
    <x v="13"/>
    <n v="12"/>
    <m/>
    <n v="12"/>
    <s v="20270707000000"/>
    <s v="디캔팅"/>
    <s v="입고"/>
    <s v="작업완료"/>
    <s v="1014"/>
    <x v="10"/>
    <s v="2026-08-10 09:12:55"/>
    <s v="월수금"/>
    <x v="3"/>
  </r>
  <r>
    <d v="2026-08-13T22:21:27"/>
    <s v="19004093"/>
    <x v="14"/>
    <x v="14"/>
    <n v="130"/>
    <m/>
    <n v="130"/>
    <s v="20270930000000"/>
    <s v="디캔팅"/>
    <s v="입고"/>
    <s v="작업완료"/>
    <s v="1006"/>
    <x v="6"/>
    <s v="2026-08-13 22:19:37"/>
    <s v="월수금"/>
    <x v="4"/>
  </r>
  <r>
    <d v="2026-08-13T22:21:05"/>
    <s v="19004996"/>
    <x v="14"/>
    <x v="14"/>
    <n v="156"/>
    <m/>
    <n v="156"/>
    <s v="20270930000000"/>
    <s v="디캔팅"/>
    <s v="입고"/>
    <s v="작업완료"/>
    <s v="1006"/>
    <x v="6"/>
    <s v="2026-08-13 22:18:57"/>
    <s v="월수금"/>
    <x v="4"/>
  </r>
  <r>
    <d v="2026-08-13T22:20:44"/>
    <s v="19002397"/>
    <x v="14"/>
    <x v="14"/>
    <n v="156"/>
    <m/>
    <n v="156"/>
    <s v="20270930000000"/>
    <s v="디캔팅"/>
    <s v="입고"/>
    <s v="작업완료"/>
    <s v="1006"/>
    <x v="6"/>
    <s v="2026-08-13 22:19:00"/>
    <s v="월수금"/>
    <x v="4"/>
  </r>
  <r>
    <d v="2026-08-13T21:57:17"/>
    <s v="19006974"/>
    <x v="14"/>
    <x v="14"/>
    <n v="156"/>
    <m/>
    <n v="156"/>
    <s v="20270930000000"/>
    <s v="디캔팅"/>
    <s v="입고"/>
    <s v="작업완료"/>
    <s v="1006"/>
    <x v="6"/>
    <s v="2026-08-13 21:54:42"/>
    <s v="월수금"/>
    <x v="4"/>
  </r>
  <r>
    <d v="2026-08-13T21:56:16"/>
    <s v="19019283"/>
    <x v="14"/>
    <x v="14"/>
    <n v="156"/>
    <m/>
    <n v="156"/>
    <s v="20270930000000"/>
    <s v="디캔팅"/>
    <s v="입고"/>
    <s v="작업완료"/>
    <s v="1006"/>
    <x v="6"/>
    <s v="2026-08-13 21:54:46"/>
    <s v="월수금"/>
    <x v="4"/>
  </r>
  <r>
    <d v="2026-08-13T21:56:13"/>
    <s v="19022154"/>
    <x v="14"/>
    <x v="14"/>
    <n v="156"/>
    <m/>
    <n v="156"/>
    <s v="20270930000000"/>
    <s v="디캔팅"/>
    <s v="입고"/>
    <s v="작업완료"/>
    <s v="1006"/>
    <x v="6"/>
    <s v="2026-08-13 21:54:40"/>
    <s v="월수금"/>
    <x v="4"/>
  </r>
  <r>
    <d v="2026-08-13T21:53:48"/>
    <s v="19000919"/>
    <x v="14"/>
    <x v="14"/>
    <n v="156"/>
    <m/>
    <n v="156"/>
    <s v="20270930000000"/>
    <s v="디캔팅"/>
    <s v="입고"/>
    <s v="작업완료"/>
    <s v="1006"/>
    <x v="6"/>
    <s v="2026-08-13 21:51:26"/>
    <s v="월수금"/>
    <x v="4"/>
  </r>
  <r>
    <d v="2026-08-13T21:53:24"/>
    <s v="19023668"/>
    <x v="14"/>
    <x v="14"/>
    <n v="156"/>
    <m/>
    <n v="156"/>
    <s v="20270930000000"/>
    <s v="디캔팅"/>
    <s v="입고"/>
    <s v="작업완료"/>
    <s v="1006"/>
    <x v="6"/>
    <s v="2026-08-13 21:51:30"/>
    <s v="월수금"/>
    <x v="4"/>
  </r>
  <r>
    <d v="2026-08-13T21:53:19"/>
    <s v="19002348"/>
    <x v="14"/>
    <x v="14"/>
    <n v="156"/>
    <m/>
    <n v="156"/>
    <s v="20270930000000"/>
    <s v="디캔팅"/>
    <s v="입고"/>
    <s v="작업완료"/>
    <s v="1006"/>
    <x v="6"/>
    <s v="2026-08-13 21:51:24"/>
    <s v="월수금"/>
    <x v="4"/>
  </r>
  <r>
    <d v="2026-08-13T21:50:33"/>
    <s v="19002129"/>
    <x v="14"/>
    <x v="14"/>
    <n v="156"/>
    <m/>
    <n v="156"/>
    <s v="20270930000000"/>
    <s v="디캔팅"/>
    <s v="입고"/>
    <s v="작업완료"/>
    <s v="1006"/>
    <x v="6"/>
    <s v="2026-08-13 21:48:34"/>
    <s v="월수금"/>
    <x v="4"/>
  </r>
  <r>
    <d v="2026-08-13T21:50:15"/>
    <s v="19001213"/>
    <x v="14"/>
    <x v="14"/>
    <n v="156"/>
    <m/>
    <n v="156"/>
    <s v="20270930000000"/>
    <s v="디캔팅"/>
    <s v="입고"/>
    <s v="작업완료"/>
    <s v="1006"/>
    <x v="6"/>
    <s v="2026-08-13 21:48:31"/>
    <s v="월수금"/>
    <x v="4"/>
  </r>
  <r>
    <d v="2026-08-13T21:50:14"/>
    <s v="19001202"/>
    <x v="14"/>
    <x v="14"/>
    <n v="156"/>
    <m/>
    <n v="156"/>
    <s v="20270930000000"/>
    <s v="디캔팅"/>
    <s v="입고"/>
    <s v="작업완료"/>
    <s v="1006"/>
    <x v="6"/>
    <s v="2026-08-13 21:48:29"/>
    <s v="월수금"/>
    <x v="4"/>
  </r>
  <r>
    <d v="2026-08-13T21:48:06"/>
    <s v="19018623"/>
    <x v="14"/>
    <x v="14"/>
    <n v="156"/>
    <m/>
    <n v="156"/>
    <s v="20270930000000"/>
    <s v="디캔팅"/>
    <s v="입고"/>
    <s v="작업완료"/>
    <s v="1006"/>
    <x v="6"/>
    <s v="2026-08-13 21:46:05"/>
    <s v="월수금"/>
    <x v="4"/>
  </r>
  <r>
    <d v="2026-08-13T21:47:53"/>
    <s v="19016265"/>
    <x v="14"/>
    <x v="14"/>
    <n v="156"/>
    <m/>
    <n v="156"/>
    <s v="20270930000000"/>
    <s v="디캔팅"/>
    <s v="입고"/>
    <s v="작업완료"/>
    <s v="1006"/>
    <x v="6"/>
    <s v="2026-08-13 21:46:10"/>
    <s v="월수금"/>
    <x v="4"/>
  </r>
  <r>
    <d v="2026-08-13T21:47:35"/>
    <s v="19001161"/>
    <x v="14"/>
    <x v="14"/>
    <n v="156"/>
    <m/>
    <n v="156"/>
    <s v="20270930000000"/>
    <s v="디캔팅"/>
    <s v="입고"/>
    <s v="작업완료"/>
    <s v="1006"/>
    <x v="6"/>
    <s v="2026-08-13 21:46:07"/>
    <s v="월수금"/>
    <x v="4"/>
  </r>
  <r>
    <d v="2026-08-13T21:46:09"/>
    <s v="19001629"/>
    <x v="14"/>
    <x v="14"/>
    <n v="156"/>
    <m/>
    <n v="156"/>
    <s v="20270930000000"/>
    <s v="디캔팅"/>
    <s v="입고"/>
    <s v="작업완료"/>
    <s v="1006"/>
    <x v="6"/>
    <s v="2026-08-13 21:43:17"/>
    <s v="월수금"/>
    <x v="4"/>
  </r>
  <r>
    <d v="2026-08-13T21:45:25"/>
    <s v="19005125"/>
    <x v="14"/>
    <x v="14"/>
    <n v="156"/>
    <m/>
    <n v="156"/>
    <s v="20270930000000"/>
    <s v="디캔팅"/>
    <s v="입고"/>
    <s v="작업완료"/>
    <s v="1006"/>
    <x v="6"/>
    <s v="2026-08-13 21:43:14"/>
    <s v="월수금"/>
    <x v="4"/>
  </r>
  <r>
    <d v="2026-08-13T21:45:02"/>
    <s v="19006703"/>
    <x v="14"/>
    <x v="14"/>
    <n v="156"/>
    <m/>
    <n v="156"/>
    <s v="20270930000000"/>
    <s v="디캔팅"/>
    <s v="입고"/>
    <s v="작업완료"/>
    <s v="1006"/>
    <x v="6"/>
    <s v="2026-08-13 21:43:11"/>
    <s v="월수금"/>
    <x v="4"/>
  </r>
  <r>
    <d v="2026-08-12T07:34:04"/>
    <s v="19001738"/>
    <x v="14"/>
    <x v="14"/>
    <n v="156"/>
    <m/>
    <n v="156"/>
    <s v="20270930000000"/>
    <s v="디캔팅"/>
    <s v="입고"/>
    <s v="작업완료"/>
    <s v="1014"/>
    <x v="10"/>
    <s v="2026-08-12 07:31:43"/>
    <s v="월수금"/>
    <x v="2"/>
  </r>
  <r>
    <d v="2026-08-12T07:33:59"/>
    <s v="19006369"/>
    <x v="14"/>
    <x v="14"/>
    <n v="156"/>
    <m/>
    <n v="156"/>
    <s v="20270930000000"/>
    <s v="디캔팅"/>
    <s v="입고"/>
    <s v="작업완료"/>
    <s v="1014"/>
    <x v="10"/>
    <s v="2026-08-12 07:31:48"/>
    <s v="월수금"/>
    <x v="2"/>
  </r>
  <r>
    <d v="2026-08-12T07:33:54"/>
    <s v="19017431"/>
    <x v="14"/>
    <x v="14"/>
    <n v="156"/>
    <m/>
    <n v="156"/>
    <s v="20270930000000"/>
    <s v="디캔팅"/>
    <s v="입고"/>
    <s v="작업완료"/>
    <s v="1014"/>
    <x v="10"/>
    <s v="2026-08-12 07:31:39"/>
    <s v="월수금"/>
    <x v="2"/>
  </r>
  <r>
    <d v="2026-08-12T07:30:30"/>
    <s v="19015675"/>
    <x v="14"/>
    <x v="14"/>
    <n v="156"/>
    <m/>
    <n v="156"/>
    <s v="20270930000000"/>
    <s v="디캔팅"/>
    <s v="입고"/>
    <s v="작업완료"/>
    <s v="1014"/>
    <x v="10"/>
    <s v="2026-08-12 07:28:05"/>
    <s v="월수금"/>
    <x v="2"/>
  </r>
  <r>
    <d v="2026-08-12T07:30:29"/>
    <s v="19010003"/>
    <x v="14"/>
    <x v="14"/>
    <n v="156"/>
    <m/>
    <n v="156"/>
    <s v="20270930000000"/>
    <s v="디캔팅"/>
    <s v="입고"/>
    <s v="작업완료"/>
    <s v="1014"/>
    <x v="10"/>
    <s v="2026-08-12 07:28:18"/>
    <s v="월수금"/>
    <x v="2"/>
  </r>
  <r>
    <d v="2026-08-12T07:30:23"/>
    <s v="19018728"/>
    <x v="14"/>
    <x v="14"/>
    <n v="156"/>
    <m/>
    <n v="156"/>
    <s v="20270930000000"/>
    <s v="디캔팅"/>
    <s v="입고"/>
    <s v="작업완료"/>
    <s v="1014"/>
    <x v="10"/>
    <s v="2026-08-12 07:28:10"/>
    <s v="월수금"/>
    <x v="2"/>
  </r>
  <r>
    <d v="2026-08-12T07:26:27"/>
    <s v="19010410"/>
    <x v="14"/>
    <x v="14"/>
    <n v="156"/>
    <m/>
    <n v="156"/>
    <s v="20270930000000"/>
    <s v="디캔팅"/>
    <s v="입고"/>
    <s v="작업완료"/>
    <s v="1014"/>
    <x v="10"/>
    <s v="2026-08-12 07:24:05"/>
    <s v="월수금"/>
    <x v="2"/>
  </r>
  <r>
    <d v="2026-08-12T07:25:58"/>
    <s v="19009651"/>
    <x v="14"/>
    <x v="14"/>
    <n v="156"/>
    <m/>
    <n v="156"/>
    <s v="20270930000000"/>
    <s v="디캔팅"/>
    <s v="입고"/>
    <s v="작업완료"/>
    <s v="1014"/>
    <x v="10"/>
    <s v="2026-08-12 07:23:56"/>
    <s v="월수금"/>
    <x v="2"/>
  </r>
  <r>
    <d v="2026-08-12T07:25:46"/>
    <s v="19022332"/>
    <x v="14"/>
    <x v="14"/>
    <n v="156"/>
    <m/>
    <n v="156"/>
    <s v="20270930000000"/>
    <s v="디캔팅"/>
    <s v="입고"/>
    <s v="작업완료"/>
    <s v="1014"/>
    <x v="10"/>
    <s v="2026-08-12 07:23:50"/>
    <s v="월수금"/>
    <x v="2"/>
  </r>
  <r>
    <d v="2026-08-12T07:23:10"/>
    <s v="19007305"/>
    <x v="14"/>
    <x v="14"/>
    <n v="156"/>
    <m/>
    <n v="156"/>
    <s v="20270930000000"/>
    <s v="디캔팅"/>
    <s v="입고"/>
    <s v="작업완료"/>
    <s v="1014"/>
    <x v="10"/>
    <s v="2026-08-12 07:21:06"/>
    <s v="월수금"/>
    <x v="2"/>
  </r>
  <r>
    <d v="2026-08-12T07:22:57"/>
    <s v="19004595"/>
    <x v="14"/>
    <x v="14"/>
    <n v="156"/>
    <m/>
    <n v="156"/>
    <s v="20270930000000"/>
    <s v="디캔팅"/>
    <s v="입고"/>
    <s v="작업완료"/>
    <s v="1014"/>
    <x v="10"/>
    <s v="2026-08-12 07:20:59"/>
    <s v="월수금"/>
    <x v="2"/>
  </r>
  <r>
    <d v="2026-08-12T07:22:41"/>
    <s v="19016407"/>
    <x v="14"/>
    <x v="14"/>
    <n v="156"/>
    <m/>
    <n v="156"/>
    <s v="20270930000000"/>
    <s v="디캔팅"/>
    <s v="입고"/>
    <s v="작업완료"/>
    <s v="1014"/>
    <x v="10"/>
    <s v="2026-08-12 07:20:54"/>
    <s v="월수금"/>
    <x v="2"/>
  </r>
  <r>
    <d v="2026-08-12T07:19:32"/>
    <s v="19001435"/>
    <x v="14"/>
    <x v="14"/>
    <n v="156"/>
    <m/>
    <n v="156"/>
    <s v="20270930000000"/>
    <s v="디캔팅"/>
    <s v="입고"/>
    <s v="작업완료"/>
    <s v="1014"/>
    <x v="10"/>
    <s v="2026-08-12 07:17:22"/>
    <s v="월수금"/>
    <x v="2"/>
  </r>
  <r>
    <d v="2026-08-12T07:19:29"/>
    <s v="19025256"/>
    <x v="14"/>
    <x v="14"/>
    <n v="156"/>
    <m/>
    <n v="156"/>
    <s v="20270930000000"/>
    <s v="디캔팅"/>
    <s v="입고"/>
    <s v="작업완료"/>
    <s v="1014"/>
    <x v="10"/>
    <s v="2026-08-12 07:17:11"/>
    <s v="월수금"/>
    <x v="2"/>
  </r>
  <r>
    <d v="2026-08-12T07:19:28"/>
    <s v="19006991"/>
    <x v="14"/>
    <x v="14"/>
    <n v="156"/>
    <m/>
    <n v="156"/>
    <s v="20270930000000"/>
    <s v="디캔팅"/>
    <s v="입고"/>
    <s v="작업완료"/>
    <s v="1014"/>
    <x v="10"/>
    <s v="2026-08-12 07:17:16"/>
    <s v="월수금"/>
    <x v="2"/>
  </r>
  <r>
    <d v="2026-08-12T07:16:38"/>
    <s v="19004226"/>
    <x v="14"/>
    <x v="14"/>
    <n v="156"/>
    <m/>
    <n v="156"/>
    <s v="20270930000000"/>
    <s v="디캔팅"/>
    <s v="입고"/>
    <s v="작업완료"/>
    <s v="1014"/>
    <x v="10"/>
    <s v="2026-08-12 07:14:29"/>
    <s v="월수금"/>
    <x v="2"/>
  </r>
  <r>
    <d v="2026-08-12T07:16:25"/>
    <s v="19024171"/>
    <x v="14"/>
    <x v="14"/>
    <n v="156"/>
    <m/>
    <n v="156"/>
    <s v="20270930000000"/>
    <s v="디캔팅"/>
    <s v="입고"/>
    <s v="작업완료"/>
    <s v="1014"/>
    <x v="10"/>
    <s v="2026-08-12 07:14:18"/>
    <s v="월수금"/>
    <x v="2"/>
  </r>
  <r>
    <d v="2026-08-12T07:16:23"/>
    <s v="19009570"/>
    <x v="14"/>
    <x v="14"/>
    <n v="156"/>
    <m/>
    <n v="156"/>
    <s v="20270930000000"/>
    <s v="디캔팅"/>
    <s v="입고"/>
    <s v="작업완료"/>
    <s v="1014"/>
    <x v="10"/>
    <s v="2026-08-12 07:14:24"/>
    <s v="월수금"/>
    <x v="2"/>
  </r>
  <r>
    <d v="2026-08-12T07:12:47"/>
    <s v="19019685"/>
    <x v="14"/>
    <x v="14"/>
    <n v="156"/>
    <m/>
    <n v="156"/>
    <s v="20270930000000"/>
    <s v="디캔팅"/>
    <s v="입고"/>
    <s v="작업완료"/>
    <s v="1014"/>
    <x v="10"/>
    <s v="2026-08-12 07:10:29"/>
    <s v="월수금"/>
    <x v="2"/>
  </r>
  <r>
    <d v="2026-08-12T07:12:21"/>
    <s v="19005230"/>
    <x v="14"/>
    <x v="14"/>
    <n v="156"/>
    <m/>
    <n v="156"/>
    <s v="20270930000000"/>
    <s v="디캔팅"/>
    <s v="입고"/>
    <s v="작업완료"/>
    <s v="1014"/>
    <x v="10"/>
    <s v="2026-08-12 07:10:22"/>
    <s v="월수금"/>
    <x v="2"/>
  </r>
  <r>
    <d v="2026-08-10T15:41:14"/>
    <s v="19008673"/>
    <x v="14"/>
    <x v="14"/>
    <n v="156"/>
    <m/>
    <n v="156"/>
    <s v="20270929150000"/>
    <s v="디캔팅"/>
    <s v="입고"/>
    <s v="작업완료"/>
    <s v="1007"/>
    <x v="11"/>
    <s v="2026-08-10 15:35:31"/>
    <s v="월수금"/>
    <x v="3"/>
  </r>
  <r>
    <d v="2026-08-10T15:38:14"/>
    <s v="19022584"/>
    <x v="14"/>
    <x v="14"/>
    <n v="156"/>
    <m/>
    <n v="156"/>
    <s v="20270929150000"/>
    <s v="디캔팅"/>
    <s v="입고"/>
    <s v="작업완료"/>
    <s v="1007"/>
    <x v="11"/>
    <s v="2026-08-10 15:36:00"/>
    <s v="월수금"/>
    <x v="3"/>
  </r>
  <r>
    <d v="2026-08-10T15:37:36"/>
    <s v="19027369"/>
    <x v="14"/>
    <x v="14"/>
    <n v="156"/>
    <m/>
    <n v="156"/>
    <s v="20270929150000"/>
    <s v="디캔팅"/>
    <s v="입고"/>
    <s v="작업완료"/>
    <s v="1007"/>
    <x v="11"/>
    <s v="2026-08-10 15:35:52"/>
    <s v="월수금"/>
    <x v="3"/>
  </r>
  <r>
    <d v="2026-08-10T15:37:13"/>
    <s v="19002521"/>
    <x v="14"/>
    <x v="14"/>
    <n v="156"/>
    <m/>
    <n v="156"/>
    <s v="20270929150000"/>
    <s v="디캔팅"/>
    <s v="입고"/>
    <s v="작업완료"/>
    <s v="1007"/>
    <x v="11"/>
    <s v="2026-08-10 15:35:39"/>
    <s v="월수금"/>
    <x v="3"/>
  </r>
  <r>
    <d v="2026-08-10T15:37:01"/>
    <s v="19015619"/>
    <x v="14"/>
    <x v="14"/>
    <n v="156"/>
    <m/>
    <n v="156"/>
    <s v="20270929150000"/>
    <s v="디캔팅"/>
    <s v="입고"/>
    <s v="작업완료"/>
    <s v="1007"/>
    <x v="11"/>
    <s v="2026-08-10 15:35:18"/>
    <s v="월수금"/>
    <x v="3"/>
  </r>
  <r>
    <d v="2026-08-10T15:36:47"/>
    <s v="19026286"/>
    <x v="14"/>
    <x v="14"/>
    <n v="156"/>
    <m/>
    <n v="156"/>
    <s v="20270929150000"/>
    <s v="디캔팅"/>
    <s v="입고"/>
    <s v="작업완료"/>
    <s v="1007"/>
    <x v="11"/>
    <s v="2026-08-10 15:35:09"/>
    <s v="월수금"/>
    <x v="3"/>
  </r>
  <r>
    <d v="2026-08-10T15:36:31"/>
    <s v="19007663"/>
    <x v="14"/>
    <x v="14"/>
    <n v="156"/>
    <m/>
    <n v="156"/>
    <s v="20270929150000"/>
    <s v="디캔팅"/>
    <s v="입고"/>
    <s v="작업완료"/>
    <s v="1007"/>
    <x v="11"/>
    <s v="2026-08-10 15:34:41"/>
    <s v="월수금"/>
    <x v="3"/>
  </r>
  <r>
    <d v="2026-08-10T15:36:30"/>
    <s v="19000442"/>
    <x v="14"/>
    <x v="14"/>
    <n v="156"/>
    <m/>
    <n v="156"/>
    <s v="20270929150000"/>
    <s v="디캔팅"/>
    <s v="입고"/>
    <s v="작업완료"/>
    <s v="1007"/>
    <x v="11"/>
    <s v="2026-08-10 15:34:32"/>
    <s v="월수금"/>
    <x v="3"/>
  </r>
  <r>
    <d v="2026-08-10T15:35:03"/>
    <s v="19009326"/>
    <x v="14"/>
    <x v="14"/>
    <n v="156"/>
    <m/>
    <n v="156"/>
    <s v="20270929150000"/>
    <s v="디캔팅"/>
    <s v="입고"/>
    <s v="작업완료"/>
    <s v="1007"/>
    <x v="11"/>
    <s v="2026-08-10 15:33:07"/>
    <s v="월수금"/>
    <x v="3"/>
  </r>
  <r>
    <d v="2026-08-10T15:35:02"/>
    <s v="19030276"/>
    <x v="14"/>
    <x v="14"/>
    <n v="156"/>
    <m/>
    <n v="156"/>
    <s v="20270929150000"/>
    <s v="디캔팅"/>
    <s v="입고"/>
    <s v="작업완료"/>
    <s v="1007"/>
    <x v="11"/>
    <s v="2026-08-10 15:32:54"/>
    <s v="월수금"/>
    <x v="3"/>
  </r>
  <r>
    <d v="2026-08-10T15:33:32"/>
    <s v="19005226"/>
    <x v="14"/>
    <x v="14"/>
    <n v="156"/>
    <m/>
    <n v="156"/>
    <s v="20270929150000"/>
    <s v="디캔팅"/>
    <s v="입고"/>
    <s v="작업완료"/>
    <s v="1007"/>
    <x v="11"/>
    <s v="2026-08-10 15:31:11"/>
    <s v="월수금"/>
    <x v="3"/>
  </r>
  <r>
    <d v="2026-08-10T15:32:46"/>
    <s v="19007092"/>
    <x v="14"/>
    <x v="14"/>
    <n v="156"/>
    <m/>
    <n v="156"/>
    <s v="20270929150000"/>
    <s v="디캔팅"/>
    <s v="입고"/>
    <s v="작업완료"/>
    <s v="1007"/>
    <x v="11"/>
    <s v="2026-08-10 15:31:03"/>
    <s v="월수금"/>
    <x v="3"/>
  </r>
  <r>
    <d v="2026-08-10T15:31:11"/>
    <s v="19005391"/>
    <x v="14"/>
    <x v="14"/>
    <n v="156"/>
    <m/>
    <n v="156"/>
    <s v="20270929150000"/>
    <s v="디캔팅"/>
    <s v="입고"/>
    <s v="작업완료"/>
    <s v="1007"/>
    <x v="11"/>
    <s v="2026-08-10 15:29:15"/>
    <s v="월수금"/>
    <x v="3"/>
  </r>
  <r>
    <d v="2026-08-10T15:30:56"/>
    <s v="19002424"/>
    <x v="14"/>
    <x v="14"/>
    <n v="156"/>
    <m/>
    <n v="156"/>
    <s v="20270929150000"/>
    <s v="디캔팅"/>
    <s v="입고"/>
    <s v="작업완료"/>
    <s v="1007"/>
    <x v="11"/>
    <s v="2026-08-10 15:29:05"/>
    <s v="월수금"/>
    <x v="3"/>
  </r>
  <r>
    <d v="2026-08-10T15:30:12"/>
    <s v="19000844"/>
    <x v="14"/>
    <x v="14"/>
    <n v="156"/>
    <m/>
    <n v="156"/>
    <s v="20270929150000"/>
    <s v="디캔팅"/>
    <s v="입고"/>
    <s v="작업완료"/>
    <s v="1007"/>
    <x v="11"/>
    <s v="2026-08-10 15:27:21"/>
    <s v="월수금"/>
    <x v="3"/>
  </r>
  <r>
    <d v="2026-08-10T15:29:09"/>
    <s v="19002281"/>
    <x v="14"/>
    <x v="14"/>
    <n v="156"/>
    <m/>
    <n v="156"/>
    <s v="20270929150000"/>
    <s v="디캔팅"/>
    <s v="입고"/>
    <s v="작업완료"/>
    <s v="1007"/>
    <x v="11"/>
    <s v="2026-08-10 15:27:12"/>
    <s v="월수금"/>
    <x v="3"/>
  </r>
  <r>
    <d v="2026-08-10T15:25:45"/>
    <s v="19003335"/>
    <x v="14"/>
    <x v="14"/>
    <n v="156"/>
    <m/>
    <n v="156"/>
    <s v="20270929150000"/>
    <s v="디캔팅"/>
    <s v="입고"/>
    <s v="작업완료"/>
    <s v="1007"/>
    <x v="11"/>
    <s v="2026-08-10 15:24:09"/>
    <s v="월수금"/>
    <x v="3"/>
  </r>
  <r>
    <d v="2026-08-10T15:25:34"/>
    <s v="19018842"/>
    <x v="14"/>
    <x v="14"/>
    <n v="156"/>
    <m/>
    <n v="156"/>
    <s v="20270929150000"/>
    <s v="디캔팅"/>
    <s v="입고"/>
    <s v="작업완료"/>
    <s v="1007"/>
    <x v="11"/>
    <s v="2026-08-10 15:23:59"/>
    <s v="월수금"/>
    <x v="3"/>
  </r>
  <r>
    <d v="2026-08-10T15:23:06"/>
    <s v="19005003"/>
    <x v="14"/>
    <x v="14"/>
    <n v="156"/>
    <m/>
    <n v="156"/>
    <s v="20270929150000"/>
    <s v="디캔팅"/>
    <s v="입고"/>
    <s v="작업완료"/>
    <s v="1007"/>
    <x v="11"/>
    <s v="2026-08-10 15:20:57"/>
    <s v="월수금"/>
    <x v="3"/>
  </r>
  <r>
    <d v="2026-08-10T15:22:53"/>
    <s v="19003805"/>
    <x v="14"/>
    <x v="14"/>
    <n v="156"/>
    <m/>
    <n v="156"/>
    <s v="20270929150000"/>
    <s v="디캔팅"/>
    <s v="입고"/>
    <s v="작업완료"/>
    <s v="1007"/>
    <x v="11"/>
    <s v="2026-08-10 15:21:16"/>
    <s v="월수금"/>
    <x v="3"/>
  </r>
  <r>
    <d v="2026-08-15T22:03:00"/>
    <s v="19008278"/>
    <x v="15"/>
    <x v="15"/>
    <n v="80"/>
    <m/>
    <n v="80"/>
    <s v="20270604150000"/>
    <s v="디캔팅"/>
    <s v="입고"/>
    <s v="작업완료"/>
    <s v="1005"/>
    <x v="2"/>
    <s v="2026-08-15 21:12:24"/>
    <s v="월수금"/>
    <x v="0"/>
  </r>
  <r>
    <d v="2026-08-15T21:21:43"/>
    <s v="19004446"/>
    <x v="15"/>
    <x v="15"/>
    <n v="80"/>
    <m/>
    <n v="80"/>
    <s v="20270604150000"/>
    <s v="디캔팅"/>
    <s v="입고"/>
    <s v="작업완료"/>
    <s v="1005"/>
    <x v="2"/>
    <s v="2026-08-15 21:19:01"/>
    <s v="월수금"/>
    <x v="0"/>
  </r>
  <r>
    <d v="2026-08-15T21:20:56"/>
    <s v="19014606"/>
    <x v="15"/>
    <x v="15"/>
    <n v="80"/>
    <m/>
    <n v="80"/>
    <s v="20270604150000"/>
    <s v="디캔팅"/>
    <s v="입고"/>
    <s v="작업완료"/>
    <s v="1005"/>
    <x v="2"/>
    <s v="2026-08-15 21:19:09"/>
    <s v="월수금"/>
    <x v="0"/>
  </r>
  <r>
    <d v="2026-08-15T21:20:37"/>
    <s v="19005192"/>
    <x v="15"/>
    <x v="15"/>
    <n v="80"/>
    <m/>
    <n v="80"/>
    <s v="20270604150000"/>
    <s v="디캔팅"/>
    <s v="입고"/>
    <s v="작업완료"/>
    <s v="1005"/>
    <x v="2"/>
    <s v="2026-08-15 21:18:52"/>
    <s v="월수금"/>
    <x v="0"/>
  </r>
  <r>
    <d v="2026-08-15T21:19:33"/>
    <s v="19010464"/>
    <x v="15"/>
    <x v="15"/>
    <n v="80"/>
    <m/>
    <n v="80"/>
    <s v="20270604150000"/>
    <s v="디캔팅"/>
    <s v="입고"/>
    <s v="작업완료"/>
    <s v="1005"/>
    <x v="2"/>
    <s v="2026-08-15 21:17:32"/>
    <s v="월수금"/>
    <x v="0"/>
  </r>
  <r>
    <d v="2026-08-15T21:19:00"/>
    <s v="19015677"/>
    <x v="15"/>
    <x v="15"/>
    <n v="80"/>
    <m/>
    <n v="80"/>
    <s v="20270604150000"/>
    <s v="디캔팅"/>
    <s v="입고"/>
    <s v="작업완료"/>
    <s v="1005"/>
    <x v="2"/>
    <s v="2026-08-15 21:17:17"/>
    <s v="월수금"/>
    <x v="0"/>
  </r>
  <r>
    <d v="2026-08-15T21:18:56"/>
    <s v="19011525"/>
    <x v="15"/>
    <x v="15"/>
    <n v="80"/>
    <m/>
    <n v="80"/>
    <s v="20270604150000"/>
    <s v="디캔팅"/>
    <s v="입고"/>
    <s v="작업완료"/>
    <s v="1005"/>
    <x v="2"/>
    <s v="2026-08-15 21:17:27"/>
    <s v="월수금"/>
    <x v="0"/>
  </r>
  <r>
    <d v="2026-08-15T21:17:37"/>
    <s v="19013061"/>
    <x v="15"/>
    <x v="15"/>
    <n v="80"/>
    <m/>
    <n v="80"/>
    <s v="20270604150000"/>
    <s v="디캔팅"/>
    <s v="입고"/>
    <s v="작업완료"/>
    <s v="1005"/>
    <x v="2"/>
    <s v="2026-08-15 21:15:45"/>
    <s v="월수금"/>
    <x v="0"/>
  </r>
  <r>
    <d v="2026-08-15T21:17:29"/>
    <s v="19004675"/>
    <x v="15"/>
    <x v="15"/>
    <n v="80"/>
    <m/>
    <n v="80"/>
    <s v="20270604150000"/>
    <s v="디캔팅"/>
    <s v="입고"/>
    <s v="작업완료"/>
    <s v="1005"/>
    <x v="2"/>
    <s v="2026-08-15 21:15:52"/>
    <s v="월수금"/>
    <x v="0"/>
  </r>
  <r>
    <d v="2026-08-15T21:17:23"/>
    <s v="19001442"/>
    <x v="15"/>
    <x v="15"/>
    <n v="80"/>
    <m/>
    <n v="80"/>
    <s v="20270604150000"/>
    <s v="디캔팅"/>
    <s v="입고"/>
    <s v="작업완료"/>
    <s v="1005"/>
    <x v="2"/>
    <s v="2026-08-15 21:15:48"/>
    <s v="월수금"/>
    <x v="0"/>
  </r>
  <r>
    <d v="2026-08-15T21:15:56"/>
    <s v="19004273"/>
    <x v="15"/>
    <x v="15"/>
    <n v="80"/>
    <m/>
    <n v="80"/>
    <s v="20270604150000"/>
    <s v="디캔팅"/>
    <s v="입고"/>
    <s v="작업완료"/>
    <s v="1005"/>
    <x v="2"/>
    <s v="2026-08-15 21:14:00"/>
    <s v="월수금"/>
    <x v="0"/>
  </r>
  <r>
    <d v="2026-08-15T21:15:52"/>
    <s v="19004887"/>
    <x v="15"/>
    <x v="15"/>
    <n v="80"/>
    <m/>
    <n v="80"/>
    <s v="20270604150000"/>
    <s v="디캔팅"/>
    <s v="입고"/>
    <s v="작업완료"/>
    <s v="1005"/>
    <x v="2"/>
    <s v="2026-08-15 21:14:06"/>
    <s v="월수금"/>
    <x v="0"/>
  </r>
  <r>
    <d v="2026-08-15T21:15:43"/>
    <s v="19020155"/>
    <x v="15"/>
    <x v="15"/>
    <n v="80"/>
    <m/>
    <n v="80"/>
    <s v="20270604150000"/>
    <s v="디캔팅"/>
    <s v="입고"/>
    <s v="작업완료"/>
    <s v="1005"/>
    <x v="2"/>
    <s v="2026-08-15 21:14:17"/>
    <s v="월수금"/>
    <x v="0"/>
  </r>
  <r>
    <d v="2026-08-15T21:15:03"/>
    <s v="19023072"/>
    <x v="15"/>
    <x v="15"/>
    <n v="80"/>
    <m/>
    <n v="80"/>
    <s v="20270604150000"/>
    <s v="디캔팅"/>
    <s v="입고"/>
    <s v="작업완료"/>
    <s v="1005"/>
    <x v="2"/>
    <s v="2026-08-15 21:12:16"/>
    <s v="월수금"/>
    <x v="0"/>
  </r>
  <r>
    <d v="2026-08-15T21:14:46"/>
    <s v="19006479"/>
    <x v="15"/>
    <x v="15"/>
    <n v="80"/>
    <m/>
    <n v="80"/>
    <s v="20270604150000"/>
    <s v="디캔팅"/>
    <s v="입고"/>
    <s v="작업완료"/>
    <s v="1005"/>
    <x v="2"/>
    <s v="2026-08-15 21:12:13"/>
    <s v="월수금"/>
    <x v="0"/>
  </r>
  <r>
    <d v="2026-08-15T21:12:22"/>
    <s v="19006916"/>
    <x v="15"/>
    <x v="15"/>
    <n v="80"/>
    <m/>
    <n v="80"/>
    <s v="20270604150000"/>
    <s v="디캔팅"/>
    <s v="입고"/>
    <s v="작업완료"/>
    <s v="1005"/>
    <x v="2"/>
    <s v="2026-08-15 21:10:34"/>
    <s v="월수금"/>
    <x v="0"/>
  </r>
  <r>
    <d v="2026-08-15T21:12:19"/>
    <s v="19015899"/>
    <x v="15"/>
    <x v="15"/>
    <n v="80"/>
    <m/>
    <n v="80"/>
    <s v="20270604150000"/>
    <s v="디캔팅"/>
    <s v="입고"/>
    <s v="작업완료"/>
    <s v="1005"/>
    <x v="2"/>
    <s v="2026-08-15 21:10:40"/>
    <s v="월수금"/>
    <x v="0"/>
  </r>
  <r>
    <d v="2026-08-15T21:12:15"/>
    <s v="19006947"/>
    <x v="15"/>
    <x v="15"/>
    <n v="80"/>
    <m/>
    <n v="80"/>
    <s v="20270604150000"/>
    <s v="디캔팅"/>
    <s v="입고"/>
    <s v="작업완료"/>
    <s v="1005"/>
    <x v="2"/>
    <s v="2026-08-15 21:10:37"/>
    <s v="월수금"/>
    <x v="0"/>
  </r>
  <r>
    <d v="2026-08-15T21:09:57"/>
    <s v="19013971"/>
    <x v="15"/>
    <x v="15"/>
    <n v="80"/>
    <m/>
    <n v="80"/>
    <s v="20270604150000"/>
    <s v="디캔팅"/>
    <s v="입고"/>
    <s v="작업완료"/>
    <s v="1005"/>
    <x v="2"/>
    <s v="2026-08-15 21:08:15"/>
    <s v="월수금"/>
    <x v="0"/>
  </r>
  <r>
    <d v="2026-08-15T21:09:48"/>
    <s v="19009457"/>
    <x v="15"/>
    <x v="15"/>
    <n v="80"/>
    <m/>
    <n v="80"/>
    <s v="20270604150000"/>
    <s v="디캔팅"/>
    <s v="입고"/>
    <s v="작업완료"/>
    <s v="1005"/>
    <x v="2"/>
    <s v="2026-08-15 21:08:08"/>
    <s v="월수금"/>
    <x v="0"/>
  </r>
  <r>
    <d v="2026-08-15T21:09:47"/>
    <s v="19028469"/>
    <x v="15"/>
    <x v="15"/>
    <n v="80"/>
    <m/>
    <n v="80"/>
    <s v="20270604150000"/>
    <s v="디캔팅"/>
    <s v="입고"/>
    <s v="작업완료"/>
    <s v="1005"/>
    <x v="2"/>
    <s v="2026-08-15 20:59:46"/>
    <s v="월수금"/>
    <x v="0"/>
  </r>
  <r>
    <d v="2026-08-15T21:09:47"/>
    <s v="19004103"/>
    <x v="15"/>
    <x v="15"/>
    <n v="80"/>
    <m/>
    <n v="80"/>
    <s v="20270604150000"/>
    <s v="디캔팅"/>
    <s v="입고"/>
    <s v="작업완료"/>
    <s v="1005"/>
    <x v="2"/>
    <s v="2026-08-15 20:59:52"/>
    <s v="월수금"/>
    <x v="0"/>
  </r>
  <r>
    <d v="2026-08-15T21:09:06"/>
    <s v="19003500"/>
    <x v="15"/>
    <x v="15"/>
    <n v="80"/>
    <m/>
    <n v="80"/>
    <s v="20270604150000"/>
    <s v="디캔팅"/>
    <s v="입고"/>
    <s v="작업완료"/>
    <s v="1005"/>
    <x v="2"/>
    <s v="2026-08-15 21:07:17"/>
    <s v="월수금"/>
    <x v="0"/>
  </r>
  <r>
    <d v="2026-08-15T21:09:02"/>
    <s v="19014104"/>
    <x v="15"/>
    <x v="15"/>
    <n v="80"/>
    <m/>
    <n v="80"/>
    <s v="20270604150000"/>
    <s v="디캔팅"/>
    <s v="입고"/>
    <s v="작업완료"/>
    <s v="1005"/>
    <x v="2"/>
    <s v="2026-08-15 21:07:23"/>
    <s v="월수금"/>
    <x v="0"/>
  </r>
  <r>
    <d v="2026-08-15T21:08:35"/>
    <s v="19003026"/>
    <x v="15"/>
    <x v="15"/>
    <n v="80"/>
    <m/>
    <n v="80"/>
    <s v="20270604150000"/>
    <s v="디캔팅"/>
    <s v="입고"/>
    <s v="작업완료"/>
    <s v="1005"/>
    <x v="2"/>
    <s v="2026-08-15 21:07:12"/>
    <s v="월수금"/>
    <x v="0"/>
  </r>
  <r>
    <d v="2026-08-15T21:07:52"/>
    <s v="19000803"/>
    <x v="15"/>
    <x v="15"/>
    <n v="80"/>
    <m/>
    <n v="80"/>
    <s v="20270604150000"/>
    <s v="디캔팅"/>
    <s v="입고"/>
    <s v="작업완료"/>
    <s v="1005"/>
    <x v="2"/>
    <s v="2026-08-15 21:06:02"/>
    <s v="월수금"/>
    <x v="0"/>
  </r>
  <r>
    <d v="2026-08-15T21:07:47"/>
    <s v="19007273"/>
    <x v="15"/>
    <x v="15"/>
    <n v="80"/>
    <m/>
    <n v="80"/>
    <s v="20270604150000"/>
    <s v="디캔팅"/>
    <s v="입고"/>
    <s v="작업완료"/>
    <s v="1005"/>
    <x v="2"/>
    <s v="2026-08-15 21:05:57"/>
    <s v="월수금"/>
    <x v="0"/>
  </r>
  <r>
    <d v="2026-08-15T21:07:43"/>
    <s v="19003246"/>
    <x v="15"/>
    <x v="15"/>
    <n v="80"/>
    <m/>
    <n v="80"/>
    <s v="20270604150000"/>
    <s v="디캔팅"/>
    <s v="입고"/>
    <s v="작업완료"/>
    <s v="1005"/>
    <x v="2"/>
    <s v="2026-08-15 21:05:52"/>
    <s v="월수금"/>
    <x v="0"/>
  </r>
  <r>
    <d v="2026-08-15T21:06:29"/>
    <s v="19005375"/>
    <x v="15"/>
    <x v="15"/>
    <n v="80"/>
    <m/>
    <n v="80"/>
    <s v="20270604150000"/>
    <s v="디캔팅"/>
    <s v="입고"/>
    <s v="작업완료"/>
    <s v="1005"/>
    <x v="2"/>
    <s v="2026-08-15 21:02:06"/>
    <s v="월수금"/>
    <x v="0"/>
  </r>
  <r>
    <d v="2026-08-15T21:06:27"/>
    <s v="19009606"/>
    <x v="15"/>
    <x v="15"/>
    <n v="80"/>
    <m/>
    <n v="80"/>
    <s v="20270604150000"/>
    <s v="디캔팅"/>
    <s v="입고"/>
    <s v="작업완료"/>
    <s v="1005"/>
    <x v="2"/>
    <s v="2026-08-15 21:02:18"/>
    <s v="월수금"/>
    <x v="0"/>
  </r>
  <r>
    <d v="2026-08-15T21:06:24"/>
    <s v="19030218"/>
    <x v="15"/>
    <x v="15"/>
    <n v="80"/>
    <m/>
    <n v="80"/>
    <s v="20270604150000"/>
    <s v="디캔팅"/>
    <s v="입고"/>
    <s v="작업완료"/>
    <s v="1005"/>
    <x v="2"/>
    <s v="2026-08-15 21:04:14"/>
    <s v="월수금"/>
    <x v="0"/>
  </r>
  <r>
    <d v="2026-08-15T21:06:20"/>
    <s v="19016333"/>
    <x v="15"/>
    <x v="15"/>
    <n v="80"/>
    <m/>
    <n v="80"/>
    <s v="20270604150000"/>
    <s v="디캔팅"/>
    <s v="입고"/>
    <s v="작업완료"/>
    <s v="1005"/>
    <x v="2"/>
    <s v="2026-08-15 21:02:10"/>
    <s v="월수금"/>
    <x v="0"/>
  </r>
  <r>
    <d v="2026-08-14T15:18:52"/>
    <s v="19006600"/>
    <x v="15"/>
    <x v="15"/>
    <n v="80"/>
    <m/>
    <n v="80"/>
    <s v="20270601150000"/>
    <s v="디캔팅"/>
    <s v="입고"/>
    <s v="작업완료"/>
    <s v="1005"/>
    <x v="2"/>
    <s v="2026-08-14 14:20:20"/>
    <s v="월수금"/>
    <x v="1"/>
  </r>
  <r>
    <d v="2026-08-14T14:26:28"/>
    <s v="19019316"/>
    <x v="15"/>
    <x v="15"/>
    <n v="80"/>
    <m/>
    <n v="80"/>
    <s v="20270601150000"/>
    <s v="디캔팅"/>
    <s v="입고"/>
    <s v="작업완료"/>
    <s v="1005"/>
    <x v="2"/>
    <s v="2026-08-14 14:23:13"/>
    <s v="월수금"/>
    <x v="1"/>
  </r>
  <r>
    <d v="2026-08-14T14:25:39"/>
    <s v="19010443"/>
    <x v="15"/>
    <x v="15"/>
    <n v="80"/>
    <m/>
    <n v="80"/>
    <s v="20270601150000"/>
    <s v="디캔팅"/>
    <s v="입고"/>
    <s v="작업완료"/>
    <s v="1005"/>
    <x v="2"/>
    <s v="2026-08-14 14:23:18"/>
    <s v="월수금"/>
    <x v="1"/>
  </r>
  <r>
    <d v="2026-08-14T14:24:07"/>
    <s v="19007573"/>
    <x v="15"/>
    <x v="15"/>
    <n v="80"/>
    <m/>
    <n v="80"/>
    <s v="20270601150000"/>
    <s v="디캔팅"/>
    <s v="입고"/>
    <s v="작업완료"/>
    <s v="1005"/>
    <x v="2"/>
    <s v="2026-08-14 14:22:17"/>
    <s v="월수금"/>
    <x v="1"/>
  </r>
  <r>
    <d v="2026-08-14T14:24:02"/>
    <s v="19014859"/>
    <x v="15"/>
    <x v="15"/>
    <n v="80"/>
    <m/>
    <n v="80"/>
    <s v="20270601150000"/>
    <s v="디캔팅"/>
    <s v="입고"/>
    <s v="작업완료"/>
    <s v="1005"/>
    <x v="2"/>
    <s v="2026-08-14 14:22:13"/>
    <s v="월수금"/>
    <x v="1"/>
  </r>
  <r>
    <d v="2026-08-14T14:23:08"/>
    <s v="19014056"/>
    <x v="15"/>
    <x v="15"/>
    <n v="80"/>
    <m/>
    <n v="80"/>
    <s v="20270601150000"/>
    <s v="디캔팅"/>
    <s v="입고"/>
    <s v="작업완료"/>
    <s v="1005"/>
    <x v="2"/>
    <s v="2026-08-14 14:21:25"/>
    <s v="월수금"/>
    <x v="1"/>
  </r>
  <r>
    <d v="2026-08-14T14:23:04"/>
    <s v="19006117"/>
    <x v="15"/>
    <x v="15"/>
    <n v="80"/>
    <m/>
    <n v="80"/>
    <s v="20270601150000"/>
    <s v="디캔팅"/>
    <s v="입고"/>
    <s v="작업완료"/>
    <s v="1005"/>
    <x v="2"/>
    <s v="2026-08-14 14:21:21"/>
    <s v="월수금"/>
    <x v="1"/>
  </r>
  <r>
    <d v="2026-08-14T14:22:31"/>
    <s v="19007470"/>
    <x v="15"/>
    <x v="15"/>
    <n v="80"/>
    <m/>
    <n v="80"/>
    <s v="20270601150000"/>
    <s v="디캔팅"/>
    <s v="입고"/>
    <s v="작업완료"/>
    <s v="1005"/>
    <x v="2"/>
    <s v="2026-08-14 14:20:24"/>
    <s v="월수금"/>
    <x v="1"/>
  </r>
  <r>
    <d v="2026-08-14T14:21:03"/>
    <s v="19006221"/>
    <x v="15"/>
    <x v="15"/>
    <n v="80"/>
    <m/>
    <n v="80"/>
    <s v="20270601150000"/>
    <s v="디캔팅"/>
    <s v="입고"/>
    <s v="작업완료"/>
    <s v="1005"/>
    <x v="2"/>
    <s v="2026-08-14 14:19:25"/>
    <s v="월수금"/>
    <x v="1"/>
  </r>
  <r>
    <d v="2026-08-14T14:20:50"/>
    <s v="19015834"/>
    <x v="15"/>
    <x v="15"/>
    <n v="80"/>
    <m/>
    <n v="80"/>
    <s v="20270601150000"/>
    <s v="디캔팅"/>
    <s v="입고"/>
    <s v="작업완료"/>
    <s v="1005"/>
    <x v="2"/>
    <s v="2026-08-14 14:19:30"/>
    <s v="월수금"/>
    <x v="1"/>
  </r>
  <r>
    <d v="2026-08-14T14:20:24"/>
    <s v="19005692"/>
    <x v="15"/>
    <x v="15"/>
    <n v="80"/>
    <m/>
    <n v="80"/>
    <s v="20270601150000"/>
    <s v="디캔팅"/>
    <s v="입고"/>
    <s v="작업완료"/>
    <s v="1005"/>
    <x v="2"/>
    <s v="2026-08-14 14:17:37"/>
    <s v="월수금"/>
    <x v="1"/>
  </r>
  <r>
    <d v="2026-08-14T14:19:24"/>
    <s v="19010008"/>
    <x v="15"/>
    <x v="15"/>
    <n v="80"/>
    <m/>
    <n v="80"/>
    <s v="20270601150000"/>
    <s v="디캔팅"/>
    <s v="입고"/>
    <s v="작업완료"/>
    <s v="1005"/>
    <x v="2"/>
    <s v="2026-08-14 14:17:41"/>
    <s v="월수금"/>
    <x v="1"/>
  </r>
  <r>
    <d v="2026-08-14T14:19:09"/>
    <s v="19000634"/>
    <x v="15"/>
    <x v="15"/>
    <n v="80"/>
    <m/>
    <n v="80"/>
    <s v="20270601150000"/>
    <s v="디캔팅"/>
    <s v="입고"/>
    <s v="작업완료"/>
    <s v="1005"/>
    <x v="2"/>
    <s v="2026-08-14 14:14:06"/>
    <s v="월수금"/>
    <x v="1"/>
  </r>
  <r>
    <d v="2026-08-14T14:18:45"/>
    <s v="19001515"/>
    <x v="15"/>
    <x v="15"/>
    <n v="80"/>
    <m/>
    <n v="80"/>
    <s v="20270601150000"/>
    <s v="디캔팅"/>
    <s v="입고"/>
    <s v="작업완료"/>
    <s v="1005"/>
    <x v="2"/>
    <s v="2026-08-14 14:16:54"/>
    <s v="월수금"/>
    <x v="1"/>
  </r>
  <r>
    <d v="2026-08-14T14:18:29"/>
    <s v="19022583"/>
    <x v="15"/>
    <x v="15"/>
    <n v="80"/>
    <m/>
    <n v="80"/>
    <s v="20270601150000"/>
    <s v="디캔팅"/>
    <s v="입고"/>
    <s v="작업완료"/>
    <s v="1005"/>
    <x v="2"/>
    <s v="2026-08-14 14:16:57"/>
    <s v="월수금"/>
    <x v="1"/>
  </r>
  <r>
    <d v="2026-08-14T14:17:45"/>
    <s v="19011537"/>
    <x v="15"/>
    <x v="15"/>
    <n v="80"/>
    <m/>
    <n v="80"/>
    <s v="20270601150000"/>
    <s v="디캔팅"/>
    <s v="입고"/>
    <s v="작업완료"/>
    <s v="1005"/>
    <x v="2"/>
    <s v="2026-08-14 14:15:14"/>
    <s v="월수금"/>
    <x v="1"/>
  </r>
  <r>
    <d v="2026-08-14T14:17:42"/>
    <s v="19005155"/>
    <x v="15"/>
    <x v="15"/>
    <n v="80"/>
    <m/>
    <n v="80"/>
    <s v="20270601150000"/>
    <s v="디캔팅"/>
    <s v="입고"/>
    <s v="작업완료"/>
    <s v="1005"/>
    <x v="2"/>
    <s v="2026-08-14 14:16:03"/>
    <s v="월수금"/>
    <x v="1"/>
  </r>
  <r>
    <d v="2026-08-14T14:17:06"/>
    <s v="19003579"/>
    <x v="15"/>
    <x v="15"/>
    <n v="80"/>
    <m/>
    <n v="80"/>
    <s v="20270601150000"/>
    <s v="디캔팅"/>
    <s v="입고"/>
    <s v="작업완료"/>
    <s v="1005"/>
    <x v="2"/>
    <s v="2026-08-14 14:15:17"/>
    <s v="월수금"/>
    <x v="1"/>
  </r>
  <r>
    <d v="2026-08-14T14:16:43"/>
    <s v="19002206"/>
    <x v="15"/>
    <x v="15"/>
    <n v="80"/>
    <m/>
    <n v="80"/>
    <s v="20270601150000"/>
    <s v="디캔팅"/>
    <s v="입고"/>
    <s v="작업완료"/>
    <s v="1005"/>
    <x v="2"/>
    <s v="2026-08-14 14:14:42"/>
    <s v="월수금"/>
    <x v="1"/>
  </r>
  <r>
    <d v="2026-08-14T14:16:34"/>
    <s v="19003620"/>
    <x v="15"/>
    <x v="15"/>
    <n v="80"/>
    <m/>
    <n v="80"/>
    <s v="20270601150000"/>
    <s v="디캔팅"/>
    <s v="입고"/>
    <s v="작업완료"/>
    <s v="1005"/>
    <x v="2"/>
    <s v="2026-08-14 14:14:02"/>
    <s v="월수금"/>
    <x v="1"/>
  </r>
  <r>
    <d v="2026-08-14T14:16:24"/>
    <s v="19015703"/>
    <x v="15"/>
    <x v="15"/>
    <n v="80"/>
    <m/>
    <n v="80"/>
    <s v="20270601150000"/>
    <s v="디캔팅"/>
    <s v="입고"/>
    <s v="작업완료"/>
    <s v="1005"/>
    <x v="2"/>
    <s v="2026-08-14 14:14:39"/>
    <s v="월수금"/>
    <x v="1"/>
  </r>
  <r>
    <d v="2026-08-14T14:15:41"/>
    <s v="19010313"/>
    <x v="15"/>
    <x v="15"/>
    <n v="80"/>
    <m/>
    <n v="80"/>
    <s v="20270601150000"/>
    <s v="디캔팅"/>
    <s v="입고"/>
    <s v="작업완료"/>
    <s v="1005"/>
    <x v="2"/>
    <s v="2026-08-14 14:13:30"/>
    <s v="월수금"/>
    <x v="1"/>
  </r>
  <r>
    <d v="2026-08-14T14:14:58"/>
    <s v="19000604"/>
    <x v="15"/>
    <x v="15"/>
    <n v="80"/>
    <m/>
    <n v="80"/>
    <s v="20270601150000"/>
    <s v="디캔팅"/>
    <s v="입고"/>
    <s v="작업완료"/>
    <s v="1005"/>
    <x v="2"/>
    <s v="2026-08-14 14:13:26"/>
    <s v="월수금"/>
    <x v="1"/>
  </r>
  <r>
    <d v="2026-08-14T14:13:41"/>
    <s v="19003124"/>
    <x v="15"/>
    <x v="15"/>
    <n v="80"/>
    <m/>
    <n v="80"/>
    <s v="20270601150000"/>
    <s v="디캔팅"/>
    <s v="입고"/>
    <s v="작업완료"/>
    <s v="1005"/>
    <x v="2"/>
    <s v="2026-08-14 14:12:00"/>
    <s v="월수금"/>
    <x v="1"/>
  </r>
  <r>
    <d v="2026-08-14T14:13:40"/>
    <s v="19008896"/>
    <x v="15"/>
    <x v="15"/>
    <n v="80"/>
    <m/>
    <n v="80"/>
    <s v="20270601150000"/>
    <s v="디캔팅"/>
    <s v="입고"/>
    <s v="작업완료"/>
    <s v="1005"/>
    <x v="2"/>
    <s v="2026-08-14 14:11:57"/>
    <s v="월수금"/>
    <x v="1"/>
  </r>
  <r>
    <d v="2026-08-14T14:13:01"/>
    <s v="19019111"/>
    <x v="15"/>
    <x v="15"/>
    <n v="80"/>
    <m/>
    <n v="80"/>
    <s v="20270601150000"/>
    <s v="디캔팅"/>
    <s v="입고"/>
    <s v="작업완료"/>
    <s v="1005"/>
    <x v="2"/>
    <s v="2026-08-14 14:11:16"/>
    <s v="월수금"/>
    <x v="1"/>
  </r>
  <r>
    <d v="2026-08-14T14:12:46"/>
    <s v="19004815"/>
    <x v="15"/>
    <x v="15"/>
    <n v="80"/>
    <m/>
    <n v="80"/>
    <s v="20270601150000"/>
    <s v="디캔팅"/>
    <s v="입고"/>
    <s v="작업완료"/>
    <s v="1005"/>
    <x v="2"/>
    <s v="2026-08-14 14:11:21"/>
    <s v="월수금"/>
    <x v="1"/>
  </r>
  <r>
    <d v="2026-08-14T14:12:15"/>
    <s v="19004096"/>
    <x v="15"/>
    <x v="15"/>
    <n v="80"/>
    <m/>
    <n v="80"/>
    <s v="20270601150000"/>
    <s v="디캔팅"/>
    <s v="입고"/>
    <s v="작업완료"/>
    <s v="1005"/>
    <x v="2"/>
    <s v="2026-08-14 14:10:37"/>
    <s v="월수금"/>
    <x v="1"/>
  </r>
  <r>
    <d v="2026-08-14T14:12:05"/>
    <s v="19011469"/>
    <x v="15"/>
    <x v="15"/>
    <n v="80"/>
    <m/>
    <n v="80"/>
    <s v="20270601150000"/>
    <s v="디캔팅"/>
    <s v="입고"/>
    <s v="작업완료"/>
    <s v="1005"/>
    <x v="2"/>
    <s v="2026-08-14 14:10:33"/>
    <s v="월수금"/>
    <x v="1"/>
  </r>
  <r>
    <d v="2026-08-14T14:11:51"/>
    <s v="19004894"/>
    <x v="15"/>
    <x v="15"/>
    <n v="80"/>
    <m/>
    <n v="80"/>
    <s v="20270601150000"/>
    <s v="디캔팅"/>
    <s v="입고"/>
    <s v="작업완료"/>
    <s v="1005"/>
    <x v="2"/>
    <s v="2026-08-14 14:09:57"/>
    <s v="월수금"/>
    <x v="1"/>
  </r>
  <r>
    <d v="2026-08-14T14:11:17"/>
    <s v="19008891"/>
    <x v="15"/>
    <x v="15"/>
    <n v="80"/>
    <m/>
    <n v="80"/>
    <s v="20270601150000"/>
    <s v="디캔팅"/>
    <s v="입고"/>
    <s v="작업완료"/>
    <s v="1005"/>
    <x v="2"/>
    <s v="2026-08-14 14:09:36"/>
    <s v="월수금"/>
    <x v="1"/>
  </r>
  <r>
    <d v="2026-08-14T14:11:09"/>
    <s v="19000132"/>
    <x v="15"/>
    <x v="15"/>
    <n v="80"/>
    <m/>
    <n v="80"/>
    <s v="20270601150000"/>
    <s v="디캔팅"/>
    <s v="입고"/>
    <s v="작업완료"/>
    <s v="1005"/>
    <x v="2"/>
    <s v="2026-08-14 14:09:33"/>
    <s v="월수금"/>
    <x v="1"/>
  </r>
  <r>
    <d v="2026-08-14T14:10:14"/>
    <s v="19002517"/>
    <x v="15"/>
    <x v="15"/>
    <n v="80"/>
    <m/>
    <n v="80"/>
    <s v="20270601150000"/>
    <s v="디캔팅"/>
    <s v="입고"/>
    <s v="작업완료"/>
    <s v="1005"/>
    <x v="2"/>
    <s v="2026-08-14 14:08:39"/>
    <s v="월수금"/>
    <x v="1"/>
  </r>
  <r>
    <d v="2026-08-14T14:10:13"/>
    <s v="19008456"/>
    <x v="15"/>
    <x v="15"/>
    <n v="80"/>
    <m/>
    <n v="80"/>
    <s v="20270601150000"/>
    <s v="디캔팅"/>
    <s v="입고"/>
    <s v="작업완료"/>
    <s v="1005"/>
    <x v="2"/>
    <s v="2026-08-14 14:08:34"/>
    <s v="월수금"/>
    <x v="1"/>
  </r>
  <r>
    <d v="2026-08-14T14:09:47"/>
    <s v="19005061"/>
    <x v="15"/>
    <x v="15"/>
    <n v="80"/>
    <m/>
    <n v="80"/>
    <s v="20270601150000"/>
    <s v="디캔팅"/>
    <s v="입고"/>
    <s v="작업완료"/>
    <s v="1005"/>
    <x v="2"/>
    <s v="2026-08-14 14:08:00"/>
    <s v="월수금"/>
    <x v="1"/>
  </r>
  <r>
    <d v="2026-08-14T14:09:42"/>
    <s v="19018012"/>
    <x v="15"/>
    <x v="15"/>
    <n v="80"/>
    <m/>
    <n v="80"/>
    <s v="20270601150000"/>
    <s v="디캔팅"/>
    <s v="입고"/>
    <s v="작업완료"/>
    <s v="1005"/>
    <x v="2"/>
    <s v="2026-08-14 14:07:56"/>
    <s v="월수금"/>
    <x v="1"/>
  </r>
  <r>
    <d v="2026-08-12T13:23:33"/>
    <s v="19010434"/>
    <x v="15"/>
    <x v="15"/>
    <n v="80"/>
    <m/>
    <n v="80"/>
    <s v="20270604150000"/>
    <s v="디캔팅"/>
    <s v="입고"/>
    <s v="작업완료"/>
    <s v="1008"/>
    <x v="3"/>
    <s v="2026-08-12 13:21:33"/>
    <s v="월수금"/>
    <x v="2"/>
  </r>
  <r>
    <d v="2026-08-12T13:23:32"/>
    <s v="19007083"/>
    <x v="15"/>
    <x v="15"/>
    <n v="80"/>
    <m/>
    <n v="80"/>
    <s v="20270604150000"/>
    <s v="디캔팅"/>
    <s v="입고"/>
    <s v="작업완료"/>
    <s v="1008"/>
    <x v="3"/>
    <s v="2026-08-12 13:20:52"/>
    <s v="월수금"/>
    <x v="2"/>
  </r>
  <r>
    <d v="2026-08-12T13:23:24"/>
    <s v="19015449"/>
    <x v="15"/>
    <x v="15"/>
    <n v="80"/>
    <m/>
    <n v="80"/>
    <s v="20270604150000"/>
    <s v="디캔팅"/>
    <s v="입고"/>
    <s v="작업완료"/>
    <s v="1008"/>
    <x v="3"/>
    <s v="2026-08-12 13:21:31"/>
    <s v="월수금"/>
    <x v="2"/>
  </r>
  <r>
    <d v="2026-08-12T13:22:41"/>
    <s v="19014728"/>
    <x v="15"/>
    <x v="15"/>
    <n v="80"/>
    <m/>
    <n v="80"/>
    <s v="20270604150000"/>
    <s v="디캔팅"/>
    <s v="입고"/>
    <s v="작업완료"/>
    <s v="1008"/>
    <x v="3"/>
    <s v="2026-08-12 13:20:54"/>
    <s v="월수금"/>
    <x v="2"/>
  </r>
  <r>
    <d v="2026-08-12T09:13:13"/>
    <s v="19016524"/>
    <x v="15"/>
    <x v="15"/>
    <n v="80"/>
    <m/>
    <n v="80"/>
    <s v="20270528150000"/>
    <s v="디캔팅"/>
    <s v="입고"/>
    <s v="작업완료"/>
    <s v="1010"/>
    <x v="7"/>
    <s v="2026-08-12 09:11:08"/>
    <s v="월수금"/>
    <x v="2"/>
  </r>
  <r>
    <d v="2026-08-12T09:12:36"/>
    <s v="19026827"/>
    <x v="15"/>
    <x v="15"/>
    <n v="80"/>
    <m/>
    <n v="80"/>
    <s v="20270528150000"/>
    <s v="디캔팅"/>
    <s v="입고"/>
    <s v="작업완료"/>
    <s v="1010"/>
    <x v="7"/>
    <s v="2026-08-12 09:10:30"/>
    <s v="월수금"/>
    <x v="2"/>
  </r>
  <r>
    <d v="2026-08-12T09:12:34"/>
    <s v="19010107"/>
    <x v="15"/>
    <x v="15"/>
    <n v="80"/>
    <m/>
    <n v="80"/>
    <s v="20270528150000"/>
    <s v="디캔팅"/>
    <s v="입고"/>
    <s v="작업완료"/>
    <s v="1010"/>
    <x v="7"/>
    <s v="2026-08-12 09:10:27"/>
    <s v="월수금"/>
    <x v="2"/>
  </r>
  <r>
    <d v="2026-08-12T09:11:16"/>
    <s v="19006767"/>
    <x v="15"/>
    <x v="15"/>
    <n v="80"/>
    <m/>
    <n v="80"/>
    <s v="20270528150000"/>
    <s v="디캔팅"/>
    <s v="입고"/>
    <s v="작업완료"/>
    <s v="1010"/>
    <x v="7"/>
    <s v="2026-08-12 09:09:10"/>
    <s v="월수금"/>
    <x v="2"/>
  </r>
  <r>
    <d v="2026-08-12T09:11:11"/>
    <s v="19003828"/>
    <x v="15"/>
    <x v="15"/>
    <n v="80"/>
    <m/>
    <n v="80"/>
    <s v="20270528150000"/>
    <s v="디캔팅"/>
    <s v="입고"/>
    <s v="작업완료"/>
    <s v="1010"/>
    <x v="7"/>
    <s v="2026-08-12 09:09:14"/>
    <s v="월수금"/>
    <x v="2"/>
  </r>
  <r>
    <d v="2026-08-12T09:10:22"/>
    <s v="19001960"/>
    <x v="15"/>
    <x v="15"/>
    <n v="80"/>
    <m/>
    <n v="80"/>
    <s v="20270528150000"/>
    <s v="디캔팅"/>
    <s v="입고"/>
    <s v="작업완료"/>
    <s v="1010"/>
    <x v="7"/>
    <s v="2026-08-12 09:08:28"/>
    <s v="월수금"/>
    <x v="2"/>
  </r>
  <r>
    <d v="2026-08-12T09:10:18"/>
    <s v="19014294"/>
    <x v="15"/>
    <x v="15"/>
    <n v="80"/>
    <m/>
    <n v="80"/>
    <s v="20270528150000"/>
    <s v="디캔팅"/>
    <s v="입고"/>
    <s v="작업완료"/>
    <s v="1010"/>
    <x v="7"/>
    <s v="2026-08-12 09:08:21"/>
    <s v="월수금"/>
    <x v="2"/>
  </r>
  <r>
    <d v="2026-08-12T09:09:31"/>
    <s v="19013127"/>
    <x v="15"/>
    <x v="15"/>
    <n v="80"/>
    <m/>
    <n v="80"/>
    <s v="20270528150000"/>
    <s v="디캔팅"/>
    <s v="입고"/>
    <s v="작업완료"/>
    <s v="1010"/>
    <x v="7"/>
    <s v="2026-08-12 09:07:26"/>
    <s v="월수금"/>
    <x v="2"/>
  </r>
  <r>
    <d v="2026-08-12T09:09:03"/>
    <s v="19019411"/>
    <x v="15"/>
    <x v="15"/>
    <n v="80"/>
    <m/>
    <n v="80"/>
    <s v="20270528150000"/>
    <s v="디캔팅"/>
    <s v="입고"/>
    <s v="작업완료"/>
    <s v="1010"/>
    <x v="7"/>
    <s v="2026-08-12 09:07:23"/>
    <s v="월수금"/>
    <x v="2"/>
  </r>
  <r>
    <d v="2026-08-12T09:05:56"/>
    <s v="19011603"/>
    <x v="15"/>
    <x v="15"/>
    <n v="80"/>
    <m/>
    <n v="80"/>
    <s v="20270528150000"/>
    <s v="디캔팅"/>
    <s v="입고"/>
    <s v="작업완료"/>
    <s v="1010"/>
    <x v="7"/>
    <s v="2026-08-12 09:03:49"/>
    <s v="월수금"/>
    <x v="2"/>
  </r>
  <r>
    <d v="2026-08-12T09:05:36"/>
    <s v="19010904"/>
    <x v="15"/>
    <x v="15"/>
    <n v="80"/>
    <m/>
    <n v="80"/>
    <s v="20270528150000"/>
    <s v="디캔팅"/>
    <s v="입고"/>
    <s v="작업완료"/>
    <s v="1010"/>
    <x v="7"/>
    <s v="2026-08-12 09:03:55"/>
    <s v="월수금"/>
    <x v="2"/>
  </r>
  <r>
    <d v="2026-08-12T09:05:09"/>
    <s v="19020756"/>
    <x v="15"/>
    <x v="15"/>
    <n v="80"/>
    <m/>
    <n v="80"/>
    <s v="20270528150000"/>
    <s v="디캔팅"/>
    <s v="입고"/>
    <s v="작업완료"/>
    <s v="1010"/>
    <x v="7"/>
    <s v="2026-08-12 09:03:08"/>
    <s v="월수금"/>
    <x v="2"/>
  </r>
  <r>
    <d v="2026-08-12T09:04:52"/>
    <s v="19029979"/>
    <x v="15"/>
    <x v="15"/>
    <n v="80"/>
    <m/>
    <n v="80"/>
    <s v="20270528150000"/>
    <s v="디캔팅"/>
    <s v="입고"/>
    <s v="작업완료"/>
    <s v="1010"/>
    <x v="7"/>
    <s v="2026-08-12 09:03:03"/>
    <s v="월수금"/>
    <x v="2"/>
  </r>
  <r>
    <d v="2026-08-12T09:04:01"/>
    <s v="19010116"/>
    <x v="15"/>
    <x v="15"/>
    <n v="80"/>
    <m/>
    <n v="80"/>
    <s v="20270528150000"/>
    <s v="디캔팅"/>
    <s v="입고"/>
    <s v="작업완료"/>
    <s v="1010"/>
    <x v="7"/>
    <s v="2026-08-12 09:02:08"/>
    <s v="월수금"/>
    <x v="2"/>
  </r>
  <r>
    <d v="2026-08-12T09:03:54"/>
    <s v="19002419"/>
    <x v="15"/>
    <x v="15"/>
    <n v="80"/>
    <m/>
    <n v="80"/>
    <s v="20270528150000"/>
    <s v="디캔팅"/>
    <s v="입고"/>
    <s v="작업완료"/>
    <s v="1010"/>
    <x v="7"/>
    <s v="2026-08-12 09:02:02"/>
    <s v="월수금"/>
    <x v="2"/>
  </r>
  <r>
    <d v="2026-08-12T09:03:03"/>
    <s v="19015032"/>
    <x v="15"/>
    <x v="15"/>
    <n v="80"/>
    <m/>
    <n v="80"/>
    <s v="20270528150000"/>
    <s v="디캔팅"/>
    <s v="입고"/>
    <s v="작업완료"/>
    <s v="1010"/>
    <x v="7"/>
    <s v="2026-08-12 09:01:03"/>
    <s v="월수금"/>
    <x v="2"/>
  </r>
  <r>
    <d v="2026-08-12T09:02:59"/>
    <s v="19018787"/>
    <x v="15"/>
    <x v="15"/>
    <n v="80"/>
    <m/>
    <n v="80"/>
    <s v="20270528150000"/>
    <s v="디캔팅"/>
    <s v="입고"/>
    <s v="작업완료"/>
    <s v="1010"/>
    <x v="7"/>
    <s v="2026-08-12 09:00:57"/>
    <s v="월수금"/>
    <x v="2"/>
  </r>
  <r>
    <d v="2026-08-12T09:01:22"/>
    <s v="19017673"/>
    <x v="15"/>
    <x v="15"/>
    <n v="80"/>
    <m/>
    <n v="80"/>
    <s v="20270528150000"/>
    <s v="디캔팅"/>
    <s v="입고"/>
    <s v="작업완료"/>
    <s v="1010"/>
    <x v="7"/>
    <s v="2026-08-12 08:59:18"/>
    <s v="월수금"/>
    <x v="2"/>
  </r>
  <r>
    <d v="2026-08-12T09:01:00"/>
    <s v="19008295"/>
    <x v="15"/>
    <x v="15"/>
    <n v="80"/>
    <m/>
    <n v="80"/>
    <s v="20270528150000"/>
    <s v="디캔팅"/>
    <s v="입고"/>
    <s v="작업완료"/>
    <s v="1010"/>
    <x v="7"/>
    <s v="2026-08-12 08:59:15"/>
    <s v="월수금"/>
    <x v="2"/>
  </r>
  <r>
    <d v="2026-08-12T09:00:30"/>
    <s v="19015611"/>
    <x v="15"/>
    <x v="15"/>
    <n v="80"/>
    <m/>
    <n v="80"/>
    <s v="20270528150000"/>
    <s v="디캔팅"/>
    <s v="입고"/>
    <s v="작업완료"/>
    <s v="1010"/>
    <x v="7"/>
    <s v="2026-08-12 08:58:36"/>
    <s v="월수금"/>
    <x v="2"/>
  </r>
  <r>
    <d v="2026-08-12T09:00:24"/>
    <s v="19009305"/>
    <x v="15"/>
    <x v="15"/>
    <n v="80"/>
    <m/>
    <n v="80"/>
    <s v="20270528150000"/>
    <s v="디캔팅"/>
    <s v="입고"/>
    <s v="작업완료"/>
    <s v="1010"/>
    <x v="7"/>
    <s v="2026-08-12 08:58:33"/>
    <s v="월수금"/>
    <x v="2"/>
  </r>
  <r>
    <d v="2026-08-12T08:59:09"/>
    <s v="19015614"/>
    <x v="15"/>
    <x v="15"/>
    <n v="80"/>
    <m/>
    <n v="80"/>
    <s v="20270528150000"/>
    <s v="디캔팅"/>
    <s v="입고"/>
    <s v="작업완료"/>
    <s v="1010"/>
    <x v="7"/>
    <s v="2026-08-12 08:57:15"/>
    <s v="월수금"/>
    <x v="2"/>
  </r>
  <r>
    <d v="2026-08-12T08:59:05"/>
    <s v="19015056"/>
    <x v="15"/>
    <x v="15"/>
    <n v="80"/>
    <m/>
    <n v="80"/>
    <s v="20270528150000"/>
    <s v="디캔팅"/>
    <s v="입고"/>
    <s v="작업완료"/>
    <s v="1010"/>
    <x v="7"/>
    <s v="2026-08-12 08:57:11"/>
    <s v="월수금"/>
    <x v="2"/>
  </r>
  <r>
    <d v="2026-08-12T08:58:11"/>
    <s v="19017667"/>
    <x v="15"/>
    <x v="15"/>
    <n v="80"/>
    <m/>
    <n v="80"/>
    <s v="20270528150000"/>
    <s v="디캔팅"/>
    <s v="입고"/>
    <s v="작업완료"/>
    <s v="1010"/>
    <x v="7"/>
    <s v="2026-08-12 08:56:19"/>
    <s v="월수금"/>
    <x v="2"/>
  </r>
  <r>
    <d v="2026-08-12T08:57:59"/>
    <s v="19019519"/>
    <x v="15"/>
    <x v="15"/>
    <n v="80"/>
    <m/>
    <n v="80"/>
    <s v="20270528150000"/>
    <s v="디캔팅"/>
    <s v="입고"/>
    <s v="작업완료"/>
    <s v="1010"/>
    <x v="7"/>
    <s v="2026-08-12 08:56:14"/>
    <s v="월수금"/>
    <x v="2"/>
  </r>
  <r>
    <d v="2026-08-12T08:56:11"/>
    <s v="19027672"/>
    <x v="15"/>
    <x v="15"/>
    <n v="80"/>
    <m/>
    <n v="80"/>
    <s v="20270528150000"/>
    <s v="디캔팅"/>
    <s v="입고"/>
    <s v="작업완료"/>
    <s v="1010"/>
    <x v="7"/>
    <s v="2026-08-12 08:54:07"/>
    <s v="월수금"/>
    <x v="2"/>
  </r>
  <r>
    <d v="2026-08-12T08:55:58"/>
    <s v="19010665"/>
    <x v="15"/>
    <x v="15"/>
    <n v="80"/>
    <m/>
    <n v="80"/>
    <s v="20270528150000"/>
    <s v="디캔팅"/>
    <s v="입고"/>
    <s v="작업완료"/>
    <s v="1010"/>
    <x v="7"/>
    <s v="2026-08-12 08:54:03"/>
    <s v="월수금"/>
    <x v="2"/>
  </r>
  <r>
    <d v="2026-08-12T08:55:08"/>
    <s v="19015269"/>
    <x v="15"/>
    <x v="15"/>
    <n v="80"/>
    <m/>
    <n v="80"/>
    <s v="20270528150000"/>
    <s v="디캔팅"/>
    <s v="입고"/>
    <s v="작업완료"/>
    <s v="1010"/>
    <x v="7"/>
    <s v="2026-08-12 08:52:54"/>
    <s v="월수금"/>
    <x v="2"/>
  </r>
  <r>
    <d v="2026-08-12T08:54:47"/>
    <s v="19026981"/>
    <x v="15"/>
    <x v="15"/>
    <n v="80"/>
    <m/>
    <n v="80"/>
    <s v="20270528150000"/>
    <s v="디캔팅"/>
    <s v="입고"/>
    <s v="작업완료"/>
    <s v="1010"/>
    <x v="7"/>
    <s v="2026-08-12 08:52:51"/>
    <s v="월수금"/>
    <x v="2"/>
  </r>
  <r>
    <d v="2026-08-12T08:54:13"/>
    <s v="19007289"/>
    <x v="15"/>
    <x v="15"/>
    <n v="80"/>
    <m/>
    <n v="80"/>
    <s v="20270528150000"/>
    <s v="디캔팅"/>
    <s v="입고"/>
    <s v="작업완료"/>
    <s v="1010"/>
    <x v="7"/>
    <s v="2026-08-12 08:52:07"/>
    <s v="월수금"/>
    <x v="2"/>
  </r>
  <r>
    <d v="2026-08-12T08:53:40"/>
    <s v="19016110"/>
    <x v="15"/>
    <x v="15"/>
    <n v="80"/>
    <m/>
    <n v="80"/>
    <s v="20270528150000"/>
    <s v="디캔팅"/>
    <s v="입고"/>
    <s v="작업완료"/>
    <s v="1010"/>
    <x v="7"/>
    <s v="2026-08-12 08:52:10"/>
    <s v="월수금"/>
    <x v="2"/>
  </r>
  <r>
    <d v="2026-08-10T20:51:42"/>
    <s v="19007618"/>
    <x v="15"/>
    <x v="15"/>
    <n v="80"/>
    <m/>
    <n v="80"/>
    <s v="20270522150000"/>
    <s v="디캔팅"/>
    <s v="입고"/>
    <s v="작업완료"/>
    <s v="1011"/>
    <x v="0"/>
    <s v="2026-08-10 20:32:43"/>
    <s v="월수금"/>
    <x v="3"/>
  </r>
  <r>
    <d v="2026-08-10T20:48:10"/>
    <s v="19006007"/>
    <x v="15"/>
    <x v="15"/>
    <n v="80"/>
    <m/>
    <n v="80"/>
    <s v="20270522150000"/>
    <s v="디캔팅"/>
    <s v="입고"/>
    <s v="작업완료"/>
    <s v="1011"/>
    <x v="0"/>
    <s v="2026-08-10 20:45:58"/>
    <s v="월수금"/>
    <x v="3"/>
  </r>
  <r>
    <d v="2026-08-10T20:47:57"/>
    <s v="19022076"/>
    <x v="15"/>
    <x v="15"/>
    <n v="80"/>
    <m/>
    <n v="80"/>
    <s v="20270522150000"/>
    <s v="디캔팅"/>
    <s v="입고"/>
    <s v="작업완료"/>
    <s v="1011"/>
    <x v="0"/>
    <s v="2026-08-10 20:46:09"/>
    <s v="월수금"/>
    <x v="3"/>
  </r>
  <r>
    <d v="2026-08-10T20:47:52"/>
    <s v="19012821"/>
    <x v="15"/>
    <x v="15"/>
    <n v="80"/>
    <m/>
    <n v="80"/>
    <s v="20270522150000"/>
    <s v="디캔팅"/>
    <s v="입고"/>
    <s v="작업완료"/>
    <s v="1011"/>
    <x v="0"/>
    <s v="2026-08-10 20:46:01"/>
    <s v="월수금"/>
    <x v="3"/>
  </r>
  <r>
    <d v="2026-08-10T20:46:40"/>
    <s v="19015703"/>
    <x v="15"/>
    <x v="15"/>
    <n v="80"/>
    <m/>
    <n v="80"/>
    <s v="20270522150000"/>
    <s v="디캔팅"/>
    <s v="입고"/>
    <s v="작업완료"/>
    <s v="1011"/>
    <x v="0"/>
    <s v="2026-08-10 20:43:50"/>
    <s v="월수금"/>
    <x v="3"/>
  </r>
  <r>
    <d v="2026-08-10T20:46:20"/>
    <s v="19002422"/>
    <x v="15"/>
    <x v="15"/>
    <n v="80"/>
    <m/>
    <n v="80"/>
    <s v="20270522150000"/>
    <s v="디캔팅"/>
    <s v="입고"/>
    <s v="작업완료"/>
    <s v="1011"/>
    <x v="0"/>
    <s v="2026-08-10 20:43:59"/>
    <s v="월수금"/>
    <x v="3"/>
  </r>
  <r>
    <d v="2026-08-10T20:45:28"/>
    <s v="19012051"/>
    <x v="15"/>
    <x v="15"/>
    <n v="80"/>
    <m/>
    <n v="80"/>
    <s v="20270522150000"/>
    <s v="디캔팅"/>
    <s v="입고"/>
    <s v="작업완료"/>
    <s v="1011"/>
    <x v="0"/>
    <s v="2026-08-10 20:43:54"/>
    <s v="월수금"/>
    <x v="3"/>
  </r>
  <r>
    <d v="2026-08-10T20:44:26"/>
    <s v="19017781"/>
    <x v="15"/>
    <x v="15"/>
    <n v="80"/>
    <m/>
    <n v="80"/>
    <s v="20270522150000"/>
    <s v="디캔팅"/>
    <s v="입고"/>
    <s v="작업완료"/>
    <s v="1011"/>
    <x v="0"/>
    <s v="2026-08-10 20:42:11"/>
    <s v="월수금"/>
    <x v="3"/>
  </r>
  <r>
    <d v="2026-08-10T20:44:15"/>
    <s v="19004836"/>
    <x v="15"/>
    <x v="15"/>
    <n v="80"/>
    <m/>
    <n v="80"/>
    <s v="20270522150000"/>
    <s v="디캔팅"/>
    <s v="입고"/>
    <s v="작업완료"/>
    <s v="1011"/>
    <x v="0"/>
    <s v="2026-08-10 20:42:06"/>
    <s v="월수금"/>
    <x v="3"/>
  </r>
  <r>
    <d v="2026-08-10T20:43:50"/>
    <s v="19020895"/>
    <x v="15"/>
    <x v="15"/>
    <n v="80"/>
    <m/>
    <n v="80"/>
    <s v="20270522150000"/>
    <s v="디캔팅"/>
    <s v="입고"/>
    <s v="작업완료"/>
    <s v="1011"/>
    <x v="0"/>
    <s v="2026-08-10 20:42:01"/>
    <s v="월수금"/>
    <x v="3"/>
  </r>
  <r>
    <d v="2026-08-10T20:42:52"/>
    <s v="19003586"/>
    <x v="15"/>
    <x v="15"/>
    <n v="80"/>
    <m/>
    <n v="80"/>
    <s v="20270522150000"/>
    <s v="디캔팅"/>
    <s v="입고"/>
    <s v="작업완료"/>
    <s v="1011"/>
    <x v="0"/>
    <s v="2026-08-10 20:40:40"/>
    <s v="월수금"/>
    <x v="3"/>
  </r>
  <r>
    <d v="2026-08-10T20:42:47"/>
    <s v="19017039"/>
    <x v="15"/>
    <x v="15"/>
    <n v="80"/>
    <m/>
    <n v="80"/>
    <s v="20270522150000"/>
    <s v="디캔팅"/>
    <s v="입고"/>
    <s v="작업완료"/>
    <s v="1011"/>
    <x v="0"/>
    <s v="2026-08-10 20:40:30"/>
    <s v="월수금"/>
    <x v="3"/>
  </r>
  <r>
    <d v="2026-08-10T20:42:19"/>
    <s v="19005287"/>
    <x v="15"/>
    <x v="15"/>
    <n v="80"/>
    <m/>
    <n v="80"/>
    <s v="20270522150000"/>
    <s v="디캔팅"/>
    <s v="입고"/>
    <s v="작업완료"/>
    <s v="1011"/>
    <x v="0"/>
    <s v="2026-08-10 20:40:34"/>
    <s v="월수금"/>
    <x v="3"/>
  </r>
  <r>
    <d v="2026-08-10T20:40:50"/>
    <s v="19014149"/>
    <x v="15"/>
    <x v="15"/>
    <n v="80"/>
    <m/>
    <n v="80"/>
    <s v="20270522150000"/>
    <s v="디캔팅"/>
    <s v="입고"/>
    <s v="작업완료"/>
    <s v="1011"/>
    <x v="0"/>
    <s v="2026-08-10 20:38:55"/>
    <s v="월수금"/>
    <x v="3"/>
  </r>
  <r>
    <d v="2026-08-10T20:40:49"/>
    <s v="19004358"/>
    <x v="15"/>
    <x v="15"/>
    <n v="80"/>
    <m/>
    <n v="80"/>
    <s v="20270522150000"/>
    <s v="디캔팅"/>
    <s v="입고"/>
    <s v="작업완료"/>
    <s v="1011"/>
    <x v="0"/>
    <s v="2026-08-10 20:39:00"/>
    <s v="월수금"/>
    <x v="3"/>
  </r>
  <r>
    <d v="2026-08-10T20:40:41"/>
    <s v="19016683"/>
    <x v="15"/>
    <x v="15"/>
    <n v="80"/>
    <m/>
    <n v="80"/>
    <s v="20270522150000"/>
    <s v="디캔팅"/>
    <s v="입고"/>
    <s v="작업완료"/>
    <s v="1011"/>
    <x v="0"/>
    <s v="2026-08-10 20:38:52"/>
    <s v="월수금"/>
    <x v="3"/>
  </r>
  <r>
    <d v="2026-08-10T20:39:23"/>
    <s v="19005600"/>
    <x v="15"/>
    <x v="15"/>
    <n v="80"/>
    <m/>
    <n v="80"/>
    <s v="20270522150000"/>
    <s v="디캔팅"/>
    <s v="입고"/>
    <s v="작업완료"/>
    <s v="1011"/>
    <x v="0"/>
    <s v="2026-08-10 20:37:11"/>
    <s v="월수금"/>
    <x v="3"/>
  </r>
  <r>
    <d v="2026-08-10T20:39:11"/>
    <s v="19001980"/>
    <x v="15"/>
    <x v="15"/>
    <n v="80"/>
    <m/>
    <n v="80"/>
    <s v="20270522150000"/>
    <s v="디캔팅"/>
    <s v="입고"/>
    <s v="작업완료"/>
    <s v="1011"/>
    <x v="0"/>
    <s v="2026-08-10 20:37:17"/>
    <s v="월수금"/>
    <x v="3"/>
  </r>
  <r>
    <d v="2026-08-10T20:39:10"/>
    <s v="19016852"/>
    <x v="15"/>
    <x v="15"/>
    <n v="80"/>
    <m/>
    <n v="80"/>
    <s v="20270522150000"/>
    <s v="디캔팅"/>
    <s v="입고"/>
    <s v="작업완료"/>
    <s v="1011"/>
    <x v="0"/>
    <s v="2026-08-10 20:37:26"/>
    <s v="월수금"/>
    <x v="3"/>
  </r>
  <r>
    <d v="2026-08-10T20:37:55"/>
    <s v="19008438"/>
    <x v="15"/>
    <x v="15"/>
    <n v="80"/>
    <m/>
    <n v="80"/>
    <s v="20270522150000"/>
    <s v="디캔팅"/>
    <s v="입고"/>
    <s v="작업완료"/>
    <s v="1011"/>
    <x v="0"/>
    <s v="2026-08-10 20:35:38"/>
    <s v="월수금"/>
    <x v="3"/>
  </r>
  <r>
    <d v="2026-08-10T20:37:49"/>
    <s v="19012232"/>
    <x v="15"/>
    <x v="15"/>
    <n v="80"/>
    <m/>
    <n v="80"/>
    <s v="20270522150000"/>
    <s v="디캔팅"/>
    <s v="입고"/>
    <s v="작업완료"/>
    <s v="1011"/>
    <x v="0"/>
    <s v="2026-08-10 20:35:43"/>
    <s v="월수금"/>
    <x v="3"/>
  </r>
  <r>
    <d v="2026-08-10T20:37:42"/>
    <s v="19003745"/>
    <x v="15"/>
    <x v="15"/>
    <n v="80"/>
    <m/>
    <n v="80"/>
    <s v="20270522150000"/>
    <s v="디캔팅"/>
    <s v="입고"/>
    <s v="작업완료"/>
    <s v="1011"/>
    <x v="0"/>
    <s v="2026-08-10 20:35:35"/>
    <s v="월수금"/>
    <x v="3"/>
  </r>
  <r>
    <d v="2026-08-10T20:34:48"/>
    <s v="19000347"/>
    <x v="15"/>
    <x v="15"/>
    <n v="80"/>
    <m/>
    <n v="80"/>
    <s v="20270522150000"/>
    <s v="디캔팅"/>
    <s v="입고"/>
    <s v="작업완료"/>
    <s v="1011"/>
    <x v="0"/>
    <s v="2026-08-10 20:32:35"/>
    <s v="월수금"/>
    <x v="3"/>
  </r>
  <r>
    <d v="2026-08-10T20:34:02"/>
    <s v="19004870"/>
    <x v="15"/>
    <x v="15"/>
    <n v="80"/>
    <m/>
    <n v="80"/>
    <s v="20270522150000"/>
    <s v="디캔팅"/>
    <s v="입고"/>
    <s v="작업완료"/>
    <s v="1011"/>
    <x v="0"/>
    <s v="2026-08-10 20:32:24"/>
    <s v="월수금"/>
    <x v="3"/>
  </r>
  <r>
    <d v="2026-08-10T20:33:38"/>
    <s v="19009613"/>
    <x v="15"/>
    <x v="15"/>
    <n v="80"/>
    <m/>
    <n v="80"/>
    <s v="20270522150000"/>
    <s v="디캔팅"/>
    <s v="입고"/>
    <s v="작업완료"/>
    <s v="1011"/>
    <x v="0"/>
    <s v="2026-08-10 20:31:29"/>
    <s v="월수금"/>
    <x v="3"/>
  </r>
  <r>
    <d v="2026-08-10T20:33:37"/>
    <s v="19000567"/>
    <x v="15"/>
    <x v="15"/>
    <n v="80"/>
    <m/>
    <n v="80"/>
    <s v="20270522150000"/>
    <s v="디캔팅"/>
    <s v="입고"/>
    <s v="작업완료"/>
    <s v="1011"/>
    <x v="0"/>
    <s v="2026-08-10 20:31:20"/>
    <s v="월수금"/>
    <x v="3"/>
  </r>
  <r>
    <d v="2026-08-10T20:33:22"/>
    <s v="19017163"/>
    <x v="15"/>
    <x v="15"/>
    <n v="80"/>
    <m/>
    <n v="80"/>
    <s v="20270522150000"/>
    <s v="디캔팅"/>
    <s v="입고"/>
    <s v="작업완료"/>
    <s v="1011"/>
    <x v="0"/>
    <s v="2026-08-10 20:31:22"/>
    <s v="월수금"/>
    <x v="3"/>
  </r>
  <r>
    <d v="2026-08-10T20:32:23"/>
    <s v="19029952"/>
    <x v="15"/>
    <x v="15"/>
    <n v="80"/>
    <m/>
    <n v="80"/>
    <s v="20270522150000"/>
    <s v="디캔팅"/>
    <s v="입고"/>
    <s v="작업완료"/>
    <s v="1011"/>
    <x v="0"/>
    <s v="2026-08-10 20:30:22"/>
    <s v="월수금"/>
    <x v="3"/>
  </r>
  <r>
    <d v="2026-08-10T20:32:12"/>
    <s v="19011811"/>
    <x v="15"/>
    <x v="15"/>
    <n v="80"/>
    <m/>
    <n v="80"/>
    <s v="20270522150000"/>
    <s v="디캔팅"/>
    <s v="입고"/>
    <s v="작업완료"/>
    <s v="1011"/>
    <x v="0"/>
    <s v="2026-08-10 20:30:17"/>
    <s v="월수금"/>
    <x v="3"/>
  </r>
  <r>
    <d v="2026-08-10T20:32:06"/>
    <s v="19000889"/>
    <x v="15"/>
    <x v="15"/>
    <n v="80"/>
    <m/>
    <n v="80"/>
    <s v="20270522150000"/>
    <s v="디캔팅"/>
    <s v="입고"/>
    <s v="작업완료"/>
    <s v="1011"/>
    <x v="0"/>
    <s v="2026-08-10 20:30:14"/>
    <s v="월수금"/>
    <x v="3"/>
  </r>
  <r>
    <d v="2026-08-10T20:24:36"/>
    <s v="19017239"/>
    <x v="15"/>
    <x v="15"/>
    <n v="80"/>
    <m/>
    <n v="80"/>
    <s v="20270522150000"/>
    <s v="디캔팅"/>
    <s v="입고"/>
    <s v="작업완료"/>
    <s v="1011"/>
    <x v="0"/>
    <s v="2026-08-10 20:21:30"/>
    <s v="월수금"/>
    <x v="3"/>
  </r>
  <r>
    <d v="2026-08-10T20:24:14"/>
    <s v="19015326"/>
    <x v="15"/>
    <x v="15"/>
    <n v="80"/>
    <m/>
    <n v="80"/>
    <s v="20270522150000"/>
    <s v="디캔팅"/>
    <s v="입고"/>
    <s v="작업완료"/>
    <s v="1011"/>
    <x v="0"/>
    <s v="2026-08-10 20:21:24"/>
    <s v="월수금"/>
    <x v="3"/>
  </r>
  <r>
    <d v="2026-08-10T20:24:07"/>
    <s v="19015802"/>
    <x v="15"/>
    <x v="15"/>
    <n v="80"/>
    <m/>
    <n v="80"/>
    <s v="20270522150000"/>
    <s v="디캔팅"/>
    <s v="입고"/>
    <s v="작업완료"/>
    <s v="1011"/>
    <x v="0"/>
    <s v="2026-08-10 20:21:20"/>
    <s v="월수금"/>
    <x v="3"/>
  </r>
  <r>
    <d v="2026-08-10T20:23:37"/>
    <s v="19002650"/>
    <x v="15"/>
    <x v="15"/>
    <n v="80"/>
    <m/>
    <n v="80"/>
    <s v="20270522150000"/>
    <s v="디캔팅"/>
    <s v="입고"/>
    <s v="작업완료"/>
    <s v="1011"/>
    <x v="0"/>
    <s v="2026-08-10 20:19:40"/>
    <s v="월수금"/>
    <x v="3"/>
  </r>
  <r>
    <d v="2026-08-10T20:23:21"/>
    <s v="19025596"/>
    <x v="15"/>
    <x v="15"/>
    <n v="80"/>
    <m/>
    <n v="80"/>
    <s v="20270522150000"/>
    <s v="디캔팅"/>
    <s v="입고"/>
    <s v="작업완료"/>
    <s v="1011"/>
    <x v="0"/>
    <s v="2026-08-10 20:19:34"/>
    <s v="월수금"/>
    <x v="3"/>
  </r>
  <r>
    <d v="2026-08-10T20:23:16"/>
    <s v="19016353"/>
    <x v="15"/>
    <x v="15"/>
    <n v="80"/>
    <m/>
    <n v="80"/>
    <s v="20270522150000"/>
    <s v="디캔팅"/>
    <s v="입고"/>
    <s v="작업완료"/>
    <s v="1011"/>
    <x v="0"/>
    <s v="2026-08-10 20:19:30"/>
    <s v="월수금"/>
    <x v="3"/>
  </r>
  <r>
    <d v="2026-08-10T10:51:57"/>
    <s v="19020554"/>
    <x v="15"/>
    <x v="15"/>
    <n v="80"/>
    <m/>
    <n v="80"/>
    <s v="20270522150000"/>
    <s v="디캔팅"/>
    <s v="입고"/>
    <s v="작업완료"/>
    <s v="1006"/>
    <x v="6"/>
    <s v="2026-08-10 10:49:48"/>
    <s v="월수금"/>
    <x v="3"/>
  </r>
  <r>
    <d v="2026-08-10T10:51:53"/>
    <s v="19014532"/>
    <x v="15"/>
    <x v="15"/>
    <n v="80"/>
    <m/>
    <n v="80"/>
    <s v="20270522150000"/>
    <s v="디캔팅"/>
    <s v="입고"/>
    <s v="작업완료"/>
    <s v="1006"/>
    <x v="6"/>
    <s v="2026-08-10 10:50:20"/>
    <s v="월수금"/>
    <x v="3"/>
  </r>
  <r>
    <d v="2026-08-10T10:50:11"/>
    <s v="19011055"/>
    <x v="15"/>
    <x v="15"/>
    <n v="80"/>
    <m/>
    <n v="80"/>
    <s v="20270522150000"/>
    <s v="디캔팅"/>
    <s v="입고"/>
    <s v="작업완료"/>
    <s v="1006"/>
    <x v="6"/>
    <s v="2026-08-10 10:48:28"/>
    <s v="월수금"/>
    <x v="3"/>
  </r>
  <r>
    <d v="2026-08-10T10:49:33"/>
    <s v="19016212"/>
    <x v="15"/>
    <x v="15"/>
    <n v="80"/>
    <m/>
    <n v="80"/>
    <s v="20270522150000"/>
    <s v="디캔팅"/>
    <s v="입고"/>
    <s v="작업완료"/>
    <s v="1006"/>
    <x v="6"/>
    <s v="2026-08-10 10:47:43"/>
    <s v="월수금"/>
    <x v="3"/>
  </r>
  <r>
    <d v="2026-08-10T10:49:26"/>
    <s v="19017508"/>
    <x v="15"/>
    <x v="15"/>
    <n v="80"/>
    <m/>
    <n v="80"/>
    <s v="20270522150000"/>
    <s v="디캔팅"/>
    <s v="입고"/>
    <s v="작업완료"/>
    <s v="1006"/>
    <x v="6"/>
    <s v="2026-08-10 10:48:06"/>
    <s v="월수금"/>
    <x v="3"/>
  </r>
  <r>
    <d v="2026-08-10T10:49:18"/>
    <s v="19023590"/>
    <x v="15"/>
    <x v="15"/>
    <n v="80"/>
    <m/>
    <n v="80"/>
    <s v="20270522150000"/>
    <s v="디캔팅"/>
    <s v="입고"/>
    <s v="작업완료"/>
    <s v="1006"/>
    <x v="6"/>
    <s v="2026-08-10 10:47:23"/>
    <s v="월수금"/>
    <x v="3"/>
  </r>
  <r>
    <d v="2026-08-10T10:48:30"/>
    <s v="19001460"/>
    <x v="15"/>
    <x v="15"/>
    <n v="80"/>
    <m/>
    <n v="80"/>
    <s v="20270522150000"/>
    <s v="디캔팅"/>
    <s v="입고"/>
    <s v="작업완료"/>
    <s v="1006"/>
    <x v="6"/>
    <s v="2026-08-10 10:46:53"/>
    <s v="월수금"/>
    <x v="3"/>
  </r>
  <r>
    <d v="2026-08-10T10:48:25"/>
    <s v="19014839"/>
    <x v="15"/>
    <x v="15"/>
    <n v="80"/>
    <m/>
    <n v="80"/>
    <s v="20270522150000"/>
    <s v="디캔팅"/>
    <s v="입고"/>
    <s v="작업완료"/>
    <s v="1006"/>
    <x v="6"/>
    <s v="2026-08-10 10:46:34"/>
    <s v="월수금"/>
    <x v="3"/>
  </r>
  <r>
    <d v="2026-08-10T10:48:00"/>
    <s v="19003531"/>
    <x v="15"/>
    <x v="15"/>
    <n v="80"/>
    <m/>
    <n v="80"/>
    <s v="20270522150000"/>
    <s v="디캔팅"/>
    <s v="입고"/>
    <s v="작업완료"/>
    <s v="1006"/>
    <x v="6"/>
    <s v="2026-08-10 10:46:08"/>
    <s v="월수금"/>
    <x v="3"/>
  </r>
  <r>
    <d v="2026-08-10T10:46:58"/>
    <s v="19003429"/>
    <x v="15"/>
    <x v="15"/>
    <n v="80"/>
    <m/>
    <n v="80"/>
    <s v="20270522150000"/>
    <s v="디캔팅"/>
    <s v="입고"/>
    <s v="작업완료"/>
    <s v="1006"/>
    <x v="6"/>
    <s v="2026-08-10 10:45:07"/>
    <s v="월수금"/>
    <x v="3"/>
  </r>
  <r>
    <d v="2026-08-10T10:46:42"/>
    <s v="19024059"/>
    <x v="15"/>
    <x v="15"/>
    <n v="80"/>
    <m/>
    <n v="80"/>
    <s v="20270522150000"/>
    <s v="디캔팅"/>
    <s v="입고"/>
    <s v="작업완료"/>
    <s v="1006"/>
    <x v="6"/>
    <s v="2026-08-10 10:44:44"/>
    <s v="월수금"/>
    <x v="3"/>
  </r>
  <r>
    <d v="2026-08-10T10:45:46"/>
    <s v="19011595"/>
    <x v="15"/>
    <x v="15"/>
    <n v="80"/>
    <m/>
    <n v="80"/>
    <s v="20270522150000"/>
    <s v="디캔팅"/>
    <s v="입고"/>
    <s v="작업완료"/>
    <s v="1006"/>
    <x v="6"/>
    <s v="2026-08-10 10:44:23"/>
    <s v="월수금"/>
    <x v="3"/>
  </r>
  <r>
    <d v="2026-08-10T10:45:45"/>
    <s v="19020302"/>
    <x v="15"/>
    <x v="15"/>
    <n v="80"/>
    <m/>
    <n v="80"/>
    <s v="20270522150000"/>
    <s v="디캔팅"/>
    <s v="입고"/>
    <s v="작업완료"/>
    <s v="1006"/>
    <x v="6"/>
    <s v="2026-08-10 10:44:03"/>
    <s v="월수금"/>
    <x v="3"/>
  </r>
  <r>
    <d v="2026-08-10T10:45:35"/>
    <s v="19003992"/>
    <x v="15"/>
    <x v="15"/>
    <n v="80"/>
    <m/>
    <n v="80"/>
    <s v="20270522150000"/>
    <s v="디캔팅"/>
    <s v="입고"/>
    <s v="작업완료"/>
    <s v="1006"/>
    <x v="6"/>
    <s v="2026-08-10 10:43:42"/>
    <s v="월수금"/>
    <x v="3"/>
  </r>
  <r>
    <d v="2026-08-10T10:43:52"/>
    <s v="19009908"/>
    <x v="15"/>
    <x v="15"/>
    <n v="80"/>
    <m/>
    <n v="80"/>
    <s v="20270522150000"/>
    <s v="디캔팅"/>
    <s v="입고"/>
    <s v="작업완료"/>
    <s v="1006"/>
    <x v="6"/>
    <s v="2026-08-10 10:42:10"/>
    <s v="월수금"/>
    <x v="3"/>
  </r>
  <r>
    <d v="2026-08-10T10:43:30"/>
    <s v="19009623"/>
    <x v="15"/>
    <x v="15"/>
    <n v="80"/>
    <m/>
    <n v="80"/>
    <s v="20270522150000"/>
    <s v="디캔팅"/>
    <s v="입고"/>
    <s v="작업완료"/>
    <s v="1006"/>
    <x v="6"/>
    <s v="2026-08-10 10:41:48"/>
    <s v="월수금"/>
    <x v="3"/>
  </r>
  <r>
    <d v="2026-08-10T10:43:12"/>
    <s v="19003578"/>
    <x v="15"/>
    <x v="15"/>
    <n v="80"/>
    <m/>
    <n v="80"/>
    <s v="20270522150000"/>
    <s v="디캔팅"/>
    <s v="입고"/>
    <s v="작업완료"/>
    <s v="1006"/>
    <x v="6"/>
    <s v="2026-08-10 10:41:23"/>
    <s v="월수금"/>
    <x v="3"/>
  </r>
  <r>
    <d v="2026-08-10T10:42:48"/>
    <s v="19006673"/>
    <x v="15"/>
    <x v="15"/>
    <n v="80"/>
    <m/>
    <n v="80"/>
    <s v="20270522150000"/>
    <s v="디캔팅"/>
    <s v="입고"/>
    <s v="작업완료"/>
    <s v="1006"/>
    <x v="6"/>
    <s v="2026-08-10 10:41:05"/>
    <s v="월수금"/>
    <x v="3"/>
  </r>
  <r>
    <d v="2026-08-10T10:42:24"/>
    <s v="19017393"/>
    <x v="15"/>
    <x v="15"/>
    <n v="80"/>
    <m/>
    <n v="80"/>
    <s v="20270522150000"/>
    <s v="디캔팅"/>
    <s v="입고"/>
    <s v="작업완료"/>
    <s v="1006"/>
    <x v="6"/>
    <s v="2026-08-10 10:40:42"/>
    <s v="월수금"/>
    <x v="3"/>
  </r>
  <r>
    <d v="2026-08-10T10:42:13"/>
    <s v="19010761"/>
    <x v="15"/>
    <x v="15"/>
    <n v="80"/>
    <m/>
    <n v="80"/>
    <s v="20270522150000"/>
    <s v="디캔팅"/>
    <s v="입고"/>
    <s v="작업완료"/>
    <s v="1006"/>
    <x v="6"/>
    <s v="2026-08-10 10:40:21"/>
    <s v="월수금"/>
    <x v="3"/>
  </r>
  <r>
    <d v="2026-08-10T10:41:57"/>
    <s v="19005482"/>
    <x v="15"/>
    <x v="15"/>
    <n v="80"/>
    <m/>
    <n v="80"/>
    <s v="20270522150000"/>
    <s v="디캔팅"/>
    <s v="입고"/>
    <s v="작업완료"/>
    <s v="1006"/>
    <x v="6"/>
    <s v="2026-08-10 10:39:56"/>
    <s v="월수금"/>
    <x v="3"/>
  </r>
  <r>
    <d v="2026-08-10T10:41:01"/>
    <s v="19015749"/>
    <x v="15"/>
    <x v="15"/>
    <n v="80"/>
    <m/>
    <n v="80"/>
    <s v="20270522150000"/>
    <s v="디캔팅"/>
    <s v="입고"/>
    <s v="작업완료"/>
    <s v="1006"/>
    <x v="6"/>
    <s v="2026-08-10 10:39:26"/>
    <s v="월수금"/>
    <x v="3"/>
  </r>
  <r>
    <d v="2026-08-10T10:40:47"/>
    <s v="19004078"/>
    <x v="15"/>
    <x v="15"/>
    <n v="80"/>
    <m/>
    <n v="80"/>
    <s v="20270522150000"/>
    <s v="디캔팅"/>
    <s v="입고"/>
    <s v="작업완료"/>
    <s v="1006"/>
    <x v="6"/>
    <s v="2026-08-10 10:38:47"/>
    <s v="월수금"/>
    <x v="3"/>
  </r>
  <r>
    <d v="2026-08-10T10:40:15"/>
    <s v="19016784"/>
    <x v="15"/>
    <x v="15"/>
    <n v="80"/>
    <m/>
    <n v="80"/>
    <s v="20270522150000"/>
    <s v="디캔팅"/>
    <s v="입고"/>
    <s v="작업완료"/>
    <s v="1006"/>
    <x v="6"/>
    <s v="2026-08-10 10:38:26"/>
    <s v="월수금"/>
    <x v="3"/>
  </r>
  <r>
    <d v="2026-08-10T10:39:48"/>
    <s v="19020374"/>
    <x v="15"/>
    <x v="15"/>
    <n v="80"/>
    <m/>
    <n v="80"/>
    <s v="20270522150000"/>
    <s v="디캔팅"/>
    <s v="입고"/>
    <s v="작업완료"/>
    <s v="1006"/>
    <x v="6"/>
    <s v="2026-08-10 10:38:08"/>
    <s v="월수금"/>
    <x v="3"/>
  </r>
  <r>
    <d v="2026-08-10T10:39:25"/>
    <s v="19000083"/>
    <x v="15"/>
    <x v="15"/>
    <n v="80"/>
    <m/>
    <n v="80"/>
    <s v="20270522150000"/>
    <s v="디캔팅"/>
    <s v="입고"/>
    <s v="작업완료"/>
    <s v="1006"/>
    <x v="6"/>
    <s v="2026-08-10 10:37:47"/>
    <s v="월수금"/>
    <x v="3"/>
  </r>
  <r>
    <d v="2026-08-10T10:37:24"/>
    <s v="19007311"/>
    <x v="15"/>
    <x v="15"/>
    <n v="80"/>
    <m/>
    <n v="80"/>
    <s v="20270522150000"/>
    <s v="디캔팅"/>
    <s v="입고"/>
    <s v="작업완료"/>
    <s v="1006"/>
    <x v="6"/>
    <s v="2026-08-10 10:35:47"/>
    <s v="월수금"/>
    <x v="3"/>
  </r>
  <r>
    <d v="2026-08-10T10:37:01"/>
    <s v="19011411"/>
    <x v="15"/>
    <x v="15"/>
    <n v="80"/>
    <m/>
    <n v="80"/>
    <s v="20270522150000"/>
    <s v="디캔팅"/>
    <s v="입고"/>
    <s v="작업완료"/>
    <s v="1006"/>
    <x v="6"/>
    <s v="2026-08-10 10:35:28"/>
    <s v="월수금"/>
    <x v="3"/>
  </r>
  <r>
    <d v="2026-08-10T10:37:00"/>
    <s v="19006365"/>
    <x v="15"/>
    <x v="15"/>
    <n v="80"/>
    <m/>
    <n v="80"/>
    <s v="20270522150000"/>
    <s v="디캔팅"/>
    <s v="입고"/>
    <s v="작업완료"/>
    <s v="1006"/>
    <x v="6"/>
    <s v="2026-08-10 10:35:05"/>
    <s v="월수금"/>
    <x v="3"/>
  </r>
  <r>
    <d v="2026-08-10T10:36:39"/>
    <s v="19003432"/>
    <x v="15"/>
    <x v="15"/>
    <n v="80"/>
    <m/>
    <n v="80"/>
    <s v="20270522150000"/>
    <s v="디캔팅"/>
    <s v="입고"/>
    <s v="작업완료"/>
    <s v="1006"/>
    <x v="6"/>
    <s v="2026-08-10 10:34:43"/>
    <s v="월수금"/>
    <x v="3"/>
  </r>
  <r>
    <d v="2026-08-10T10:36:03"/>
    <s v="19010617"/>
    <x v="15"/>
    <x v="15"/>
    <n v="80"/>
    <m/>
    <n v="80"/>
    <s v="20270522150000"/>
    <s v="디캔팅"/>
    <s v="입고"/>
    <s v="작업완료"/>
    <s v="1006"/>
    <x v="6"/>
    <s v="2026-08-10 10:34:22"/>
    <s v="월수금"/>
    <x v="3"/>
  </r>
  <r>
    <d v="2026-08-10T10:35:51"/>
    <s v="19005368"/>
    <x v="15"/>
    <x v="15"/>
    <n v="80"/>
    <m/>
    <n v="80"/>
    <s v="20270522150000"/>
    <s v="디캔팅"/>
    <s v="입고"/>
    <s v="작업완료"/>
    <s v="1006"/>
    <x v="6"/>
    <s v="2026-08-10 10:34:01"/>
    <s v="월수금"/>
    <x v="3"/>
  </r>
  <r>
    <d v="2026-08-14T18:41:11"/>
    <s v="19002470"/>
    <x v="16"/>
    <x v="16"/>
    <n v="80"/>
    <m/>
    <n v="80"/>
    <s v="20270519150000"/>
    <s v="디캔팅"/>
    <s v="입고"/>
    <s v="작업완료"/>
    <s v="1006"/>
    <x v="6"/>
    <s v="2026-08-14 18:39:17"/>
    <s v="월수금"/>
    <x v="1"/>
  </r>
  <r>
    <d v="2026-08-14T18:41:00"/>
    <s v="19020685"/>
    <x v="16"/>
    <x v="16"/>
    <n v="80"/>
    <m/>
    <n v="80"/>
    <s v="20270519150000"/>
    <s v="디캔팅"/>
    <s v="입고"/>
    <s v="작업완료"/>
    <s v="1006"/>
    <x v="6"/>
    <s v="2026-08-14 18:39:20"/>
    <s v="월수금"/>
    <x v="1"/>
  </r>
  <r>
    <d v="2026-08-14T18:38:56"/>
    <s v="19000419"/>
    <x v="16"/>
    <x v="16"/>
    <n v="80"/>
    <m/>
    <n v="80"/>
    <s v="20270519150000"/>
    <s v="디캔팅"/>
    <s v="입고"/>
    <s v="작업완료"/>
    <s v="1006"/>
    <x v="6"/>
    <s v="2026-08-14 18:37:11"/>
    <s v="월수금"/>
    <x v="1"/>
  </r>
  <r>
    <d v="2026-08-14T18:38:55"/>
    <s v="19008404"/>
    <x v="16"/>
    <x v="16"/>
    <n v="80"/>
    <m/>
    <n v="80"/>
    <s v="20270519150000"/>
    <s v="디캔팅"/>
    <s v="입고"/>
    <s v="작업완료"/>
    <s v="1006"/>
    <x v="6"/>
    <s v="2026-08-14 18:37:13"/>
    <s v="월수금"/>
    <x v="1"/>
  </r>
  <r>
    <d v="2026-08-14T18:36:49"/>
    <s v="19022489"/>
    <x v="16"/>
    <x v="16"/>
    <n v="80"/>
    <m/>
    <n v="80"/>
    <s v="20270519150000"/>
    <s v="디캔팅"/>
    <s v="입고"/>
    <s v="작업완료"/>
    <s v="1006"/>
    <x v="6"/>
    <s v="2026-08-14 18:34:48"/>
    <s v="월수금"/>
    <x v="1"/>
  </r>
  <r>
    <d v="2026-08-14T18:36:46"/>
    <s v="19007520"/>
    <x v="16"/>
    <x v="16"/>
    <n v="80"/>
    <m/>
    <n v="80"/>
    <s v="20270519150000"/>
    <s v="디캔팅"/>
    <s v="입고"/>
    <s v="작업완료"/>
    <s v="1006"/>
    <x v="6"/>
    <s v="2026-08-14 18:34:51"/>
    <s v="월수금"/>
    <x v="1"/>
  </r>
  <r>
    <d v="2026-08-14T18:33:29"/>
    <s v="19022087"/>
    <x v="16"/>
    <x v="16"/>
    <n v="80"/>
    <m/>
    <n v="80"/>
    <s v="20270519150000"/>
    <s v="디캔팅"/>
    <s v="입고"/>
    <s v="작업완료"/>
    <s v="1006"/>
    <x v="6"/>
    <s v="2026-08-14 18:31:27"/>
    <s v="월수금"/>
    <x v="1"/>
  </r>
  <r>
    <d v="2026-08-14T18:32:58"/>
    <s v="19005001"/>
    <x v="16"/>
    <x v="16"/>
    <n v="80"/>
    <m/>
    <n v="80"/>
    <s v="20270519150000"/>
    <s v="디캔팅"/>
    <s v="입고"/>
    <s v="작업완료"/>
    <s v="1006"/>
    <x v="6"/>
    <s v="2026-08-14 18:31:24"/>
    <s v="월수금"/>
    <x v="1"/>
  </r>
  <r>
    <d v="2026-08-14T18:30:44"/>
    <s v="19009172"/>
    <x v="16"/>
    <x v="16"/>
    <n v="80"/>
    <m/>
    <n v="80"/>
    <s v="20270519150000"/>
    <s v="디캔팅"/>
    <s v="입고"/>
    <s v="작업완료"/>
    <s v="1006"/>
    <x v="6"/>
    <s v="2026-08-14 18:28:42"/>
    <s v="월수금"/>
    <x v="1"/>
  </r>
  <r>
    <d v="2026-08-14T18:30:33"/>
    <s v="19009105"/>
    <x v="16"/>
    <x v="16"/>
    <n v="80"/>
    <m/>
    <n v="80"/>
    <s v="20270519150000"/>
    <s v="디캔팅"/>
    <s v="입고"/>
    <s v="작업완료"/>
    <s v="1006"/>
    <x v="6"/>
    <s v="2026-08-14 18:28:45"/>
    <s v="월수금"/>
    <x v="1"/>
  </r>
  <r>
    <d v="2026-08-14T18:29:48"/>
    <s v="19001519"/>
    <x v="16"/>
    <x v="16"/>
    <n v="80"/>
    <m/>
    <n v="80"/>
    <s v="20270519150000"/>
    <s v="디캔팅"/>
    <s v="입고"/>
    <s v="작업완료"/>
    <s v="1006"/>
    <x v="6"/>
    <s v="2026-08-14 18:25:38"/>
    <s v="월수금"/>
    <x v="1"/>
  </r>
  <r>
    <d v="2026-08-14T18:29:44"/>
    <s v="19003926"/>
    <x v="16"/>
    <x v="16"/>
    <n v="80"/>
    <m/>
    <n v="80"/>
    <s v="20270519150000"/>
    <s v="디캔팅"/>
    <s v="입고"/>
    <s v="작업완료"/>
    <s v="1006"/>
    <x v="6"/>
    <s v="2026-08-14 18:25:36"/>
    <s v="월수금"/>
    <x v="1"/>
  </r>
  <r>
    <d v="2026-08-14T18:22:46"/>
    <s v="19021125"/>
    <x v="16"/>
    <x v="16"/>
    <n v="80"/>
    <m/>
    <n v="80"/>
    <s v="20270519150000"/>
    <s v="디캔팅"/>
    <s v="입고"/>
    <s v="작업완료"/>
    <s v="1006"/>
    <x v="6"/>
    <s v="2026-08-14 18:20:54"/>
    <s v="월수금"/>
    <x v="1"/>
  </r>
  <r>
    <d v="2026-08-14T18:22:35"/>
    <s v="19005909"/>
    <x v="16"/>
    <x v="16"/>
    <n v="80"/>
    <m/>
    <n v="80"/>
    <s v="20270519150000"/>
    <s v="디캔팅"/>
    <s v="입고"/>
    <s v="작업완료"/>
    <s v="1006"/>
    <x v="6"/>
    <s v="2026-08-14 18:20:52"/>
    <s v="월수금"/>
    <x v="1"/>
  </r>
  <r>
    <d v="2026-08-14T18:18:39"/>
    <s v="19002653"/>
    <x v="16"/>
    <x v="16"/>
    <n v="80"/>
    <m/>
    <n v="80"/>
    <s v="20270519150000"/>
    <s v="디캔팅"/>
    <s v="입고"/>
    <s v="작업완료"/>
    <s v="1006"/>
    <x v="6"/>
    <s v="2026-08-14 18:16:08"/>
    <s v="월수금"/>
    <x v="1"/>
  </r>
  <r>
    <d v="2026-08-14T18:17:54"/>
    <s v="19020977"/>
    <x v="16"/>
    <x v="16"/>
    <n v="80"/>
    <m/>
    <n v="80"/>
    <s v="20270519150000"/>
    <s v="디캔팅"/>
    <s v="입고"/>
    <s v="작업완료"/>
    <s v="1006"/>
    <x v="6"/>
    <s v="2026-08-14 18:16:06"/>
    <s v="월수금"/>
    <x v="1"/>
  </r>
  <r>
    <d v="2026-08-14T18:16:09"/>
    <s v="19001541"/>
    <x v="16"/>
    <x v="16"/>
    <n v="80"/>
    <m/>
    <n v="80"/>
    <s v="20270519150000"/>
    <s v="디캔팅"/>
    <s v="입고"/>
    <s v="작업완료"/>
    <s v="1006"/>
    <x v="6"/>
    <s v="2026-08-14 18:14:16"/>
    <s v="월수금"/>
    <x v="1"/>
  </r>
  <r>
    <d v="2026-08-14T18:15:44"/>
    <s v="19006466"/>
    <x v="16"/>
    <x v="16"/>
    <n v="80"/>
    <m/>
    <n v="80"/>
    <s v="20270519150000"/>
    <s v="디캔팅"/>
    <s v="입고"/>
    <s v="작업완료"/>
    <s v="1006"/>
    <x v="6"/>
    <s v="2026-08-14 18:14:14"/>
    <s v="월수금"/>
    <x v="1"/>
  </r>
  <r>
    <d v="2026-08-13T21:50:42"/>
    <s v="19018372"/>
    <x v="16"/>
    <x v="16"/>
    <n v="80"/>
    <m/>
    <n v="80"/>
    <s v="20270519150000"/>
    <s v="디캔팅"/>
    <s v="입고"/>
    <s v="작업완료"/>
    <s v="1013"/>
    <x v="1"/>
    <s v="2026-08-13 21:48:52"/>
    <s v="월수금"/>
    <x v="4"/>
  </r>
  <r>
    <d v="2026-08-13T21:49:28"/>
    <s v="19009920"/>
    <x v="16"/>
    <x v="16"/>
    <n v="80"/>
    <m/>
    <n v="80"/>
    <s v="20270519150000"/>
    <s v="디캔팅"/>
    <s v="입고"/>
    <s v="작업완료"/>
    <s v="1013"/>
    <x v="1"/>
    <s v="2026-08-13 21:47:29"/>
    <s v="월수금"/>
    <x v="4"/>
  </r>
  <r>
    <d v="2026-08-13T21:49:17"/>
    <s v="19028014"/>
    <x v="16"/>
    <x v="16"/>
    <n v="80"/>
    <m/>
    <n v="80"/>
    <s v="20270519150000"/>
    <s v="디캔팅"/>
    <s v="입고"/>
    <s v="작업완료"/>
    <s v="1013"/>
    <x v="1"/>
    <s v="2026-08-13 21:47:24"/>
    <s v="월수금"/>
    <x v="4"/>
  </r>
  <r>
    <d v="2026-08-13T21:46:49"/>
    <s v="19024125"/>
    <x v="16"/>
    <x v="16"/>
    <n v="80"/>
    <m/>
    <n v="80"/>
    <s v="20270519150000"/>
    <s v="디캔팅"/>
    <s v="입고"/>
    <s v="작업완료"/>
    <s v="1013"/>
    <x v="1"/>
    <s v="2026-08-13 21:44:42"/>
    <s v="월수금"/>
    <x v="4"/>
  </r>
  <r>
    <d v="2026-08-13T21:46:41"/>
    <s v="19012386"/>
    <x v="16"/>
    <x v="16"/>
    <n v="80"/>
    <m/>
    <n v="80"/>
    <s v="20270519150000"/>
    <s v="디캔팅"/>
    <s v="입고"/>
    <s v="작업완료"/>
    <s v="1013"/>
    <x v="1"/>
    <s v="2026-08-13 21:44:38"/>
    <s v="월수금"/>
    <x v="4"/>
  </r>
  <r>
    <d v="2026-08-13T21:44:29"/>
    <s v="19001603"/>
    <x v="16"/>
    <x v="16"/>
    <n v="80"/>
    <m/>
    <n v="80"/>
    <s v="20270519150000"/>
    <s v="디캔팅"/>
    <s v="입고"/>
    <s v="작업완료"/>
    <s v="1013"/>
    <x v="1"/>
    <s v="2026-08-13 21:41:47"/>
    <s v="월수금"/>
    <x v="4"/>
  </r>
  <r>
    <d v="2026-08-13T21:44:11"/>
    <s v="19007891"/>
    <x v="16"/>
    <x v="16"/>
    <n v="80"/>
    <m/>
    <n v="80"/>
    <s v="20270519150000"/>
    <s v="디캔팅"/>
    <s v="입고"/>
    <s v="작업완료"/>
    <s v="1013"/>
    <x v="1"/>
    <s v="2026-08-13 21:41:51"/>
    <s v="월수금"/>
    <x v="4"/>
  </r>
  <r>
    <d v="2026-08-13T21:41:18"/>
    <s v="19000090"/>
    <x v="16"/>
    <x v="16"/>
    <n v="80"/>
    <m/>
    <n v="80"/>
    <s v="20270519150000"/>
    <s v="디캔팅"/>
    <s v="입고"/>
    <s v="작업완료"/>
    <s v="1013"/>
    <x v="1"/>
    <s v="2026-08-13 21:38:26"/>
    <s v="월수금"/>
    <x v="4"/>
  </r>
  <r>
    <d v="2026-08-13T21:40:37"/>
    <s v="19000444"/>
    <x v="16"/>
    <x v="16"/>
    <n v="80"/>
    <m/>
    <n v="80"/>
    <s v="20270519150000"/>
    <s v="디캔팅"/>
    <s v="입고"/>
    <s v="작업완료"/>
    <s v="1013"/>
    <x v="1"/>
    <s v="2026-08-13 21:38:30"/>
    <s v="월수금"/>
    <x v="4"/>
  </r>
  <r>
    <d v="2026-08-13T21:37:52"/>
    <s v="19009836"/>
    <x v="16"/>
    <x v="16"/>
    <n v="80"/>
    <m/>
    <n v="80"/>
    <s v="20270519150000"/>
    <s v="디캔팅"/>
    <s v="입고"/>
    <s v="작업완료"/>
    <s v="1013"/>
    <x v="1"/>
    <s v="2026-08-13 21:35:32"/>
    <s v="월수금"/>
    <x v="4"/>
  </r>
  <r>
    <d v="2026-08-13T21:37:33"/>
    <s v="19014736"/>
    <x v="16"/>
    <x v="16"/>
    <n v="80"/>
    <m/>
    <n v="80"/>
    <s v="20270519150000"/>
    <s v="디캔팅"/>
    <s v="입고"/>
    <s v="작업완료"/>
    <s v="1013"/>
    <x v="1"/>
    <s v="2026-08-13 21:35:28"/>
    <s v="월수금"/>
    <x v="4"/>
  </r>
  <r>
    <d v="2026-08-13T21:36:00"/>
    <s v="19007229"/>
    <x v="16"/>
    <x v="16"/>
    <n v="80"/>
    <m/>
    <n v="80"/>
    <s v="20270519150000"/>
    <s v="디캔팅"/>
    <s v="입고"/>
    <s v="작업완료"/>
    <s v="1013"/>
    <x v="1"/>
    <s v="2026-08-13 21:32:56"/>
    <s v="월수금"/>
    <x v="4"/>
  </r>
  <r>
    <d v="2026-08-13T21:35:36"/>
    <s v="19007067"/>
    <x v="16"/>
    <x v="16"/>
    <n v="80"/>
    <m/>
    <n v="80"/>
    <s v="20270519150000"/>
    <s v="디캔팅"/>
    <s v="입고"/>
    <s v="작업완료"/>
    <s v="1013"/>
    <x v="1"/>
    <s v="2026-08-13 21:32:53"/>
    <s v="월수금"/>
    <x v="4"/>
  </r>
  <r>
    <d v="2026-08-13T21:32:28"/>
    <s v="19009634"/>
    <x v="16"/>
    <x v="16"/>
    <n v="80"/>
    <m/>
    <n v="80"/>
    <s v="20270519150000"/>
    <s v="디캔팅"/>
    <s v="입고"/>
    <s v="작업완료"/>
    <s v="1013"/>
    <x v="1"/>
    <s v="2026-08-13 21:29:28"/>
    <s v="월수금"/>
    <x v="4"/>
  </r>
  <r>
    <d v="2026-08-13T21:32:21"/>
    <s v="19006250"/>
    <x v="16"/>
    <x v="16"/>
    <n v="80"/>
    <m/>
    <n v="80"/>
    <s v="20270519150000"/>
    <s v="디캔팅"/>
    <s v="입고"/>
    <s v="작업완료"/>
    <s v="1013"/>
    <x v="1"/>
    <s v="2026-08-13 21:29:23"/>
    <s v="월수금"/>
    <x v="4"/>
  </r>
  <r>
    <d v="2026-08-13T21:28:54"/>
    <s v="19003497"/>
    <x v="16"/>
    <x v="16"/>
    <n v="80"/>
    <m/>
    <n v="80"/>
    <s v="20270519150000"/>
    <s v="디캔팅"/>
    <s v="입고"/>
    <s v="작업완료"/>
    <s v="1013"/>
    <x v="1"/>
    <s v="2026-08-13 21:26:25"/>
    <s v="월수금"/>
    <x v="4"/>
  </r>
  <r>
    <d v="2026-08-13T21:28:15"/>
    <s v="19017319"/>
    <x v="16"/>
    <x v="16"/>
    <n v="80"/>
    <m/>
    <n v="80"/>
    <s v="20270519150000"/>
    <s v="디캔팅"/>
    <s v="입고"/>
    <s v="작업완료"/>
    <s v="1013"/>
    <x v="1"/>
    <s v="2026-08-13 21:26:28"/>
    <s v="월수금"/>
    <x v="4"/>
  </r>
  <r>
    <d v="2026-08-13T21:25:58"/>
    <s v="19013746"/>
    <x v="16"/>
    <x v="16"/>
    <n v="80"/>
    <m/>
    <n v="80"/>
    <s v="20270519150000"/>
    <s v="디캔팅"/>
    <s v="입고"/>
    <s v="작업완료"/>
    <s v="1013"/>
    <x v="1"/>
    <s v="2026-08-13 21:23:36"/>
    <s v="월수금"/>
    <x v="4"/>
  </r>
  <r>
    <d v="2026-08-13T21:25:43"/>
    <s v="19014499"/>
    <x v="16"/>
    <x v="16"/>
    <n v="80"/>
    <m/>
    <n v="80"/>
    <s v="20270519150000"/>
    <s v="디캔팅"/>
    <s v="입고"/>
    <s v="작업완료"/>
    <s v="1013"/>
    <x v="1"/>
    <s v="2026-08-13 21:23:32"/>
    <s v="월수금"/>
    <x v="4"/>
  </r>
  <r>
    <d v="2026-08-13T21:22:53"/>
    <s v="19004624"/>
    <x v="16"/>
    <x v="16"/>
    <n v="80"/>
    <m/>
    <n v="80"/>
    <s v="20270519150000"/>
    <s v="디캔팅"/>
    <s v="입고"/>
    <s v="작업완료"/>
    <s v="1013"/>
    <x v="1"/>
    <s v="2026-08-13 21:20:35"/>
    <s v="월수금"/>
    <x v="4"/>
  </r>
  <r>
    <d v="2026-08-13T21:22:33"/>
    <s v="19003971"/>
    <x v="16"/>
    <x v="16"/>
    <n v="80"/>
    <m/>
    <n v="80"/>
    <s v="20270519150000"/>
    <s v="디캔팅"/>
    <s v="입고"/>
    <s v="작업완료"/>
    <s v="1013"/>
    <x v="1"/>
    <s v="2026-08-13 21:20:31"/>
    <s v="월수금"/>
    <x v="4"/>
  </r>
  <r>
    <d v="2026-08-13T21:19:48"/>
    <s v="19018394"/>
    <x v="16"/>
    <x v="16"/>
    <n v="80"/>
    <m/>
    <n v="80"/>
    <s v="20270519150000"/>
    <s v="디캔팅"/>
    <s v="입고"/>
    <s v="작업완료"/>
    <s v="1013"/>
    <x v="1"/>
    <s v="2026-08-13 21:17:34"/>
    <s v="월수금"/>
    <x v="4"/>
  </r>
  <r>
    <d v="2026-08-13T21:19:31"/>
    <s v="19015107"/>
    <x v="16"/>
    <x v="16"/>
    <n v="80"/>
    <m/>
    <n v="80"/>
    <s v="20270519150000"/>
    <s v="디캔팅"/>
    <s v="입고"/>
    <s v="작업완료"/>
    <s v="1013"/>
    <x v="1"/>
    <s v="2026-08-13 21:17:38"/>
    <s v="월수금"/>
    <x v="4"/>
  </r>
  <r>
    <d v="2026-08-13T21:16:16"/>
    <s v="19025405"/>
    <x v="16"/>
    <x v="16"/>
    <n v="80"/>
    <m/>
    <n v="80"/>
    <s v="20270519150000"/>
    <s v="디캔팅"/>
    <s v="입고"/>
    <s v="작업완료"/>
    <s v="1013"/>
    <x v="1"/>
    <s v="2026-08-13 21:14:23"/>
    <s v="월수금"/>
    <x v="4"/>
  </r>
  <r>
    <d v="2026-08-11T00:53:11"/>
    <s v="19014066"/>
    <x v="16"/>
    <x v="16"/>
    <n v="80"/>
    <m/>
    <n v="80"/>
    <s v="20270509150000"/>
    <s v="디캔팅"/>
    <s v="입고"/>
    <s v="작업완료"/>
    <s v="1005"/>
    <x v="2"/>
    <s v="2026-08-11 00:48:22"/>
    <s v="월수금"/>
    <x v="3"/>
  </r>
  <r>
    <d v="2026-08-11T00:48:38"/>
    <s v="19006435"/>
    <x v="16"/>
    <x v="16"/>
    <n v="80"/>
    <m/>
    <n v="80"/>
    <s v="20270509150000"/>
    <s v="디캔팅"/>
    <s v="입고"/>
    <s v="작업완료"/>
    <s v="1005"/>
    <x v="2"/>
    <s v="2026-08-11 00:47:02"/>
    <s v="월수금"/>
    <x v="3"/>
  </r>
  <r>
    <d v="2026-08-11T00:48:37"/>
    <s v="19018706"/>
    <x v="16"/>
    <x v="16"/>
    <n v="80"/>
    <m/>
    <n v="80"/>
    <s v="20270509150000"/>
    <s v="디캔팅"/>
    <s v="입고"/>
    <s v="작업완료"/>
    <s v="1005"/>
    <x v="2"/>
    <s v="2026-08-11 00:46:59"/>
    <s v="월수금"/>
    <x v="3"/>
  </r>
  <r>
    <d v="2026-08-11T00:46:38"/>
    <s v="19021999"/>
    <x v="16"/>
    <x v="16"/>
    <n v="80"/>
    <m/>
    <n v="80"/>
    <s v="20270509150000"/>
    <s v="디캔팅"/>
    <s v="입고"/>
    <s v="작업완료"/>
    <s v="1005"/>
    <x v="2"/>
    <s v="2026-08-11 00:44:29"/>
    <s v="월수금"/>
    <x v="3"/>
  </r>
  <r>
    <d v="2026-08-11T00:46:19"/>
    <s v="19002848"/>
    <x v="16"/>
    <x v="16"/>
    <n v="80"/>
    <m/>
    <n v="80"/>
    <s v="20270509150000"/>
    <s v="디캔팅"/>
    <s v="입고"/>
    <s v="작업완료"/>
    <s v="1005"/>
    <x v="2"/>
    <s v="2026-08-11 00:44:26"/>
    <s v="월수금"/>
    <x v="3"/>
  </r>
  <r>
    <d v="2026-08-11T00:44:00"/>
    <s v="19001641"/>
    <x v="16"/>
    <x v="16"/>
    <n v="80"/>
    <m/>
    <n v="80"/>
    <s v="20270509150000"/>
    <s v="디캔팅"/>
    <s v="입고"/>
    <s v="작업완료"/>
    <s v="1005"/>
    <x v="2"/>
    <s v="2026-08-11 00:42:15"/>
    <s v="월수금"/>
    <x v="3"/>
  </r>
  <r>
    <d v="2026-08-11T00:43:51"/>
    <s v="19003776"/>
    <x v="16"/>
    <x v="16"/>
    <n v="80"/>
    <m/>
    <n v="80"/>
    <s v="20270509150000"/>
    <s v="디캔팅"/>
    <s v="입고"/>
    <s v="작업완료"/>
    <s v="1005"/>
    <x v="2"/>
    <s v="2026-08-11 00:42:18"/>
    <s v="월수금"/>
    <x v="3"/>
  </r>
  <r>
    <d v="2026-08-11T00:42:00"/>
    <s v="19014480"/>
    <x v="16"/>
    <x v="16"/>
    <n v="80"/>
    <m/>
    <n v="80"/>
    <s v="20270509150000"/>
    <s v="디캔팅"/>
    <s v="입고"/>
    <s v="작업완료"/>
    <s v="1005"/>
    <x v="2"/>
    <s v="2026-08-11 00:39:48"/>
    <s v="월수금"/>
    <x v="3"/>
  </r>
  <r>
    <d v="2026-08-11T00:41:15"/>
    <s v="19016149"/>
    <x v="16"/>
    <x v="16"/>
    <n v="80"/>
    <m/>
    <n v="80"/>
    <s v="20270509150000"/>
    <s v="디캔팅"/>
    <s v="입고"/>
    <s v="작업완료"/>
    <s v="1005"/>
    <x v="2"/>
    <s v="2026-08-11 00:39:46"/>
    <s v="월수금"/>
    <x v="3"/>
  </r>
  <r>
    <d v="2026-08-11T00:38:54"/>
    <s v="19015099"/>
    <x v="16"/>
    <x v="16"/>
    <n v="80"/>
    <m/>
    <n v="80"/>
    <s v="20270509150000"/>
    <s v="디캔팅"/>
    <s v="입고"/>
    <s v="작업완료"/>
    <s v="1005"/>
    <x v="2"/>
    <s v="2026-08-11 00:37:26"/>
    <s v="월수금"/>
    <x v="3"/>
  </r>
  <r>
    <d v="2026-08-11T00:38:44"/>
    <s v="19006859"/>
    <x v="16"/>
    <x v="16"/>
    <n v="80"/>
    <m/>
    <n v="80"/>
    <s v="20270509150000"/>
    <s v="디캔팅"/>
    <s v="입고"/>
    <s v="작업완료"/>
    <s v="1005"/>
    <x v="2"/>
    <s v="2026-08-11 00:37:24"/>
    <s v="월수금"/>
    <x v="3"/>
  </r>
  <r>
    <d v="2026-08-11T00:36:55"/>
    <s v="19015207"/>
    <x v="16"/>
    <x v="16"/>
    <n v="80"/>
    <m/>
    <n v="80"/>
    <s v="20270509150000"/>
    <s v="디캔팅"/>
    <s v="입고"/>
    <s v="작업완료"/>
    <s v="1005"/>
    <x v="2"/>
    <s v="2026-08-11 00:34:56"/>
    <s v="월수금"/>
    <x v="3"/>
  </r>
  <r>
    <d v="2026-08-11T00:36:43"/>
    <s v="19007004"/>
    <x v="16"/>
    <x v="16"/>
    <n v="80"/>
    <m/>
    <n v="80"/>
    <s v="20270509150000"/>
    <s v="디캔팅"/>
    <s v="입고"/>
    <s v="작업완료"/>
    <s v="1005"/>
    <x v="2"/>
    <s v="2026-08-11 00:34:59"/>
    <s v="월수금"/>
    <x v="3"/>
  </r>
  <r>
    <d v="2026-08-11T00:35:42"/>
    <s v="19009784"/>
    <x v="16"/>
    <x v="16"/>
    <n v="80"/>
    <m/>
    <n v="80"/>
    <s v="20270509150000"/>
    <s v="디캔팅"/>
    <s v="입고"/>
    <s v="작업완료"/>
    <s v="1005"/>
    <x v="2"/>
    <s v="2026-08-11 00:32:24"/>
    <s v="월수금"/>
    <x v="3"/>
  </r>
  <r>
    <d v="2026-08-11T00:35:39"/>
    <s v="19007464"/>
    <x v="16"/>
    <x v="16"/>
    <n v="80"/>
    <m/>
    <n v="80"/>
    <s v="20270509150000"/>
    <s v="디캔팅"/>
    <s v="입고"/>
    <s v="작업완료"/>
    <s v="1005"/>
    <x v="2"/>
    <s v="2026-08-11 00:32:21"/>
    <s v="월수금"/>
    <x v="3"/>
  </r>
  <r>
    <d v="2026-08-11T00:35:04"/>
    <s v="19008110"/>
    <x v="16"/>
    <x v="16"/>
    <n v="80"/>
    <m/>
    <n v="80"/>
    <s v="20270509150000"/>
    <s v="디캔팅"/>
    <s v="입고"/>
    <s v="작업완료"/>
    <s v="1005"/>
    <x v="2"/>
    <s v="2026-08-11 00:30:00"/>
    <s v="월수금"/>
    <x v="3"/>
  </r>
  <r>
    <d v="2026-08-11T00:35:02"/>
    <s v="19017116"/>
    <x v="16"/>
    <x v="16"/>
    <n v="80"/>
    <m/>
    <n v="80"/>
    <s v="20270509150000"/>
    <s v="디캔팅"/>
    <s v="입고"/>
    <s v="작업완료"/>
    <s v="1005"/>
    <x v="2"/>
    <s v="2026-08-11 00:29:57"/>
    <s v="월수금"/>
    <x v="3"/>
  </r>
  <r>
    <d v="2026-08-11T00:29:54"/>
    <s v="19010000"/>
    <x v="16"/>
    <x v="16"/>
    <n v="80"/>
    <m/>
    <n v="80"/>
    <s v="20270509150000"/>
    <s v="디캔팅"/>
    <s v="입고"/>
    <s v="작업완료"/>
    <s v="1005"/>
    <x v="2"/>
    <s v="2026-08-11 00:27:35"/>
    <s v="월수금"/>
    <x v="3"/>
  </r>
  <r>
    <d v="2026-08-11T00:29:18"/>
    <s v="19024853"/>
    <x v="16"/>
    <x v="16"/>
    <n v="80"/>
    <m/>
    <n v="80"/>
    <s v="20270509150000"/>
    <s v="디캔팅"/>
    <s v="입고"/>
    <s v="작업완료"/>
    <s v="1005"/>
    <x v="2"/>
    <s v="2026-08-11 00:27:38"/>
    <s v="월수금"/>
    <x v="3"/>
  </r>
  <r>
    <d v="2026-08-11T00:26:52"/>
    <s v="19003921"/>
    <x v="16"/>
    <x v="16"/>
    <n v="80"/>
    <m/>
    <n v="80"/>
    <s v="20270509150000"/>
    <s v="디캔팅"/>
    <s v="입고"/>
    <s v="작업완료"/>
    <s v="1005"/>
    <x v="2"/>
    <s v="2026-08-11 00:25:06"/>
    <s v="월수금"/>
    <x v="3"/>
  </r>
  <r>
    <d v="2026-08-11T00:26:30"/>
    <s v="19004422"/>
    <x v="16"/>
    <x v="16"/>
    <n v="80"/>
    <m/>
    <n v="80"/>
    <s v="20270509150000"/>
    <s v="디캔팅"/>
    <s v="입고"/>
    <s v="작업완료"/>
    <s v="1005"/>
    <x v="2"/>
    <s v="2026-08-11 00:25:03"/>
    <s v="월수금"/>
    <x v="3"/>
  </r>
  <r>
    <d v="2026-08-11T00:24:45"/>
    <s v="19007088"/>
    <x v="16"/>
    <x v="16"/>
    <n v="80"/>
    <m/>
    <n v="80"/>
    <s v="20270509150000"/>
    <s v="디캔팅"/>
    <s v="입고"/>
    <s v="작업완료"/>
    <s v="1005"/>
    <x v="2"/>
    <s v="2026-08-11 00:22:19"/>
    <s v="월수금"/>
    <x v="3"/>
  </r>
  <r>
    <d v="2026-08-11T00:24:03"/>
    <s v="19005987"/>
    <x v="16"/>
    <x v="16"/>
    <n v="80"/>
    <m/>
    <n v="80"/>
    <s v="20270509150000"/>
    <s v="디캔팅"/>
    <s v="입고"/>
    <s v="작업완료"/>
    <s v="1005"/>
    <x v="2"/>
    <s v="2026-08-11 00:21:42"/>
    <s v="월수금"/>
    <x v="3"/>
  </r>
  <r>
    <d v="2026-08-11T00:23:12"/>
    <s v="19003091"/>
    <x v="16"/>
    <x v="16"/>
    <n v="80"/>
    <m/>
    <n v="80"/>
    <s v="20270509150000"/>
    <s v="디캔팅"/>
    <s v="입고"/>
    <s v="작업완료"/>
    <s v="1005"/>
    <x v="2"/>
    <s v="2026-08-11 00:21:39"/>
    <s v="월수금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3" cacheId="41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compact="0" compactData="0" gridDropZones="1" multipleFieldFilters="0">
  <location ref="G26:N42" firstHeaderRow="1" firstDataRow="2" firstDataCol="1"/>
  <pivotFields count="16">
    <pivotField dataField="1" compact="0" numFmtId="176" outline="0" showAll="0"/>
    <pivotField compact="0" outline="0" showAll="0"/>
    <pivotField compact="0" outline="0" showAll="0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6">
        <item x="13"/>
        <item x="12"/>
        <item x="5"/>
        <item x="8"/>
        <item x="2"/>
        <item x="6"/>
        <item x="11"/>
        <item x="3"/>
        <item m="1" x="14"/>
        <item x="7"/>
        <item x="0"/>
        <item x="4"/>
        <item x="1"/>
        <item x="10"/>
        <item x="9"/>
        <item t="default"/>
      </items>
    </pivotField>
    <pivotField compact="0" outline="0" showAll="0"/>
    <pivotField compact="0" outline="0" showAll="0"/>
    <pivotField axis="axisCol" compact="0" outline="0" showAll="0">
      <items count="7">
        <item x="3"/>
        <item x="5"/>
        <item x="2"/>
        <item x="4"/>
        <item x="1"/>
        <item x="0"/>
        <item t="default"/>
      </items>
    </pivotField>
  </pivotFields>
  <rowFields count="1">
    <field x="1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1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개수 : 시간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피벗 테이블2" cacheId="41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compact="0" compactData="0" gridDropZones="1" multipleFieldFilters="0">
  <location ref="G3:N19" firstHeaderRow="1" firstDataRow="2" firstDataCol="1"/>
  <pivotFields count="16">
    <pivotField compact="0" numFmtId="176" outline="0" showAll="0"/>
    <pivotField compact="0" outline="0" showAll="0"/>
    <pivotField compact="0" outline="0" showAll="0"/>
    <pivotField compact="0" outline="0" showAll="0" defaultSubtota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6">
        <item x="13"/>
        <item x="12"/>
        <item x="5"/>
        <item x="8"/>
        <item x="2"/>
        <item x="6"/>
        <item x="11"/>
        <item x="3"/>
        <item m="1" x="14"/>
        <item x="7"/>
        <item x="0"/>
        <item x="4"/>
        <item x="1"/>
        <item x="10"/>
        <item x="9"/>
        <item t="default"/>
      </items>
    </pivotField>
    <pivotField compact="0" outline="0" showAll="0"/>
    <pivotField compact="0" outline="0" showAll="0"/>
    <pivotField axis="axisCol" compact="0" outline="0" showAll="0">
      <items count="7">
        <item x="3"/>
        <item x="5"/>
        <item x="2"/>
        <item x="4"/>
        <item x="1"/>
        <item x="0"/>
        <item t="default"/>
      </items>
    </pivotField>
  </pivotFields>
  <rowFields count="1">
    <field x="1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1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합계 : 재고수량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피벗 테이블1" cacheId="41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compact="0" compactData="0" gridDropZones="1" multipleFieldFilters="0">
  <location ref="A3:E89" firstHeaderRow="1" firstDataRow="2" firstDataCol="3"/>
  <pivotFields count="16">
    <pivotField dataField="1" compact="0" numFmtId="176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928">
        <item m="1" x="820"/>
        <item m="1" x="609"/>
        <item m="1" x="515"/>
        <item m="1" x="836"/>
        <item m="1" x="251"/>
        <item m="1" x="286"/>
        <item m="1" x="265"/>
        <item m="1" x="845"/>
        <item m="1" x="486"/>
        <item m="1" x="157"/>
        <item m="1" x="516"/>
        <item m="1" x="290"/>
        <item m="1" x="361"/>
        <item m="1" x="824"/>
        <item m="1" x="32"/>
        <item m="1" x="306"/>
        <item m="1" x="776"/>
        <item m="1" x="923"/>
        <item m="1" x="858"/>
        <item m="1" x="890"/>
        <item m="1" x="323"/>
        <item m="1" x="726"/>
        <item m="1" x="612"/>
        <item m="1" x="319"/>
        <item m="1" x="110"/>
        <item m="1" x="429"/>
        <item m="1" x="528"/>
        <item m="1" x="446"/>
        <item m="1" x="630"/>
        <item m="1" x="457"/>
        <item m="1" x="360"/>
        <item m="1" x="655"/>
        <item x="0"/>
        <item m="1" x="665"/>
        <item m="1" x="341"/>
        <item m="1" x="596"/>
        <item m="1" x="135"/>
        <item m="1" x="171"/>
        <item m="1" x="831"/>
        <item m="1" x="278"/>
        <item m="1" x="739"/>
        <item m="1" x="619"/>
        <item m="1" x="587"/>
        <item m="1" x="382"/>
        <item m="1" x="540"/>
        <item m="1" x="374"/>
        <item m="1" x="474"/>
        <item m="1" x="86"/>
        <item m="1" x="490"/>
        <item m="1" x="543"/>
        <item m="1" x="599"/>
        <item m="1" x="314"/>
        <item m="1" x="536"/>
        <item m="1" x="61"/>
        <item m="1" x="351"/>
        <item m="1" x="496"/>
        <item m="1" x="353"/>
        <item m="1" x="498"/>
        <item m="1" x="884"/>
        <item m="1" x="888"/>
        <item m="1" x="823"/>
        <item m="1" x="365"/>
        <item m="1" x="117"/>
        <item m="1" x="439"/>
        <item m="1" x="914"/>
        <item m="1" x="511"/>
        <item m="1" x="707"/>
        <item m="1" x="815"/>
        <item m="1" x="450"/>
        <item m="1" x="56"/>
        <item m="1" x="69"/>
        <item m="1" x="433"/>
        <item m="1" x="455"/>
        <item m="1" x="716"/>
        <item m="1" x="764"/>
        <item m="1" x="124"/>
        <item m="1" x="185"/>
        <item m="1" x="355"/>
        <item m="1" x="671"/>
        <item m="1" x="793"/>
        <item m="1" x="821"/>
        <item m="1" x="532"/>
        <item m="1" x="535"/>
        <item m="1" x="215"/>
        <item m="1" x="513"/>
        <item m="1" x="867"/>
        <item m="1" x="659"/>
        <item m="1" x="545"/>
        <item m="1" x="328"/>
        <item m="1" x="880"/>
        <item m="1" x="634"/>
        <item m="1" x="885"/>
        <item m="1" x="106"/>
        <item m="1" x="894"/>
        <item m="1" x="608"/>
        <item m="1" x="602"/>
        <item m="1" x="581"/>
        <item m="1" x="301"/>
        <item m="1" x="560"/>
        <item m="1" x="876"/>
        <item m="1" x="119"/>
        <item m="1" x="107"/>
        <item m="1" x="280"/>
        <item m="1" x="595"/>
        <item m="1" x="79"/>
        <item m="1" x="482"/>
        <item m="1" x="584"/>
        <item m="1" x="222"/>
        <item m="1" x="895"/>
        <item m="1" x="123"/>
        <item m="1" x="295"/>
        <item m="1" x="274"/>
        <item m="1" x="892"/>
        <item m="1" x="763"/>
        <item m="1" x="210"/>
        <item m="1" x="525"/>
        <item m="1" x="757"/>
        <item m="1" x="910"/>
        <item m="1" x="917"/>
        <item m="1" x="692"/>
        <item m="1" x="517"/>
        <item m="1" x="565"/>
        <item m="1" x="418"/>
        <item m="1" x="603"/>
        <item m="1" x="38"/>
        <item m="1" x="70"/>
        <item m="1" x="779"/>
        <item m="1" x="354"/>
        <item m="1" x="623"/>
        <item m="1" x="336"/>
        <item m="1" x="702"/>
        <item m="1" x="257"/>
        <item m="1" x="379"/>
        <item m="1" x="44"/>
        <item m="1" x="18"/>
        <item m="1" x="288"/>
        <item m="1" x="152"/>
        <item m="1" x="173"/>
        <item m="1" x="340"/>
        <item m="1" x="175"/>
        <item m="1" x="605"/>
        <item m="1" x="46"/>
        <item m="1" x="270"/>
        <item x="1"/>
        <item m="1" x="563"/>
        <item m="1" x="67"/>
        <item m="1" x="819"/>
        <item m="1" x="594"/>
        <item m="1" x="282"/>
        <item m="1" x="472"/>
        <item m="1" x="237"/>
        <item m="1" x="285"/>
        <item m="1" x="588"/>
        <item m="1" x="456"/>
        <item m="1" x="100"/>
        <item m="1" x="871"/>
        <item m="1" x="771"/>
        <item m="1" x="375"/>
        <item x="2"/>
        <item x="3"/>
        <item m="1" x="485"/>
        <item m="1" x="381"/>
        <item m="1" x="907"/>
        <item m="1" x="915"/>
        <item m="1" x="146"/>
        <item m="1" x="773"/>
        <item m="1" x="217"/>
        <item m="1" x="770"/>
        <item m="1" x="199"/>
        <item m="1" x="320"/>
        <item m="1" x="908"/>
        <item m="1" x="97"/>
        <item m="1" x="33"/>
        <item m="1" x="315"/>
        <item m="1" x="263"/>
        <item m="1" x="372"/>
        <item m="1" x="234"/>
        <item m="1" x="798"/>
        <item m="1" x="213"/>
        <item m="1" x="635"/>
        <item m="1" x="59"/>
        <item m="1" x="557"/>
        <item m="1" x="628"/>
        <item m="1" x="201"/>
        <item m="1" x="720"/>
        <item m="1" x="190"/>
        <item m="1" x="40"/>
        <item m="1" x="271"/>
        <item m="1" x="492"/>
        <item x="4"/>
        <item m="1" x="20"/>
        <item m="1" x="57"/>
        <item m="1" x="901"/>
        <item m="1" x="839"/>
        <item m="1" x="501"/>
        <item m="1" x="163"/>
        <item m="1" x="36"/>
        <item m="1" x="441"/>
        <item m="1" x="434"/>
        <item m="1" x="397"/>
        <item m="1" x="636"/>
        <item m="1" x="541"/>
        <item m="1" x="283"/>
        <item m="1" x="610"/>
        <item m="1" x="530"/>
        <item m="1" x="586"/>
        <item m="1" x="206"/>
        <item m="1" x="589"/>
        <item m="1" x="58"/>
        <item m="1" x="192"/>
        <item m="1" x="468"/>
        <item x="5"/>
        <item m="1" x="390"/>
        <item m="1" x="400"/>
        <item m="1" x="848"/>
        <item m="1" x="547"/>
        <item m="1" x="686"/>
        <item m="1" x="109"/>
        <item m="1" x="909"/>
        <item m="1" x="51"/>
        <item m="1" x="352"/>
        <item m="1" x="566"/>
        <item m="1" x="706"/>
        <item m="1" x="711"/>
        <item m="1" x="243"/>
        <item m="1" x="244"/>
        <item m="1" x="160"/>
        <item m="1" x="548"/>
        <item m="1" x="395"/>
        <item m="1" x="573"/>
        <item m="1" x="653"/>
        <item m="1" x="703"/>
        <item m="1" x="82"/>
        <item m="1" x="449"/>
        <item m="1" x="166"/>
        <item m="1" x="531"/>
        <item m="1" x="509"/>
        <item m="1" x="394"/>
        <item m="1" x="799"/>
        <item m="1" x="87"/>
        <item x="6"/>
        <item m="1" x="777"/>
        <item m="1" x="673"/>
        <item m="1" x="484"/>
        <item m="1" x="750"/>
        <item m="1" x="410"/>
        <item m="1" x="115"/>
        <item m="1" x="778"/>
        <item m="1" x="723"/>
        <item m="1" x="553"/>
        <item m="1" x="562"/>
        <item m="1" x="800"/>
        <item m="1" x="461"/>
        <item m="1" x="427"/>
        <item m="1" x="861"/>
        <item m="1" x="521"/>
        <item m="1" x="488"/>
        <item m="1" x="753"/>
        <item m="1" x="729"/>
        <item m="1" x="786"/>
        <item m="1" x="713"/>
        <item m="1" x="435"/>
        <item m="1" x="272"/>
        <item m="1" x="445"/>
        <item m="1" x="580"/>
        <item m="1" x="792"/>
        <item m="1" x="156"/>
        <item m="1" x="689"/>
        <item m="1" x="220"/>
        <item m="1" x="131"/>
        <item m="1" x="168"/>
        <item m="1" x="697"/>
        <item m="1" x="642"/>
        <item m="1" x="680"/>
        <item m="1" x="417"/>
        <item m="1" x="268"/>
        <item m="1" x="699"/>
        <item m="1" x="183"/>
        <item m="1" x="649"/>
        <item m="1" x="224"/>
        <item m="1" x="404"/>
        <item m="1" x="459"/>
        <item m="1" x="840"/>
        <item m="1" x="467"/>
        <item m="1" x="180"/>
        <item m="1" x="451"/>
        <item m="1" x="927"/>
        <item m="1" x="368"/>
        <item m="1" x="719"/>
        <item m="1" x="859"/>
        <item m="1" x="195"/>
        <item m="1" x="407"/>
        <item m="1" x="710"/>
        <item m="1" x="148"/>
        <item m="1" x="747"/>
        <item m="1" x="717"/>
        <item m="1" x="129"/>
        <item m="1" x="598"/>
        <item m="1" x="575"/>
        <item m="1" x="204"/>
        <item m="1" x="388"/>
        <item m="1" x="510"/>
        <item m="1" x="275"/>
        <item m="1" x="383"/>
        <item m="1" x="330"/>
        <item m="1" x="754"/>
        <item m="1" x="458"/>
        <item m="1" x="74"/>
        <item m="1" x="684"/>
        <item m="1" x="348"/>
        <item m="1" x="891"/>
        <item m="1" x="252"/>
        <item m="1" x="184"/>
        <item m="1" x="774"/>
        <item m="1" x="132"/>
        <item m="1" x="544"/>
        <item m="1" x="209"/>
        <item m="1" x="356"/>
        <item m="1" x="502"/>
        <item m="1" x="862"/>
        <item m="1" x="556"/>
        <item m="1" x="796"/>
        <item m="1" x="765"/>
        <item m="1" x="327"/>
        <item m="1" x="539"/>
        <item m="1" x="688"/>
        <item m="1" x="700"/>
        <item m="1" x="889"/>
        <item m="1" x="37"/>
        <item m="1" x="250"/>
        <item m="1" x="898"/>
        <item m="1" x="813"/>
        <item m="1" x="669"/>
        <item m="1" x="369"/>
        <item m="1" x="225"/>
        <item m="1" x="127"/>
        <item m="1" x="470"/>
        <item m="1" x="847"/>
        <item m="1" x="666"/>
        <item m="1" x="866"/>
        <item m="1" x="641"/>
        <item m="1" x="736"/>
        <item m="1" x="758"/>
        <item m="1" x="408"/>
        <item m="1" x="126"/>
        <item m="1" x="654"/>
        <item m="1" x="169"/>
        <item m="1" x="735"/>
        <item m="1" x="518"/>
        <item m="1" x="186"/>
        <item m="1" x="238"/>
        <item m="1" x="77"/>
        <item m="1" x="367"/>
        <item m="1" x="512"/>
        <item m="1" x="846"/>
        <item m="1" x="722"/>
        <item m="1" x="748"/>
        <item m="1" x="54"/>
        <item m="1" x="334"/>
        <item m="1" x="583"/>
        <item m="1" x="554"/>
        <item m="1" x="164"/>
        <item m="1" x="191"/>
        <item m="1" x="752"/>
        <item m="1" x="75"/>
        <item m="1" x="31"/>
        <item m="1" x="179"/>
        <item m="1" x="30"/>
        <item m="1" x="794"/>
        <item m="1" x="310"/>
        <item m="1" x="347"/>
        <item m="1" x="760"/>
        <item m="1" x="476"/>
        <item m="1" x="317"/>
        <item m="1" x="781"/>
        <item m="1" x="221"/>
        <item m="1" x="273"/>
        <item m="1" x="187"/>
        <item m="1" x="784"/>
        <item m="1" x="806"/>
        <item m="1" x="620"/>
        <item m="1" x="454"/>
        <item m="1" x="150"/>
        <item m="1" x="814"/>
        <item m="1" x="804"/>
        <item m="1" x="385"/>
        <item m="1" x="533"/>
        <item m="1" x="670"/>
        <item m="1" x="438"/>
        <item m="1" x="130"/>
        <item m="1" x="522"/>
        <item m="1" x="311"/>
        <item m="1" x="261"/>
        <item m="1" x="249"/>
        <item m="1" x="466"/>
        <item m="1" x="810"/>
        <item m="1" x="886"/>
        <item m="1" x="85"/>
        <item m="1" x="904"/>
        <item m="1" x="495"/>
        <item m="1" x="695"/>
        <item m="1" x="827"/>
        <item m="1" x="431"/>
        <item m="1" x="24"/>
        <item m="1" x="155"/>
        <item m="1" x="430"/>
        <item m="1" x="398"/>
        <item m="1" x="88"/>
        <item m="1" x="205"/>
        <item m="1" x="350"/>
        <item m="1" x="401"/>
        <item m="1" x="333"/>
        <item m="1" x="246"/>
        <item m="1" x="693"/>
        <item m="1" x="27"/>
        <item m="1" x="811"/>
        <item m="1" x="473"/>
        <item m="1" x="922"/>
        <item m="1" x="572"/>
        <item m="1" x="561"/>
        <item m="1" x="569"/>
        <item m="1" x="111"/>
        <item m="1" x="837"/>
        <item m="1" x="772"/>
        <item m="1" x="292"/>
        <item m="1" x="882"/>
        <item x="7"/>
        <item m="1" x="90"/>
        <item m="1" x="426"/>
        <item m="1" x="863"/>
        <item m="1" x="264"/>
        <item m="1" x="144"/>
        <item m="1" x="362"/>
        <item m="1" x="108"/>
        <item m="1" x="440"/>
        <item m="1" x="326"/>
        <item m="1" x="652"/>
        <item m="1" x="281"/>
        <item m="1" x="253"/>
        <item m="1" x="343"/>
        <item m="1" x="303"/>
        <item m="1" x="329"/>
        <item m="1" x="789"/>
        <item m="1" x="749"/>
        <item m="1" x="53"/>
        <item m="1" x="262"/>
        <item m="1" x="68"/>
        <item m="1" x="503"/>
        <item m="1" x="231"/>
        <item m="1" x="453"/>
        <item m="1" x="728"/>
        <item m="1" x="843"/>
        <item m="1" x="592"/>
        <item x="8"/>
        <item m="1" x="769"/>
        <item m="1" x="437"/>
        <item m="1" x="177"/>
        <item m="1" x="298"/>
        <item m="1" x="299"/>
        <item m="1" x="667"/>
        <item m="1" x="448"/>
        <item m="1" x="874"/>
        <item m="1" x="727"/>
        <item m="1" x="304"/>
        <item m="1" x="223"/>
        <item m="1" x="399"/>
        <item m="1" x="802"/>
        <item m="1" x="463"/>
        <item m="1" x="363"/>
        <item m="1" x="247"/>
        <item m="1" x="506"/>
        <item m="1" x="66"/>
        <item m="1" x="646"/>
        <item m="1" x="918"/>
        <item m="1" x="887"/>
        <item m="1" x="47"/>
        <item m="1" x="226"/>
        <item m="1" x="198"/>
        <item m="1" x="877"/>
        <item m="1" x="63"/>
        <item m="1" x="788"/>
        <item m="1" x="768"/>
        <item m="1" x="357"/>
        <item m="1" x="287"/>
        <item m="1" x="679"/>
        <item m="1" x="576"/>
        <item m="1" x="428"/>
        <item m="1" x="112"/>
        <item m="1" x="443"/>
        <item m="1" x="631"/>
        <item m="1" x="235"/>
        <item m="1" x="661"/>
        <item m="1" x="22"/>
        <item m="1" x="178"/>
        <item m="1" x="860"/>
        <item m="1" x="337"/>
        <item m="1" x="766"/>
        <item m="1" x="318"/>
        <item m="1" x="137"/>
        <item m="1" x="481"/>
        <item m="1" x="683"/>
        <item m="1" x="601"/>
        <item m="1" x="402"/>
        <item m="1" x="849"/>
        <item m="1" x="172"/>
        <item m="1" x="297"/>
        <item m="1" x="154"/>
        <item m="1" x="550"/>
        <item m="1" x="852"/>
        <item m="1" x="825"/>
        <item m="1" x="254"/>
        <item m="1" x="349"/>
        <item m="1" x="606"/>
        <item m="1" x="325"/>
        <item m="1" x="307"/>
        <item m="1" x="134"/>
        <item m="1" x="622"/>
        <item m="1" x="98"/>
        <item m="1" x="91"/>
        <item m="1" x="791"/>
        <item m="1" x="293"/>
        <item m="1" x="704"/>
        <item m="1" x="193"/>
        <item m="1" x="207"/>
        <item m="1" x="675"/>
        <item m="1" x="893"/>
        <item m="1" x="302"/>
        <item m="1" x="593"/>
        <item m="1" x="151"/>
        <item m="1" x="409"/>
        <item m="1" x="344"/>
        <item m="1" x="808"/>
        <item m="1" x="471"/>
        <item m="1" x="645"/>
        <item m="1" x="415"/>
        <item m="1" x="830"/>
        <item m="1" x="651"/>
        <item m="1" x="682"/>
        <item m="1" x="289"/>
        <item m="1" x="785"/>
        <item m="1" x="411"/>
        <item m="1" x="624"/>
        <item m="1" x="425"/>
        <item m="1" x="477"/>
        <item m="1" x="500"/>
        <item m="1" x="617"/>
        <item m="1" x="616"/>
        <item m="1" x="384"/>
        <item m="1" x="378"/>
        <item m="1" x="822"/>
        <item m="1" x="582"/>
        <item m="1" x="637"/>
        <item m="1" x="912"/>
        <item m="1" x="505"/>
        <item m="1" x="121"/>
        <item m="1" x="714"/>
        <item m="1" x="906"/>
        <item m="1" x="465"/>
        <item m="1" x="805"/>
        <item m="1" x="919"/>
        <item m="1" x="745"/>
        <item m="1" x="284"/>
        <item m="1" x="161"/>
        <item m="1" x="621"/>
        <item m="1" x="597"/>
        <item m="1" x="494"/>
        <item m="1" x="122"/>
        <item m="1" x="197"/>
        <item m="1" x="462"/>
        <item m="1" x="618"/>
        <item m="1" x="896"/>
        <item m="1" x="196"/>
        <item m="1" x="104"/>
        <item m="1" x="145"/>
        <item m="1" x="460"/>
        <item m="1" x="55"/>
        <item m="1" x="883"/>
        <item m="1" x="681"/>
        <item m="1" x="114"/>
        <item m="1" x="795"/>
        <item m="1" x="708"/>
        <item m="1" x="35"/>
        <item m="1" x="552"/>
        <item m="1" x="73"/>
        <item m="1" x="105"/>
        <item m="1" x="309"/>
        <item m="1" x="873"/>
        <item m="1" x="65"/>
        <item m="1" x="322"/>
        <item m="1" x="507"/>
        <item m="1" x="241"/>
        <item m="1" x="489"/>
        <item m="1" x="167"/>
        <item m="1" x="730"/>
        <item m="1" x="497"/>
        <item m="1" x="159"/>
        <item m="1" x="366"/>
        <item m="1" x="260"/>
        <item m="1" x="660"/>
        <item m="1" x="724"/>
        <item m="1" x="838"/>
        <item m="1" x="84"/>
        <item m="1" x="694"/>
        <item m="1" x="663"/>
        <item m="1" x="432"/>
        <item m="1" x="782"/>
        <item m="1" x="911"/>
        <item m="1" x="412"/>
        <item m="1" x="447"/>
        <item m="1" x="844"/>
        <item m="1" x="324"/>
        <item m="1" x="81"/>
        <item m="1" x="386"/>
        <item m="1" x="212"/>
        <item m="1" x="733"/>
        <item m="1" x="600"/>
        <item m="1" x="803"/>
        <item m="1" x="709"/>
        <item m="1" x="721"/>
        <item m="1" x="783"/>
        <item m="1" x="640"/>
        <item m="1" x="321"/>
        <item m="1" x="546"/>
        <item m="1" x="881"/>
        <item m="1" x="103"/>
        <item m="1" x="393"/>
        <item m="1" x="672"/>
        <item x="9"/>
        <item m="1" x="741"/>
        <item m="1" x="519"/>
        <item m="1" x="611"/>
        <item x="10"/>
        <item m="1" x="296"/>
        <item m="1" x="200"/>
        <item m="1" x="391"/>
        <item m="1" x="52"/>
        <item x="11"/>
        <item m="1" x="851"/>
        <item m="1" x="564"/>
        <item x="12"/>
        <item m="1" x="538"/>
        <item m="1" x="139"/>
        <item x="13"/>
        <item m="1" x="359"/>
        <item m="1" x="740"/>
        <item m="1" x="864"/>
        <item m="1" x="405"/>
        <item m="1" x="421"/>
        <item m="1" x="338"/>
        <item m="1" x="875"/>
        <item m="1" x="585"/>
        <item m="1" x="413"/>
        <item m="1" x="674"/>
        <item m="1" x="101"/>
        <item m="1" x="76"/>
        <item m="1" x="639"/>
        <item m="1" x="240"/>
        <item m="1" x="632"/>
        <item m="1" x="731"/>
        <item m="1" x="677"/>
        <item m="1" x="236"/>
        <item m="1" x="41"/>
        <item m="1" x="607"/>
        <item m="1" x="559"/>
        <item m="1" x="189"/>
        <item m="1" x="664"/>
        <item m="1" x="712"/>
        <item m="1" x="571"/>
        <item m="1" x="577"/>
        <item m="1" x="316"/>
        <item m="1" x="162"/>
        <item m="1" x="308"/>
        <item m="1" x="219"/>
        <item m="1" x="775"/>
        <item m="1" x="188"/>
        <item m="1" x="579"/>
        <item m="1" x="696"/>
        <item m="1" x="17"/>
        <item m="1" x="570"/>
        <item m="1" x="615"/>
        <item m="1" x="690"/>
        <item m="1" x="878"/>
        <item m="1" x="312"/>
        <item m="1" x="227"/>
        <item m="1" x="403"/>
        <item m="1" x="25"/>
        <item m="1" x="842"/>
        <item m="1" x="239"/>
        <item m="1" x="358"/>
        <item m="1" x="725"/>
        <item m="1" x="118"/>
        <item m="1" x="574"/>
        <item m="1" x="762"/>
        <item m="1" x="396"/>
        <item m="1" x="71"/>
        <item m="1" x="342"/>
        <item m="1" x="346"/>
        <item m="1" x="818"/>
        <item m="1" x="759"/>
        <item m="1" x="214"/>
        <item x="14"/>
        <item m="1" x="389"/>
        <item m="1" x="626"/>
        <item m="1" x="300"/>
        <item m="1" x="34"/>
        <item m="1" x="643"/>
        <item m="1" x="734"/>
        <item x="15"/>
        <item m="1" x="514"/>
        <item m="1" x="194"/>
        <item m="1" x="549"/>
        <item m="1" x="647"/>
        <item m="1" x="277"/>
        <item m="1" x="464"/>
        <item m="1" x="801"/>
        <item x="16"/>
        <item m="1" x="294"/>
        <item m="1" x="153"/>
        <item m="1" x="232"/>
        <item m="1" x="737"/>
        <item m="1" x="743"/>
        <item m="1" x="493"/>
        <item m="1" x="269"/>
        <item m="1" x="182"/>
        <item m="1" x="657"/>
        <item m="1" x="902"/>
        <item m="1" x="834"/>
        <item m="1" x="613"/>
        <item m="1" x="732"/>
        <item m="1" x="120"/>
        <item m="1" x="913"/>
        <item m="1" x="787"/>
        <item m="1" x="21"/>
        <item m="1" x="92"/>
        <item m="1" x="339"/>
        <item m="1" x="29"/>
        <item m="1" x="376"/>
        <item m="1" x="567"/>
        <item m="1" x="452"/>
        <item m="1" x="147"/>
        <item m="1" x="534"/>
        <item m="1" x="72"/>
        <item m="1" x="248"/>
        <item m="1" x="149"/>
        <item m="1" x="738"/>
        <item m="1" x="483"/>
        <item m="1" x="469"/>
        <item m="1" x="95"/>
        <item m="1" x="133"/>
        <item m="1" x="138"/>
        <item m="1" x="742"/>
        <item m="1" x="258"/>
        <item m="1" x="872"/>
        <item m="1" x="558"/>
        <item m="1" x="392"/>
        <item m="1" x="829"/>
        <item m="1" x="817"/>
        <item m="1" x="751"/>
        <item m="1" x="921"/>
        <item m="1" x="442"/>
        <item m="1" x="140"/>
        <item m="1" x="216"/>
        <item m="1" x="276"/>
        <item m="1" x="879"/>
        <item m="1" x="715"/>
        <item m="1" x="833"/>
        <item m="1" x="855"/>
        <item m="1" x="656"/>
        <item m="1" x="48"/>
        <item m="1" x="416"/>
        <item m="1" x="419"/>
        <item m="1" x="39"/>
        <item m="1" x="266"/>
        <item m="1" x="89"/>
        <item m="1" x="832"/>
        <item m="1" x="854"/>
        <item m="1" x="335"/>
        <item m="1" x="668"/>
        <item m="1" x="42"/>
        <item m="1" x="812"/>
        <item m="1" x="380"/>
        <item m="1" x="444"/>
        <item m="1" x="856"/>
        <item m="1" x="868"/>
        <item m="1" x="491"/>
        <item m="1" x="625"/>
        <item m="1" x="373"/>
        <item m="1" x="687"/>
        <item m="1" x="578"/>
        <item m="1" x="176"/>
        <item m="1" x="648"/>
        <item m="1" x="865"/>
        <item m="1" x="520"/>
        <item m="1" x="857"/>
        <item m="1" x="230"/>
        <item m="1" x="523"/>
        <item m="1" x="414"/>
        <item m="1" x="478"/>
        <item m="1" x="377"/>
        <item m="1" x="228"/>
        <item m="1" x="767"/>
        <item m="1" x="633"/>
        <item m="1" x="853"/>
        <item m="1" x="45"/>
        <item m="1" x="591"/>
        <item m="1" x="102"/>
        <item m="1" x="422"/>
        <item m="1" x="797"/>
        <item m="1" x="387"/>
        <item m="1" x="50"/>
        <item m="1" x="537"/>
        <item m="1" x="924"/>
        <item m="1" x="746"/>
        <item m="1" x="897"/>
        <item m="1" x="345"/>
        <item m="1" x="242"/>
        <item m="1" x="756"/>
        <item m="1" x="869"/>
        <item m="1" x="627"/>
        <item m="1" x="718"/>
        <item m="1" x="526"/>
        <item m="1" x="26"/>
        <item m="1" x="870"/>
        <item m="1" x="80"/>
        <item m="1" x="423"/>
        <item m="1" x="170"/>
        <item m="1" x="245"/>
        <item m="1" x="93"/>
        <item m="1" x="629"/>
        <item m="1" x="900"/>
        <item m="1" x="60"/>
        <item m="1" x="524"/>
        <item m="1" x="903"/>
        <item m="1" x="420"/>
        <item m="1" x="259"/>
        <item m="1" x="807"/>
        <item m="1" x="542"/>
        <item m="1" x="94"/>
        <item m="1" x="835"/>
        <item m="1" x="332"/>
        <item m="1" x="701"/>
        <item m="1" x="305"/>
        <item m="1" x="99"/>
        <item m="1" x="479"/>
        <item m="1" x="916"/>
        <item m="1" x="256"/>
        <item m="1" x="364"/>
        <item m="1" x="229"/>
        <item m="1" x="475"/>
        <item m="1" x="508"/>
        <item m="1" x="62"/>
        <item m="1" x="113"/>
        <item m="1" x="676"/>
        <item m="1" x="291"/>
        <item m="1" x="644"/>
        <item m="1" x="828"/>
        <item m="1" x="208"/>
        <item m="1" x="604"/>
        <item m="1" x="255"/>
        <item m="1" x="698"/>
        <item m="1" x="64"/>
        <item m="1" x="23"/>
        <item m="1" x="504"/>
        <item m="1" x="19"/>
        <item m="1" x="83"/>
        <item m="1" x="685"/>
        <item m="1" x="744"/>
        <item m="1" x="790"/>
        <item m="1" x="850"/>
        <item m="1" x="899"/>
        <item m="1" x="49"/>
        <item m="1" x="331"/>
        <item m="1" x="116"/>
        <item m="1" x="925"/>
        <item m="1" x="181"/>
        <item m="1" x="143"/>
        <item m="1" x="174"/>
        <item m="1" x="141"/>
        <item m="1" x="568"/>
        <item m="1" x="551"/>
        <item m="1" x="755"/>
        <item m="1" x="705"/>
        <item m="1" x="136"/>
        <item m="1" x="96"/>
        <item m="1" x="662"/>
        <item m="1" x="279"/>
        <item m="1" x="28"/>
        <item m="1" x="370"/>
        <item m="1" x="233"/>
        <item m="1" x="128"/>
        <item m="1" x="527"/>
        <item m="1" x="691"/>
        <item m="1" x="78"/>
        <item m="1" x="809"/>
        <item m="1" x="487"/>
        <item m="1" x="202"/>
        <item m="1" x="920"/>
        <item m="1" x="371"/>
        <item m="1" x="780"/>
        <item m="1" x="590"/>
        <item m="1" x="203"/>
        <item m="1" x="218"/>
        <item m="1" x="158"/>
        <item m="1" x="841"/>
        <item m="1" x="650"/>
        <item m="1" x="211"/>
        <item m="1" x="826"/>
        <item m="1" x="614"/>
        <item m="1" x="529"/>
        <item m="1" x="406"/>
        <item m="1" x="43"/>
        <item m="1" x="424"/>
        <item m="1" x="499"/>
        <item m="1" x="436"/>
        <item m="1" x="142"/>
        <item m="1" x="125"/>
        <item m="1" x="658"/>
        <item m="1" x="905"/>
        <item m="1" x="165"/>
        <item m="1" x="816"/>
        <item m="1" x="926"/>
        <item m="1" x="555"/>
        <item m="1" x="313"/>
        <item m="1" x="267"/>
        <item m="1" x="761"/>
        <item m="1" x="638"/>
        <item m="1" x="678"/>
        <item m="1" x="480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5">
        <item x="13"/>
        <item x="12"/>
        <item x="5"/>
        <item x="8"/>
        <item x="2"/>
        <item x="6"/>
        <item x="11"/>
        <item x="3"/>
        <item m="1" x="14"/>
        <item x="7"/>
        <item x="0"/>
        <item x="4"/>
        <item x="1"/>
        <item x="10"/>
        <item x="9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6">
        <item x="3"/>
        <item x="5"/>
        <item x="2"/>
        <item x="4"/>
        <item x="1"/>
        <item x="0"/>
      </items>
    </pivotField>
  </pivotFields>
  <rowFields count="3">
    <field x="15"/>
    <field x="12"/>
    <field x="3"/>
  </rowFields>
  <rowItems count="85">
    <i>
      <x/>
      <x/>
      <x v="639"/>
    </i>
    <i r="1">
      <x v="1"/>
      <x v="639"/>
    </i>
    <i r="1">
      <x v="2"/>
      <x v="32"/>
    </i>
    <i r="1">
      <x v="3"/>
      <x v="158"/>
    </i>
    <i r="2">
      <x v="240"/>
    </i>
    <i r="1">
      <x v="4"/>
      <x v="143"/>
    </i>
    <i r="2">
      <x v="158"/>
    </i>
    <i r="2">
      <x v="240"/>
    </i>
    <i r="2">
      <x v="642"/>
    </i>
    <i r="2">
      <x v="715"/>
    </i>
    <i r="1">
      <x v="5"/>
      <x v="240"/>
    </i>
    <i r="2">
      <x v="707"/>
    </i>
    <i r="1">
      <x v="6"/>
      <x v="211"/>
    </i>
    <i r="2">
      <x v="700"/>
    </i>
    <i r="1">
      <x v="7"/>
      <x v="426"/>
    </i>
    <i r="1">
      <x v="9"/>
      <x v="159"/>
    </i>
    <i r="2">
      <x v="639"/>
    </i>
    <i r="1">
      <x v="10"/>
      <x v="707"/>
    </i>
    <i r="1">
      <x v="12"/>
      <x v="627"/>
    </i>
    <i r="2">
      <x v="631"/>
    </i>
    <i r="2">
      <x v="639"/>
    </i>
    <i r="1">
      <x v="13"/>
      <x v="240"/>
    </i>
    <i r="2">
      <x v="636"/>
    </i>
    <i r="2">
      <x v="642"/>
    </i>
    <i r="1">
      <x v="14"/>
      <x v="189"/>
    </i>
    <i r="2">
      <x v="453"/>
    </i>
    <i>
      <x v="1"/>
      <x v="1"/>
      <x v="240"/>
    </i>
    <i r="1">
      <x v="9"/>
      <x v="189"/>
    </i>
    <i r="2">
      <x v="453"/>
    </i>
    <i>
      <x v="2"/>
      <x v="2"/>
      <x v="158"/>
    </i>
    <i r="2">
      <x v="636"/>
    </i>
    <i r="1">
      <x v="4"/>
      <x v="158"/>
    </i>
    <i r="2">
      <x v="240"/>
    </i>
    <i r="1">
      <x v="5"/>
      <x v="158"/>
    </i>
    <i r="2">
      <x v="189"/>
    </i>
    <i r="1">
      <x v="7"/>
      <x v="32"/>
    </i>
    <i r="2">
      <x v="426"/>
    </i>
    <i r="2">
      <x v="707"/>
    </i>
    <i r="1">
      <x v="9"/>
      <x v="211"/>
    </i>
    <i r="2">
      <x v="707"/>
    </i>
    <i r="1">
      <x v="10"/>
      <x v="639"/>
    </i>
    <i r="2">
      <x v="642"/>
    </i>
    <i r="1">
      <x v="11"/>
      <x v="32"/>
    </i>
    <i r="2">
      <x v="240"/>
    </i>
    <i r="2">
      <x v="631"/>
    </i>
    <i r="1">
      <x v="12"/>
      <x v="627"/>
    </i>
    <i r="1">
      <x v="13"/>
      <x v="240"/>
    </i>
    <i r="2">
      <x v="639"/>
    </i>
    <i r="2">
      <x v="700"/>
    </i>
    <i>
      <x v="3"/>
      <x v="2"/>
      <x v="639"/>
    </i>
    <i r="1">
      <x v="3"/>
      <x v="631"/>
    </i>
    <i r="1">
      <x v="4"/>
      <x v="631"/>
    </i>
    <i r="1">
      <x v="5"/>
      <x v="700"/>
    </i>
    <i r="1">
      <x v="6"/>
      <x v="636"/>
    </i>
    <i r="1">
      <x v="12"/>
      <x v="158"/>
    </i>
    <i r="2">
      <x v="211"/>
    </i>
    <i r="2">
      <x v="715"/>
    </i>
    <i>
      <x v="4"/>
      <x/>
      <x v="636"/>
    </i>
    <i r="2">
      <x v="639"/>
    </i>
    <i r="1">
      <x v="2"/>
      <x v="158"/>
    </i>
    <i r="2">
      <x v="240"/>
    </i>
    <i r="1">
      <x v="3"/>
      <x v="159"/>
    </i>
    <i r="2">
      <x v="240"/>
    </i>
    <i r="1">
      <x v="4"/>
      <x v="32"/>
    </i>
    <i r="2">
      <x v="707"/>
    </i>
    <i r="1">
      <x v="5"/>
      <x v="715"/>
    </i>
    <i r="1">
      <x v="7"/>
      <x v="189"/>
    </i>
    <i r="1">
      <x v="9"/>
      <x v="158"/>
    </i>
    <i r="2">
      <x v="240"/>
    </i>
    <i r="2">
      <x v="636"/>
    </i>
    <i r="2">
      <x v="639"/>
    </i>
    <i r="1">
      <x v="10"/>
      <x v="642"/>
    </i>
    <i r="1">
      <x v="11"/>
      <x v="426"/>
    </i>
    <i r="1">
      <x v="12"/>
      <x v="158"/>
    </i>
    <i r="1">
      <x v="13"/>
      <x v="211"/>
    </i>
    <i r="2">
      <x v="240"/>
    </i>
    <i r="2">
      <x v="627"/>
    </i>
    <i>
      <x v="5"/>
      <x v="4"/>
      <x v="426"/>
    </i>
    <i r="2">
      <x v="707"/>
    </i>
    <i r="1">
      <x v="5"/>
      <x v="158"/>
    </i>
    <i r="2">
      <x v="240"/>
    </i>
    <i r="1">
      <x v="10"/>
      <x v="32"/>
    </i>
    <i r="1">
      <x v="12"/>
      <x v="32"/>
    </i>
    <i r="2">
      <x v="639"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: 재고수량" fld="4" baseField="0" baseItem="0"/>
    <dataField name="개수 : 시간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15"/>
  <sheetViews>
    <sheetView showGridLines="0" tabSelected="1" workbookViewId="0"/>
  </sheetViews>
  <sheetFormatPr defaultRowHeight="16.5"/>
  <cols>
    <col min="2" max="2" width="11.125" bestFit="1" customWidth="1"/>
    <col min="3" max="3" width="4.5" bestFit="1" customWidth="1"/>
    <col min="4" max="5" width="15.5" hidden="1" customWidth="1"/>
    <col min="6" max="6" width="17.25" customWidth="1"/>
    <col min="7" max="7" width="17.25" bestFit="1" customWidth="1"/>
    <col min="8" max="8" width="6" bestFit="1" customWidth="1"/>
    <col min="9" max="11" width="7.5" bestFit="1" customWidth="1"/>
    <col min="12" max="12" width="11.25" customWidth="1"/>
    <col min="13" max="13" width="15.125" hidden="1" customWidth="1"/>
    <col min="14" max="14" width="24.875" customWidth="1"/>
    <col min="15" max="15" width="9.5" bestFit="1" customWidth="1"/>
    <col min="16" max="16" width="7.5" customWidth="1"/>
    <col min="17" max="17" width="9" customWidth="1"/>
  </cols>
  <sheetData>
    <row r="2" spans="2:17" ht="26.25">
      <c r="B2" s="11" t="s">
        <v>4422</v>
      </c>
    </row>
    <row r="4" spans="2:17" ht="24">
      <c r="B4" s="1" t="s">
        <v>4392</v>
      </c>
      <c r="C4" s="1" t="s">
        <v>4393</v>
      </c>
      <c r="D4" s="1"/>
      <c r="E4" s="1"/>
      <c r="F4" s="1" t="s">
        <v>4423</v>
      </c>
      <c r="G4" s="24" t="s">
        <v>4424</v>
      </c>
      <c r="H4" s="12" t="s">
        <v>4416</v>
      </c>
      <c r="I4" s="12" t="s">
        <v>4417</v>
      </c>
      <c r="J4" s="12" t="s">
        <v>4418</v>
      </c>
      <c r="K4" s="12" t="s">
        <v>4419</v>
      </c>
      <c r="L4" s="12" t="s">
        <v>4420</v>
      </c>
      <c r="M4" s="25" t="s">
        <v>4434</v>
      </c>
      <c r="N4" s="25" t="s">
        <v>4448</v>
      </c>
      <c r="O4" s="12" t="s">
        <v>4421</v>
      </c>
      <c r="P4" s="12" t="s">
        <v>4394</v>
      </c>
      <c r="Q4" s="12" t="s">
        <v>4395</v>
      </c>
    </row>
    <row r="5" spans="2:17">
      <c r="B5" s="8">
        <v>46244</v>
      </c>
      <c r="C5" s="8" t="s">
        <v>4375</v>
      </c>
      <c r="D5" s="9">
        <v>46244.25</v>
      </c>
      <c r="E5" s="9">
        <v>46245.208333333336</v>
      </c>
      <c r="F5" s="6">
        <v>8380</v>
      </c>
      <c r="G5" s="6">
        <v>784</v>
      </c>
      <c r="H5" s="6">
        <v>24</v>
      </c>
      <c r="I5" s="6">
        <v>12</v>
      </c>
      <c r="J5" s="6">
        <v>12</v>
      </c>
      <c r="K5" s="6">
        <v>9</v>
      </c>
      <c r="L5" s="7">
        <v>38.796296296296298</v>
      </c>
      <c r="M5" s="7">
        <f>G5/L5</f>
        <v>20.208114558472552</v>
      </c>
      <c r="N5" s="7">
        <f>M5/12/2*60</f>
        <v>50.520286396181383</v>
      </c>
      <c r="O5" s="10">
        <v>15</v>
      </c>
      <c r="P5" s="10">
        <f>+(J5*1.5+I5)*9/8</f>
        <v>33.75</v>
      </c>
      <c r="Q5" s="20">
        <f>+P5/O5</f>
        <v>2.25</v>
      </c>
    </row>
    <row r="6" spans="2:17">
      <c r="B6" s="8">
        <v>46245</v>
      </c>
      <c r="C6" s="8" t="s">
        <v>4382</v>
      </c>
      <c r="D6" s="9">
        <v>46245.25</v>
      </c>
      <c r="E6" s="9">
        <v>46246.208333333336</v>
      </c>
      <c r="F6" s="6">
        <v>9773</v>
      </c>
      <c r="G6" s="6">
        <v>88</v>
      </c>
      <c r="H6" s="6">
        <v>27</v>
      </c>
      <c r="I6" s="6">
        <v>15</v>
      </c>
      <c r="J6" s="6">
        <v>12</v>
      </c>
      <c r="K6" s="6">
        <v>9</v>
      </c>
      <c r="L6" s="7">
        <v>40.218106995884774</v>
      </c>
      <c r="M6" s="7">
        <f t="shared" ref="M6:M10" si="0">G6/L6</f>
        <v>2.1880691701626933</v>
      </c>
      <c r="N6" s="7">
        <f>M6/27*60</f>
        <v>4.8623759336948735</v>
      </c>
      <c r="O6" s="10">
        <v>15</v>
      </c>
      <c r="P6" s="10">
        <f>+(J6*1.5+I6)*9/8</f>
        <v>37.125</v>
      </c>
      <c r="Q6" s="20">
        <f t="shared" ref="Q6:Q10" si="1">+P6/O6</f>
        <v>2.4750000000000001</v>
      </c>
    </row>
    <row r="7" spans="2:17">
      <c r="B7" s="8">
        <v>46246</v>
      </c>
      <c r="C7" s="8" t="s">
        <v>4381</v>
      </c>
      <c r="D7" s="9">
        <v>46246.25</v>
      </c>
      <c r="E7" s="9">
        <v>46247.208333333336</v>
      </c>
      <c r="F7" s="6">
        <v>8298</v>
      </c>
      <c r="G7" s="6">
        <v>484</v>
      </c>
      <c r="H7" s="6">
        <v>24</v>
      </c>
      <c r="I7" s="6">
        <v>12</v>
      </c>
      <c r="J7" s="6">
        <v>12</v>
      </c>
      <c r="K7" s="6">
        <v>9</v>
      </c>
      <c r="L7" s="7">
        <v>38.416666666666664</v>
      </c>
      <c r="M7" s="7">
        <f t="shared" si="0"/>
        <v>12.598698481561822</v>
      </c>
      <c r="N7" s="7">
        <f t="shared" ref="N7:N10" si="2">M7/12/2*60</f>
        <v>31.496746203904557</v>
      </c>
      <c r="O7" s="10">
        <v>13</v>
      </c>
      <c r="P7" s="10">
        <f>+(J7*1.5+I7)*9/8</f>
        <v>33.75</v>
      </c>
      <c r="Q7" s="20">
        <f t="shared" si="1"/>
        <v>2.5961538461538463</v>
      </c>
    </row>
    <row r="8" spans="2:17">
      <c r="B8" s="8">
        <v>46247</v>
      </c>
      <c r="C8" s="8" t="s">
        <v>4380</v>
      </c>
      <c r="D8" s="9">
        <v>46247.25</v>
      </c>
      <c r="E8" s="9">
        <v>46248.208333333336</v>
      </c>
      <c r="F8" s="6">
        <v>7307</v>
      </c>
      <c r="G8" s="6">
        <v>237</v>
      </c>
      <c r="H8" s="6">
        <v>24</v>
      </c>
      <c r="I8" s="6">
        <v>12</v>
      </c>
      <c r="J8" s="6">
        <v>12</v>
      </c>
      <c r="K8" s="6">
        <v>9</v>
      </c>
      <c r="L8" s="7">
        <v>33.828703703703702</v>
      </c>
      <c r="M8" s="7">
        <f t="shared" si="0"/>
        <v>7.005884768030656</v>
      </c>
      <c r="N8" s="7">
        <f t="shared" si="2"/>
        <v>17.514711920076639</v>
      </c>
      <c r="O8" s="10">
        <v>12</v>
      </c>
      <c r="P8" s="10">
        <f>+(J8*1.5+I8)*9/8</f>
        <v>33.75</v>
      </c>
      <c r="Q8" s="20">
        <f t="shared" si="1"/>
        <v>2.8125</v>
      </c>
    </row>
    <row r="9" spans="2:17">
      <c r="B9" s="8">
        <v>46248</v>
      </c>
      <c r="C9" s="8" t="s">
        <v>4379</v>
      </c>
      <c r="D9" s="9">
        <v>46248.25</v>
      </c>
      <c r="E9" s="9">
        <v>46249.208333333336</v>
      </c>
      <c r="F9" s="6">
        <v>6853</v>
      </c>
      <c r="G9" s="6">
        <v>481</v>
      </c>
      <c r="H9" s="6">
        <v>24</v>
      </c>
      <c r="I9" s="6">
        <v>12</v>
      </c>
      <c r="J9" s="6">
        <v>12</v>
      </c>
      <c r="K9" s="6">
        <v>9</v>
      </c>
      <c r="L9" s="7">
        <v>31.726851851851855</v>
      </c>
      <c r="M9" s="7">
        <f t="shared" si="0"/>
        <v>15.160659565153946</v>
      </c>
      <c r="N9" s="7">
        <f t="shared" si="2"/>
        <v>37.901648912884859</v>
      </c>
      <c r="O9" s="10">
        <v>11</v>
      </c>
      <c r="P9" s="10">
        <f>+(J9*1.5+I9)*9/8</f>
        <v>33.75</v>
      </c>
      <c r="Q9" s="20">
        <f t="shared" si="1"/>
        <v>3.0681818181818183</v>
      </c>
    </row>
    <row r="10" spans="2:17">
      <c r="B10" s="8">
        <v>46249</v>
      </c>
      <c r="C10" s="8" t="s">
        <v>4378</v>
      </c>
      <c r="D10" s="9">
        <v>46249.25</v>
      </c>
      <c r="E10" s="9">
        <v>46250.208333333336</v>
      </c>
      <c r="F10" s="6">
        <v>6960</v>
      </c>
      <c r="G10" s="6">
        <v>142</v>
      </c>
      <c r="H10" s="6">
        <v>24</v>
      </c>
      <c r="I10" s="6">
        <v>12</v>
      </c>
      <c r="J10" s="6">
        <v>12</v>
      </c>
      <c r="K10" s="6">
        <v>9</v>
      </c>
      <c r="L10" s="7">
        <v>32.222222222222221</v>
      </c>
      <c r="M10" s="7">
        <f t="shared" si="0"/>
        <v>4.4068965517241381</v>
      </c>
      <c r="N10" s="7">
        <f t="shared" si="2"/>
        <v>11.017241379310345</v>
      </c>
      <c r="O10" s="10">
        <v>13</v>
      </c>
      <c r="P10" s="10">
        <f>+(J10*1.5+I10)*9/8</f>
        <v>33.75</v>
      </c>
      <c r="Q10" s="20">
        <f t="shared" si="1"/>
        <v>2.5961538461538463</v>
      </c>
    </row>
    <row r="11" spans="2:17">
      <c r="F11">
        <f>SUM(F5:F10)</f>
        <v>47571</v>
      </c>
      <c r="G11">
        <f>SUM(G5:G10)</f>
        <v>2216</v>
      </c>
      <c r="N11" s="5">
        <f>SUM(N5:N10)</f>
        <v>153.31301074605264</v>
      </c>
      <c r="Q11" s="14">
        <f>AVERAGE(Q5:Q10)</f>
        <v>2.6329982517482518</v>
      </c>
    </row>
    <row r="12" spans="2:17">
      <c r="G12" s="35">
        <f>G11/F11</f>
        <v>4.6583002249269513E-2</v>
      </c>
      <c r="N12" s="34"/>
    </row>
    <row r="13" spans="2:17">
      <c r="Q13" s="13"/>
    </row>
    <row r="14" spans="2:17">
      <c r="Q14" s="13"/>
    </row>
    <row r="15" spans="2:17">
      <c r="Q15" s="1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"/>
  <sheetViews>
    <sheetView workbookViewId="0"/>
  </sheetViews>
  <sheetFormatPr defaultRowHeight="16.5"/>
  <cols>
    <col min="1" max="1" width="15" bestFit="1" customWidth="1"/>
    <col min="2" max="2" width="24.5" bestFit="1" customWidth="1"/>
    <col min="3" max="3" width="8.5" bestFit="1" customWidth="1"/>
    <col min="4" max="4" width="13.5" bestFit="1" customWidth="1"/>
    <col min="5" max="5" width="11.5" bestFit="1" customWidth="1"/>
    <col min="6" max="6" width="11.5" customWidth="1"/>
    <col min="7" max="7" width="14" bestFit="1" customWidth="1"/>
    <col min="8" max="8" width="16.125" bestFit="1" customWidth="1"/>
    <col min="9" max="9" width="13.875" customWidth="1"/>
    <col min="10" max="10" width="14.5" style="5" customWidth="1"/>
    <col min="11" max="11" width="14.5" bestFit="1" customWidth="1"/>
    <col min="12" max="12" width="15.75" customWidth="1"/>
    <col min="13" max="13" width="19.25" customWidth="1"/>
    <col min="14" max="14" width="48.875" bestFit="1" customWidth="1"/>
    <col min="15" max="15" width="67.5" bestFit="1" customWidth="1"/>
    <col min="16" max="16" width="4.5" customWidth="1"/>
    <col min="17" max="17" width="17.25" customWidth="1"/>
    <col min="18" max="18" width="17.25" bestFit="1" customWidth="1"/>
    <col min="19" max="19" width="6" customWidth="1"/>
    <col min="20" max="22" width="7.5" customWidth="1"/>
    <col min="23" max="23" width="12.75" customWidth="1"/>
    <col min="24" max="24" width="9.5" bestFit="1" customWidth="1"/>
  </cols>
  <sheetData>
    <row r="1" spans="1:15">
      <c r="A1" s="30" t="s">
        <v>4445</v>
      </c>
    </row>
    <row r="3" spans="1:15" ht="24">
      <c r="A3" s="1" t="s">
        <v>4427</v>
      </c>
      <c r="B3" s="1" t="s">
        <v>4428</v>
      </c>
      <c r="C3" s="1" t="s">
        <v>4377</v>
      </c>
      <c r="D3" s="33" t="s">
        <v>4442</v>
      </c>
      <c r="E3" s="1" t="s">
        <v>4425</v>
      </c>
      <c r="F3" s="1" t="s">
        <v>4390</v>
      </c>
      <c r="G3" s="24" t="s">
        <v>4443</v>
      </c>
      <c r="H3" s="1" t="s">
        <v>4430</v>
      </c>
      <c r="I3" s="24" t="s">
        <v>4441</v>
      </c>
      <c r="J3" s="29" t="s">
        <v>4439</v>
      </c>
      <c r="K3" s="36" t="s">
        <v>4446</v>
      </c>
      <c r="M3" s="1" t="s">
        <v>4431</v>
      </c>
      <c r="N3" s="1" t="s">
        <v>4432</v>
      </c>
      <c r="O3" s="1" t="s">
        <v>4433</v>
      </c>
    </row>
    <row r="4" spans="1:15">
      <c r="A4" s="31" t="s">
        <v>2932</v>
      </c>
      <c r="B4" s="31" t="s">
        <v>1126</v>
      </c>
      <c r="C4" s="6" t="s">
        <v>4375</v>
      </c>
      <c r="D4" s="6">
        <v>8380</v>
      </c>
      <c r="E4" s="6">
        <v>24</v>
      </c>
      <c r="F4" s="6">
        <v>9</v>
      </c>
      <c r="G4" s="32">
        <v>20</v>
      </c>
      <c r="H4" s="7">
        <v>38.796296296296298</v>
      </c>
      <c r="I4" s="23">
        <f>G4/H4</f>
        <v>0.51551312649164671</v>
      </c>
      <c r="J4" s="7">
        <f>I4*60</f>
        <v>30.930787589498802</v>
      </c>
      <c r="K4" s="7">
        <f>J4/E4</f>
        <v>1.2887828162291168</v>
      </c>
      <c r="L4" s="21"/>
      <c r="M4" s="26" t="s">
        <v>4430</v>
      </c>
      <c r="N4" s="27" t="s">
        <v>4440</v>
      </c>
      <c r="O4" s="26" t="s">
        <v>4426</v>
      </c>
    </row>
    <row r="5" spans="1:15">
      <c r="A5" s="31" t="s">
        <v>2932</v>
      </c>
      <c r="B5" s="31" t="s">
        <v>1126</v>
      </c>
      <c r="C5" s="6" t="s">
        <v>4381</v>
      </c>
      <c r="D5" s="6">
        <v>8298</v>
      </c>
      <c r="E5" s="6">
        <v>24</v>
      </c>
      <c r="F5" s="6">
        <v>9</v>
      </c>
      <c r="G5" s="32">
        <v>20</v>
      </c>
      <c r="H5" s="7">
        <v>38.416666666666664</v>
      </c>
      <c r="I5" s="23">
        <f t="shared" ref="I5:I62" si="0">G5/H5</f>
        <v>0.52060737527114975</v>
      </c>
      <c r="J5" s="7">
        <f t="shared" ref="J5:J62" si="1">I5*60</f>
        <v>31.236442516268987</v>
      </c>
      <c r="K5" s="7">
        <f t="shared" ref="K5:K62" si="2">J5/E5</f>
        <v>1.3015184381778744</v>
      </c>
      <c r="L5" s="21"/>
      <c r="M5" s="26" t="s">
        <v>4435</v>
      </c>
      <c r="N5" s="28" t="s">
        <v>4444</v>
      </c>
      <c r="O5" s="26" t="s">
        <v>4429</v>
      </c>
    </row>
    <row r="6" spans="1:15">
      <c r="A6" s="31" t="s">
        <v>2932</v>
      </c>
      <c r="B6" s="31" t="s">
        <v>1126</v>
      </c>
      <c r="C6" s="6" t="s">
        <v>4380</v>
      </c>
      <c r="D6" s="6">
        <v>7307</v>
      </c>
      <c r="E6" s="6">
        <v>24</v>
      </c>
      <c r="F6" s="6">
        <v>9</v>
      </c>
      <c r="G6" s="32">
        <v>18</v>
      </c>
      <c r="H6" s="7">
        <v>33.828703703703702</v>
      </c>
      <c r="I6" s="23">
        <f t="shared" si="0"/>
        <v>0.53209251402764479</v>
      </c>
      <c r="J6" s="7">
        <f t="shared" si="1"/>
        <v>31.925550841658687</v>
      </c>
      <c r="K6" s="7">
        <f t="shared" si="2"/>
        <v>1.330231285069112</v>
      </c>
      <c r="L6" s="21"/>
      <c r="M6" s="26" t="s">
        <v>4439</v>
      </c>
      <c r="N6" s="27" t="s">
        <v>4436</v>
      </c>
      <c r="O6" s="26" t="s">
        <v>4437</v>
      </c>
    </row>
    <row r="7" spans="1:15">
      <c r="A7" s="31" t="s">
        <v>1272</v>
      </c>
      <c r="B7" s="31" t="s">
        <v>1304</v>
      </c>
      <c r="C7" s="6" t="s">
        <v>4375</v>
      </c>
      <c r="D7" s="6">
        <v>8380</v>
      </c>
      <c r="E7" s="6">
        <v>24</v>
      </c>
      <c r="F7" s="6">
        <v>9</v>
      </c>
      <c r="G7" s="32">
        <v>40</v>
      </c>
      <c r="H7" s="7">
        <v>38.796296296296298</v>
      </c>
      <c r="I7" s="23">
        <f t="shared" si="0"/>
        <v>1.0310262529832934</v>
      </c>
      <c r="J7" s="7">
        <f t="shared" si="1"/>
        <v>61.861575178997604</v>
      </c>
      <c r="K7" s="7">
        <f t="shared" si="2"/>
        <v>2.5775656324582337</v>
      </c>
      <c r="L7" s="21"/>
      <c r="M7" s="37" t="s">
        <v>4438</v>
      </c>
      <c r="N7" s="27" t="s">
        <v>4447</v>
      </c>
      <c r="O7" s="26" t="s">
        <v>4449</v>
      </c>
    </row>
    <row r="8" spans="1:15">
      <c r="A8" s="31" t="s">
        <v>3127</v>
      </c>
      <c r="B8" s="31" t="s">
        <v>1729</v>
      </c>
      <c r="C8" s="6" t="s">
        <v>4375</v>
      </c>
      <c r="D8" s="6">
        <v>8380</v>
      </c>
      <c r="E8" s="6">
        <v>24</v>
      </c>
      <c r="F8" s="6">
        <v>9</v>
      </c>
      <c r="G8" s="32">
        <v>30</v>
      </c>
      <c r="H8" s="7">
        <v>38.796296296296298</v>
      </c>
      <c r="I8" s="23">
        <f t="shared" si="0"/>
        <v>0.77326968973747012</v>
      </c>
      <c r="J8" s="7">
        <f t="shared" si="1"/>
        <v>46.396181384248209</v>
      </c>
      <c r="K8" s="7">
        <f t="shared" si="2"/>
        <v>1.9331742243436754</v>
      </c>
      <c r="L8" s="21"/>
      <c r="M8" s="21"/>
      <c r="N8" s="22"/>
    </row>
    <row r="9" spans="1:15">
      <c r="A9" s="31" t="s">
        <v>3127</v>
      </c>
      <c r="B9" s="31" t="s">
        <v>1729</v>
      </c>
      <c r="C9" s="6" t="s">
        <v>4382</v>
      </c>
      <c r="D9" s="6">
        <v>9773</v>
      </c>
      <c r="E9" s="6">
        <v>27</v>
      </c>
      <c r="F9" s="6">
        <v>9</v>
      </c>
      <c r="G9" s="32">
        <v>20</v>
      </c>
      <c r="H9" s="7">
        <v>40.218106995884774</v>
      </c>
      <c r="I9" s="23">
        <f t="shared" si="0"/>
        <v>0.49728844776424841</v>
      </c>
      <c r="J9" s="7">
        <f t="shared" si="1"/>
        <v>29.837306865854906</v>
      </c>
      <c r="K9" s="7">
        <f t="shared" si="2"/>
        <v>1.1050854394761076</v>
      </c>
      <c r="L9" s="21"/>
      <c r="M9" s="21"/>
      <c r="N9" s="22"/>
    </row>
    <row r="10" spans="1:15">
      <c r="A10" s="31" t="s">
        <v>3127</v>
      </c>
      <c r="B10" s="31" t="s">
        <v>1729</v>
      </c>
      <c r="C10" s="6" t="s">
        <v>4381</v>
      </c>
      <c r="D10" s="6">
        <v>8298</v>
      </c>
      <c r="E10" s="6">
        <v>24</v>
      </c>
      <c r="F10" s="6">
        <v>9</v>
      </c>
      <c r="G10" s="32">
        <v>1</v>
      </c>
      <c r="H10" s="7">
        <v>38.416666666666664</v>
      </c>
      <c r="I10" s="23">
        <f t="shared" si="0"/>
        <v>2.6030368763557486E-2</v>
      </c>
      <c r="J10" s="7">
        <f t="shared" si="1"/>
        <v>1.5618221258134493</v>
      </c>
      <c r="K10" s="7">
        <f t="shared" si="2"/>
        <v>6.5075921908893719E-2</v>
      </c>
      <c r="L10" s="21"/>
      <c r="M10" s="21"/>
      <c r="N10" s="22"/>
    </row>
    <row r="11" spans="1:15">
      <c r="A11" s="31" t="s">
        <v>3127</v>
      </c>
      <c r="B11" s="31" t="s">
        <v>1729</v>
      </c>
      <c r="C11" s="6" t="s">
        <v>4379</v>
      </c>
      <c r="D11" s="6">
        <v>6853</v>
      </c>
      <c r="E11" s="6">
        <v>24</v>
      </c>
      <c r="F11" s="6">
        <v>9</v>
      </c>
      <c r="G11" s="32">
        <v>26</v>
      </c>
      <c r="H11" s="7">
        <v>31.726851851851855</v>
      </c>
      <c r="I11" s="23">
        <f t="shared" si="0"/>
        <v>0.81949511162994304</v>
      </c>
      <c r="J11" s="7">
        <f t="shared" si="1"/>
        <v>49.169706697796585</v>
      </c>
      <c r="K11" s="7">
        <f t="shared" si="2"/>
        <v>2.0487377790748575</v>
      </c>
      <c r="L11" s="21"/>
      <c r="M11" s="21"/>
      <c r="N11" s="22"/>
    </row>
    <row r="12" spans="1:15">
      <c r="A12" s="31" t="s">
        <v>659</v>
      </c>
      <c r="B12" s="31" t="s">
        <v>3664</v>
      </c>
      <c r="C12" s="6" t="s">
        <v>4375</v>
      </c>
      <c r="D12" s="6">
        <v>8380</v>
      </c>
      <c r="E12" s="6">
        <v>24</v>
      </c>
      <c r="F12" s="6">
        <v>9</v>
      </c>
      <c r="G12" s="32">
        <v>28</v>
      </c>
      <c r="H12" s="7">
        <v>38.796296296296298</v>
      </c>
      <c r="I12" s="23">
        <f t="shared" si="0"/>
        <v>0.72171837708830544</v>
      </c>
      <c r="J12" s="7">
        <f t="shared" si="1"/>
        <v>43.30310262529833</v>
      </c>
      <c r="K12" s="7">
        <f t="shared" si="2"/>
        <v>1.8042959427207637</v>
      </c>
      <c r="L12" s="21"/>
      <c r="M12" s="21"/>
      <c r="N12" s="22"/>
    </row>
    <row r="13" spans="1:15">
      <c r="A13" s="31" t="s">
        <v>659</v>
      </c>
      <c r="B13" s="31" t="s">
        <v>3664</v>
      </c>
      <c r="C13" s="6" t="s">
        <v>4382</v>
      </c>
      <c r="D13" s="6">
        <v>9773</v>
      </c>
      <c r="E13" s="6">
        <v>27</v>
      </c>
      <c r="F13" s="6">
        <v>9</v>
      </c>
      <c r="G13" s="32">
        <v>28</v>
      </c>
      <c r="H13" s="7">
        <v>40.218106995884774</v>
      </c>
      <c r="I13" s="23">
        <f t="shared" si="0"/>
        <v>0.69620382686994775</v>
      </c>
      <c r="J13" s="7">
        <f t="shared" si="1"/>
        <v>41.772229612196867</v>
      </c>
      <c r="K13" s="7">
        <f t="shared" si="2"/>
        <v>1.5471196152665507</v>
      </c>
      <c r="L13" s="21"/>
      <c r="M13" s="21"/>
      <c r="N13" s="22"/>
    </row>
    <row r="14" spans="1:15">
      <c r="A14" s="31" t="s">
        <v>4216</v>
      </c>
      <c r="B14" s="31" t="s">
        <v>2784</v>
      </c>
      <c r="C14" s="6" t="s">
        <v>4375</v>
      </c>
      <c r="D14" s="6">
        <v>8380</v>
      </c>
      <c r="E14" s="6">
        <v>24</v>
      </c>
      <c r="F14" s="6">
        <v>9</v>
      </c>
      <c r="G14" s="32">
        <v>28</v>
      </c>
      <c r="H14" s="7">
        <v>38.796296296296298</v>
      </c>
      <c r="I14" s="23">
        <f t="shared" si="0"/>
        <v>0.72171837708830544</v>
      </c>
      <c r="J14" s="7">
        <f t="shared" si="1"/>
        <v>43.30310262529833</v>
      </c>
      <c r="K14" s="7">
        <f t="shared" si="2"/>
        <v>1.8042959427207637</v>
      </c>
      <c r="L14" s="21"/>
      <c r="M14" s="21"/>
      <c r="N14" s="22"/>
    </row>
    <row r="15" spans="1:15">
      <c r="A15" s="31" t="s">
        <v>4216</v>
      </c>
      <c r="B15" s="31" t="s">
        <v>2784</v>
      </c>
      <c r="C15" s="6" t="s">
        <v>4379</v>
      </c>
      <c r="D15" s="6">
        <v>6853</v>
      </c>
      <c r="E15" s="6">
        <v>24</v>
      </c>
      <c r="F15" s="6">
        <v>9</v>
      </c>
      <c r="G15" s="32">
        <v>28</v>
      </c>
      <c r="H15" s="7">
        <v>31.726851851851855</v>
      </c>
      <c r="I15" s="23">
        <f t="shared" si="0"/>
        <v>0.88253319713993861</v>
      </c>
      <c r="J15" s="7">
        <f t="shared" si="1"/>
        <v>52.951991828396316</v>
      </c>
      <c r="K15" s="7">
        <f t="shared" si="2"/>
        <v>2.2063329928498465</v>
      </c>
      <c r="L15" s="21"/>
      <c r="M15" s="21"/>
      <c r="N15" s="22"/>
    </row>
    <row r="16" spans="1:15">
      <c r="A16" s="31" t="s">
        <v>4120</v>
      </c>
      <c r="B16" s="31" t="s">
        <v>690</v>
      </c>
      <c r="C16" s="6" t="s">
        <v>4375</v>
      </c>
      <c r="D16" s="6">
        <v>8380</v>
      </c>
      <c r="E16" s="6">
        <v>24</v>
      </c>
      <c r="F16" s="6">
        <v>9</v>
      </c>
      <c r="G16" s="32">
        <v>69</v>
      </c>
      <c r="H16" s="7">
        <v>38.796296296296298</v>
      </c>
      <c r="I16" s="23">
        <f t="shared" si="0"/>
        <v>1.7785202863961813</v>
      </c>
      <c r="J16" s="7">
        <f t="shared" si="1"/>
        <v>106.71121718377088</v>
      </c>
      <c r="K16" s="7">
        <f t="shared" si="2"/>
        <v>4.4463007159904535</v>
      </c>
      <c r="L16" s="21"/>
      <c r="M16" s="21"/>
      <c r="N16" s="22"/>
    </row>
    <row r="17" spans="1:14">
      <c r="A17" s="31" t="s">
        <v>4120</v>
      </c>
      <c r="B17" s="31" t="s">
        <v>690</v>
      </c>
      <c r="C17" s="6" t="s">
        <v>4381</v>
      </c>
      <c r="D17" s="6">
        <v>8298</v>
      </c>
      <c r="E17" s="6">
        <v>24</v>
      </c>
      <c r="F17" s="6">
        <v>9</v>
      </c>
      <c r="G17" s="32">
        <v>69</v>
      </c>
      <c r="H17" s="7">
        <v>38.416666666666664</v>
      </c>
      <c r="I17" s="23">
        <f t="shared" si="0"/>
        <v>1.7960954446854664</v>
      </c>
      <c r="J17" s="7">
        <f t="shared" si="1"/>
        <v>107.76572668112799</v>
      </c>
      <c r="K17" s="7">
        <f t="shared" si="2"/>
        <v>4.4902386117136661</v>
      </c>
      <c r="L17" s="21"/>
      <c r="M17" s="21"/>
      <c r="N17" s="22"/>
    </row>
    <row r="18" spans="1:14">
      <c r="A18" s="31" t="s">
        <v>4120</v>
      </c>
      <c r="B18" s="31" t="s">
        <v>690</v>
      </c>
      <c r="C18" s="6" t="s">
        <v>4380</v>
      </c>
      <c r="D18" s="6">
        <v>7307</v>
      </c>
      <c r="E18" s="6">
        <v>24</v>
      </c>
      <c r="F18" s="6">
        <v>9</v>
      </c>
      <c r="G18" s="32">
        <v>23</v>
      </c>
      <c r="H18" s="7">
        <v>33.828703703703702</v>
      </c>
      <c r="I18" s="23">
        <f t="shared" si="0"/>
        <v>0.67989599014643498</v>
      </c>
      <c r="J18" s="7">
        <f t="shared" si="1"/>
        <v>40.793759408786102</v>
      </c>
      <c r="K18" s="7">
        <f t="shared" si="2"/>
        <v>1.6997399753660876</v>
      </c>
      <c r="L18" s="21"/>
      <c r="M18" s="21"/>
      <c r="N18" s="22"/>
    </row>
    <row r="19" spans="1:14">
      <c r="A19" s="31" t="s">
        <v>4120</v>
      </c>
      <c r="B19" s="31" t="s">
        <v>690</v>
      </c>
      <c r="C19" s="6" t="s">
        <v>4379</v>
      </c>
      <c r="D19" s="6">
        <v>6853</v>
      </c>
      <c r="E19" s="6">
        <v>24</v>
      </c>
      <c r="F19" s="6">
        <v>9</v>
      </c>
      <c r="G19" s="32">
        <v>69</v>
      </c>
      <c r="H19" s="7">
        <v>31.726851851851855</v>
      </c>
      <c r="I19" s="23">
        <f t="shared" si="0"/>
        <v>2.1748139500948489</v>
      </c>
      <c r="J19" s="7">
        <f t="shared" si="1"/>
        <v>130.48883700569093</v>
      </c>
      <c r="K19" s="7">
        <f t="shared" si="2"/>
        <v>5.4370348752371216</v>
      </c>
      <c r="L19" s="21"/>
      <c r="M19" s="21"/>
      <c r="N19" s="22"/>
    </row>
    <row r="20" spans="1:14">
      <c r="A20" s="31" t="s">
        <v>4120</v>
      </c>
      <c r="B20" s="31" t="s">
        <v>690</v>
      </c>
      <c r="C20" s="6" t="s">
        <v>4378</v>
      </c>
      <c r="D20" s="6">
        <v>6960</v>
      </c>
      <c r="E20" s="6">
        <v>24</v>
      </c>
      <c r="F20" s="6">
        <v>9</v>
      </c>
      <c r="G20" s="32">
        <v>23</v>
      </c>
      <c r="H20" s="7">
        <v>32.222222222222221</v>
      </c>
      <c r="I20" s="23">
        <f t="shared" si="0"/>
        <v>0.71379310344827585</v>
      </c>
      <c r="J20" s="7">
        <f t="shared" si="1"/>
        <v>42.827586206896548</v>
      </c>
      <c r="K20" s="7">
        <f t="shared" si="2"/>
        <v>1.7844827586206895</v>
      </c>
      <c r="L20" s="21"/>
      <c r="M20" s="21"/>
      <c r="N20" s="22"/>
    </row>
    <row r="21" spans="1:14">
      <c r="A21" s="31" t="s">
        <v>512</v>
      </c>
      <c r="B21" s="31" t="s">
        <v>292</v>
      </c>
      <c r="C21" s="6" t="s">
        <v>4375</v>
      </c>
      <c r="D21" s="6">
        <v>8380</v>
      </c>
      <c r="E21" s="6">
        <v>24</v>
      </c>
      <c r="F21" s="6">
        <v>9</v>
      </c>
      <c r="G21" s="32">
        <v>164</v>
      </c>
      <c r="H21" s="7">
        <v>38.796296296296298</v>
      </c>
      <c r="I21" s="23">
        <f t="shared" si="0"/>
        <v>4.2272076372315031</v>
      </c>
      <c r="J21" s="7">
        <f t="shared" si="1"/>
        <v>253.63245823389019</v>
      </c>
      <c r="K21" s="7">
        <f t="shared" si="2"/>
        <v>10.568019093078759</v>
      </c>
      <c r="L21" s="21"/>
      <c r="M21" s="21"/>
      <c r="N21" s="22"/>
    </row>
    <row r="22" spans="1:14">
      <c r="A22" s="31" t="s">
        <v>512</v>
      </c>
      <c r="B22" s="31" t="s">
        <v>292</v>
      </c>
      <c r="C22" s="6" t="s">
        <v>4382</v>
      </c>
      <c r="D22" s="6">
        <v>9773</v>
      </c>
      <c r="E22" s="6">
        <v>27</v>
      </c>
      <c r="F22" s="6">
        <v>9</v>
      </c>
      <c r="G22" s="32">
        <v>40</v>
      </c>
      <c r="H22" s="7">
        <v>40.218106995884774</v>
      </c>
      <c r="I22" s="23">
        <f t="shared" si="0"/>
        <v>0.99457689552849682</v>
      </c>
      <c r="J22" s="7">
        <f t="shared" si="1"/>
        <v>59.674613731709812</v>
      </c>
      <c r="K22" s="7">
        <f t="shared" si="2"/>
        <v>2.2101708789522152</v>
      </c>
      <c r="L22" s="21"/>
      <c r="M22" s="21"/>
      <c r="N22" s="22"/>
    </row>
    <row r="23" spans="1:14">
      <c r="A23" s="31" t="s">
        <v>512</v>
      </c>
      <c r="B23" s="31" t="s">
        <v>292</v>
      </c>
      <c r="C23" s="6" t="s">
        <v>4381</v>
      </c>
      <c r="D23" s="6">
        <v>8298</v>
      </c>
      <c r="E23" s="6">
        <v>24</v>
      </c>
      <c r="F23" s="6">
        <v>9</v>
      </c>
      <c r="G23" s="32">
        <v>112</v>
      </c>
      <c r="H23" s="7">
        <v>38.416666666666664</v>
      </c>
      <c r="I23" s="23">
        <f t="shared" si="0"/>
        <v>2.9154013015184383</v>
      </c>
      <c r="J23" s="7">
        <f t="shared" si="1"/>
        <v>174.92407809110631</v>
      </c>
      <c r="K23" s="7">
        <f t="shared" si="2"/>
        <v>7.2885032537960965</v>
      </c>
      <c r="L23" s="21"/>
      <c r="M23" s="21"/>
      <c r="N23" s="22"/>
    </row>
    <row r="24" spans="1:14">
      <c r="A24" s="31" t="s">
        <v>512</v>
      </c>
      <c r="B24" s="31" t="s">
        <v>292</v>
      </c>
      <c r="C24" s="6" t="s">
        <v>4379</v>
      </c>
      <c r="D24" s="6">
        <v>6853</v>
      </c>
      <c r="E24" s="6">
        <v>24</v>
      </c>
      <c r="F24" s="6">
        <v>9</v>
      </c>
      <c r="G24" s="32">
        <v>132</v>
      </c>
      <c r="H24" s="7">
        <v>31.726851851851855</v>
      </c>
      <c r="I24" s="23">
        <f t="shared" si="0"/>
        <v>4.1605136436597103</v>
      </c>
      <c r="J24" s="7">
        <f t="shared" si="1"/>
        <v>249.63081861958261</v>
      </c>
      <c r="K24" s="7">
        <f t="shared" si="2"/>
        <v>10.401284109149275</v>
      </c>
      <c r="L24" s="21"/>
      <c r="M24" s="21"/>
      <c r="N24" s="22"/>
    </row>
    <row r="25" spans="1:14">
      <c r="A25" s="31" t="s">
        <v>512</v>
      </c>
      <c r="B25" s="31" t="s">
        <v>292</v>
      </c>
      <c r="C25" s="6" t="s">
        <v>4378</v>
      </c>
      <c r="D25" s="6">
        <v>6960</v>
      </c>
      <c r="E25" s="6">
        <v>24</v>
      </c>
      <c r="F25" s="6">
        <v>9</v>
      </c>
      <c r="G25" s="32">
        <v>40</v>
      </c>
      <c r="H25" s="7">
        <v>32.222222222222221</v>
      </c>
      <c r="I25" s="23">
        <f t="shared" si="0"/>
        <v>1.2413793103448276</v>
      </c>
      <c r="J25" s="7">
        <f t="shared" si="1"/>
        <v>74.482758620689651</v>
      </c>
      <c r="K25" s="7">
        <f t="shared" si="2"/>
        <v>3.103448275862069</v>
      </c>
      <c r="L25" s="21"/>
      <c r="M25" s="21"/>
      <c r="N25" s="22"/>
    </row>
    <row r="26" spans="1:14">
      <c r="A26" s="31" t="s">
        <v>1350</v>
      </c>
      <c r="B26" s="31" t="s">
        <v>3966</v>
      </c>
      <c r="C26" s="6" t="s">
        <v>4375</v>
      </c>
      <c r="D26" s="6">
        <v>8380</v>
      </c>
      <c r="E26" s="6">
        <v>24</v>
      </c>
      <c r="F26" s="6">
        <v>9</v>
      </c>
      <c r="G26" s="32">
        <v>48</v>
      </c>
      <c r="H26" s="7">
        <v>38.796296296296298</v>
      </c>
      <c r="I26" s="23">
        <f t="shared" si="0"/>
        <v>1.2372315035799522</v>
      </c>
      <c r="J26" s="7">
        <f t="shared" si="1"/>
        <v>74.233890214797128</v>
      </c>
      <c r="K26" s="7">
        <f t="shared" si="2"/>
        <v>3.0930787589498805</v>
      </c>
      <c r="L26" s="21"/>
      <c r="M26" s="21"/>
      <c r="N26" s="22"/>
    </row>
    <row r="27" spans="1:14">
      <c r="A27" s="31" t="s">
        <v>1350</v>
      </c>
      <c r="B27" s="31" t="s">
        <v>3966</v>
      </c>
      <c r="C27" s="6" t="s">
        <v>4381</v>
      </c>
      <c r="D27" s="6">
        <v>8298</v>
      </c>
      <c r="E27" s="6">
        <v>24</v>
      </c>
      <c r="F27" s="6">
        <v>9</v>
      </c>
      <c r="G27" s="32">
        <v>24</v>
      </c>
      <c r="H27" s="7">
        <v>38.416666666666664</v>
      </c>
      <c r="I27" s="23">
        <f t="shared" si="0"/>
        <v>0.62472885032537961</v>
      </c>
      <c r="J27" s="7">
        <f t="shared" si="1"/>
        <v>37.483731019522779</v>
      </c>
      <c r="K27" s="7">
        <f t="shared" si="2"/>
        <v>1.561822125813449</v>
      </c>
      <c r="L27" s="21"/>
      <c r="M27" s="21"/>
      <c r="N27" s="22"/>
    </row>
    <row r="28" spans="1:14">
      <c r="A28" s="31" t="s">
        <v>1350</v>
      </c>
      <c r="B28" s="31" t="s">
        <v>3966</v>
      </c>
      <c r="C28" s="6" t="s">
        <v>4380</v>
      </c>
      <c r="D28" s="6">
        <v>7307</v>
      </c>
      <c r="E28" s="6">
        <v>24</v>
      </c>
      <c r="F28" s="6">
        <v>9</v>
      </c>
      <c r="G28" s="32">
        <v>24</v>
      </c>
      <c r="H28" s="7">
        <v>33.828703703703702</v>
      </c>
      <c r="I28" s="23">
        <f t="shared" si="0"/>
        <v>0.70945668537019302</v>
      </c>
      <c r="J28" s="7">
        <f t="shared" si="1"/>
        <v>42.567401122211578</v>
      </c>
      <c r="K28" s="7">
        <f t="shared" si="2"/>
        <v>1.7736417134254825</v>
      </c>
      <c r="L28" s="21"/>
      <c r="M28" s="21"/>
      <c r="N28" s="22"/>
    </row>
    <row r="29" spans="1:14">
      <c r="A29" s="31" t="s">
        <v>1350</v>
      </c>
      <c r="B29" s="31" t="s">
        <v>3966</v>
      </c>
      <c r="C29" s="6" t="s">
        <v>4379</v>
      </c>
      <c r="D29" s="6">
        <v>6853</v>
      </c>
      <c r="E29" s="6">
        <v>24</v>
      </c>
      <c r="F29" s="6">
        <v>9</v>
      </c>
      <c r="G29" s="32">
        <v>25</v>
      </c>
      <c r="H29" s="7">
        <v>31.726851851851855</v>
      </c>
      <c r="I29" s="23">
        <f t="shared" si="0"/>
        <v>0.7879760688749452</v>
      </c>
      <c r="J29" s="7">
        <f t="shared" si="1"/>
        <v>47.278564132496712</v>
      </c>
      <c r="K29" s="7">
        <f t="shared" si="2"/>
        <v>1.9699401721873631</v>
      </c>
      <c r="L29" s="21"/>
      <c r="M29" s="21"/>
      <c r="N29" s="22"/>
    </row>
    <row r="30" spans="1:14">
      <c r="A30" s="31" t="s">
        <v>2895</v>
      </c>
      <c r="B30" s="31" t="s">
        <v>3307</v>
      </c>
      <c r="C30" s="6" t="s">
        <v>4375</v>
      </c>
      <c r="D30" s="6">
        <v>8380</v>
      </c>
      <c r="E30" s="6">
        <v>24</v>
      </c>
      <c r="F30" s="6">
        <v>9</v>
      </c>
      <c r="G30" s="32">
        <v>22</v>
      </c>
      <c r="H30" s="7">
        <v>38.796296296296298</v>
      </c>
      <c r="I30" s="23">
        <f t="shared" si="0"/>
        <v>0.56706443914081139</v>
      </c>
      <c r="J30" s="7">
        <f t="shared" si="1"/>
        <v>34.023866348448685</v>
      </c>
      <c r="K30" s="7">
        <f t="shared" si="2"/>
        <v>1.4176610978520285</v>
      </c>
      <c r="L30" s="21"/>
      <c r="M30" s="21"/>
      <c r="N30" s="22"/>
    </row>
    <row r="31" spans="1:14">
      <c r="A31" s="31" t="s">
        <v>2895</v>
      </c>
      <c r="B31" s="31" t="s">
        <v>3307</v>
      </c>
      <c r="C31" s="6" t="s">
        <v>4381</v>
      </c>
      <c r="D31" s="6">
        <v>8298</v>
      </c>
      <c r="E31" s="6">
        <v>24</v>
      </c>
      <c r="F31" s="6">
        <v>9</v>
      </c>
      <c r="G31" s="32">
        <v>13</v>
      </c>
      <c r="H31" s="7">
        <v>38.416666666666664</v>
      </c>
      <c r="I31" s="23">
        <f t="shared" si="0"/>
        <v>0.33839479392624733</v>
      </c>
      <c r="J31" s="7">
        <f t="shared" si="1"/>
        <v>20.303687635574839</v>
      </c>
      <c r="K31" s="7">
        <f t="shared" si="2"/>
        <v>0.84598698481561829</v>
      </c>
      <c r="L31" s="21"/>
      <c r="M31" s="21"/>
      <c r="N31" s="22"/>
    </row>
    <row r="32" spans="1:14">
      <c r="A32" s="31" t="s">
        <v>2895</v>
      </c>
      <c r="B32" s="31" t="s">
        <v>3307</v>
      </c>
      <c r="C32" s="6" t="s">
        <v>4379</v>
      </c>
      <c r="D32" s="6">
        <v>6853</v>
      </c>
      <c r="E32" s="6">
        <v>24</v>
      </c>
      <c r="F32" s="6">
        <v>9</v>
      </c>
      <c r="G32" s="32">
        <v>16</v>
      </c>
      <c r="H32" s="7">
        <v>31.726851851851855</v>
      </c>
      <c r="I32" s="23">
        <f t="shared" si="0"/>
        <v>0.50430468407996498</v>
      </c>
      <c r="J32" s="7">
        <f t="shared" si="1"/>
        <v>30.258281044797897</v>
      </c>
      <c r="K32" s="7">
        <f t="shared" si="2"/>
        <v>1.2607617101999125</v>
      </c>
      <c r="L32" s="21"/>
      <c r="M32" s="21"/>
      <c r="N32" s="22"/>
    </row>
    <row r="33" spans="1:14">
      <c r="A33" s="31" t="s">
        <v>3441</v>
      </c>
      <c r="B33" s="31" t="s">
        <v>3513</v>
      </c>
      <c r="C33" s="6" t="s">
        <v>4375</v>
      </c>
      <c r="D33" s="6">
        <v>8380</v>
      </c>
      <c r="E33" s="6">
        <v>24</v>
      </c>
      <c r="F33" s="6">
        <v>9</v>
      </c>
      <c r="G33" s="32">
        <v>77</v>
      </c>
      <c r="H33" s="7">
        <v>38.796296296296298</v>
      </c>
      <c r="I33" s="23">
        <f t="shared" si="0"/>
        <v>1.98472553699284</v>
      </c>
      <c r="J33" s="7">
        <f t="shared" si="1"/>
        <v>119.0835322195704</v>
      </c>
      <c r="K33" s="7">
        <f t="shared" si="2"/>
        <v>4.9618138424821003</v>
      </c>
      <c r="L33" s="21"/>
      <c r="M33" s="21"/>
      <c r="N33" s="22"/>
    </row>
    <row r="34" spans="1:14">
      <c r="A34" s="31" t="s">
        <v>3441</v>
      </c>
      <c r="B34" s="31" t="s">
        <v>3513</v>
      </c>
      <c r="C34" s="6" t="s">
        <v>4381</v>
      </c>
      <c r="D34" s="6">
        <v>8298</v>
      </c>
      <c r="E34" s="6">
        <v>24</v>
      </c>
      <c r="F34" s="6">
        <v>9</v>
      </c>
      <c r="G34" s="32">
        <v>66</v>
      </c>
      <c r="H34" s="7">
        <v>38.416666666666664</v>
      </c>
      <c r="I34" s="23">
        <f t="shared" si="0"/>
        <v>1.7180043383947941</v>
      </c>
      <c r="J34" s="7">
        <f t="shared" si="1"/>
        <v>103.08026030368764</v>
      </c>
      <c r="K34" s="7">
        <f t="shared" si="2"/>
        <v>4.2950108459869849</v>
      </c>
      <c r="L34" s="21"/>
      <c r="M34" s="21"/>
      <c r="N34" s="22"/>
    </row>
    <row r="35" spans="1:14">
      <c r="A35" s="31" t="s">
        <v>3441</v>
      </c>
      <c r="B35" s="31" t="s">
        <v>3513</v>
      </c>
      <c r="C35" s="6" t="s">
        <v>4380</v>
      </c>
      <c r="D35" s="6">
        <v>7307</v>
      </c>
      <c r="E35" s="6">
        <v>24</v>
      </c>
      <c r="F35" s="6">
        <v>9</v>
      </c>
      <c r="G35" s="32">
        <v>48</v>
      </c>
      <c r="H35" s="7">
        <v>33.828703703703702</v>
      </c>
      <c r="I35" s="23">
        <f t="shared" si="0"/>
        <v>1.418913370740386</v>
      </c>
      <c r="J35" s="7">
        <f t="shared" si="1"/>
        <v>85.134802244423156</v>
      </c>
      <c r="K35" s="7">
        <f t="shared" si="2"/>
        <v>3.547283426850965</v>
      </c>
      <c r="L35" s="21"/>
      <c r="M35" s="21"/>
      <c r="N35" s="22"/>
    </row>
    <row r="36" spans="1:14">
      <c r="A36" s="31" t="s">
        <v>3441</v>
      </c>
      <c r="B36" s="31" t="s">
        <v>3513</v>
      </c>
      <c r="C36" s="6" t="s">
        <v>4379</v>
      </c>
      <c r="D36" s="6">
        <v>6853</v>
      </c>
      <c r="E36" s="6">
        <v>24</v>
      </c>
      <c r="F36" s="6">
        <v>9</v>
      </c>
      <c r="G36" s="32">
        <v>41</v>
      </c>
      <c r="H36" s="7">
        <v>31.726851851851855</v>
      </c>
      <c r="I36" s="23">
        <f t="shared" si="0"/>
        <v>1.2922807529549101</v>
      </c>
      <c r="J36" s="7">
        <f t="shared" si="1"/>
        <v>77.536845177294609</v>
      </c>
      <c r="K36" s="7">
        <f t="shared" si="2"/>
        <v>3.2307018823872755</v>
      </c>
      <c r="L36" s="21"/>
      <c r="M36" s="21"/>
      <c r="N36" s="22"/>
    </row>
    <row r="37" spans="1:14">
      <c r="A37" s="31" t="s">
        <v>3441</v>
      </c>
      <c r="B37" s="31" t="s">
        <v>3513</v>
      </c>
      <c r="C37" s="6" t="s">
        <v>4378</v>
      </c>
      <c r="D37" s="6">
        <v>6960</v>
      </c>
      <c r="E37" s="6">
        <v>24</v>
      </c>
      <c r="F37" s="6">
        <v>9</v>
      </c>
      <c r="G37" s="32">
        <v>20</v>
      </c>
      <c r="H37" s="7">
        <v>32.222222222222221</v>
      </c>
      <c r="I37" s="23">
        <f t="shared" si="0"/>
        <v>0.62068965517241381</v>
      </c>
      <c r="J37" s="7">
        <f t="shared" si="1"/>
        <v>37.241379310344826</v>
      </c>
      <c r="K37" s="7">
        <f t="shared" si="2"/>
        <v>1.5517241379310345</v>
      </c>
      <c r="L37" s="21"/>
      <c r="M37" s="21"/>
      <c r="N37" s="22"/>
    </row>
    <row r="38" spans="1:14">
      <c r="A38" s="31" t="s">
        <v>2072</v>
      </c>
      <c r="B38" s="31" t="s">
        <v>4177</v>
      </c>
      <c r="C38" s="6" t="s">
        <v>4375</v>
      </c>
      <c r="D38" s="6">
        <v>8380</v>
      </c>
      <c r="E38" s="6">
        <v>24</v>
      </c>
      <c r="F38" s="6">
        <v>9</v>
      </c>
      <c r="G38" s="32">
        <v>30</v>
      </c>
      <c r="H38" s="7">
        <v>38.796296296296298</v>
      </c>
      <c r="I38" s="23">
        <f t="shared" si="0"/>
        <v>0.77326968973747012</v>
      </c>
      <c r="J38" s="7">
        <f t="shared" si="1"/>
        <v>46.396181384248209</v>
      </c>
      <c r="K38" s="7">
        <f t="shared" si="2"/>
        <v>1.9331742243436754</v>
      </c>
      <c r="L38" s="21"/>
      <c r="M38" s="21"/>
      <c r="N38" s="22"/>
    </row>
    <row r="39" spans="1:14">
      <c r="A39" s="31" t="s">
        <v>2072</v>
      </c>
      <c r="B39" s="31" t="s">
        <v>4177</v>
      </c>
      <c r="C39" s="6" t="s">
        <v>4381</v>
      </c>
      <c r="D39" s="6">
        <v>8298</v>
      </c>
      <c r="E39" s="6">
        <v>24</v>
      </c>
      <c r="F39" s="6">
        <v>9</v>
      </c>
      <c r="G39" s="32">
        <v>27</v>
      </c>
      <c r="H39" s="7">
        <v>38.416666666666664</v>
      </c>
      <c r="I39" s="23">
        <f t="shared" si="0"/>
        <v>0.70281995661605212</v>
      </c>
      <c r="J39" s="7">
        <f t="shared" si="1"/>
        <v>42.169197396963128</v>
      </c>
      <c r="K39" s="7">
        <f t="shared" si="2"/>
        <v>1.7570498915401302</v>
      </c>
      <c r="L39" s="21"/>
      <c r="M39" s="21"/>
      <c r="N39" s="22"/>
    </row>
    <row r="40" spans="1:14">
      <c r="A40" s="31" t="s">
        <v>2072</v>
      </c>
      <c r="B40" s="31" t="s">
        <v>4177</v>
      </c>
      <c r="C40" s="6" t="s">
        <v>4379</v>
      </c>
      <c r="D40" s="6">
        <v>6853</v>
      </c>
      <c r="E40" s="6">
        <v>24</v>
      </c>
      <c r="F40" s="6">
        <v>9</v>
      </c>
      <c r="G40" s="32">
        <v>30</v>
      </c>
      <c r="H40" s="7">
        <v>31.726851851851855</v>
      </c>
      <c r="I40" s="23">
        <f t="shared" si="0"/>
        <v>0.94557128264993429</v>
      </c>
      <c r="J40" s="7">
        <f t="shared" si="1"/>
        <v>56.734276958996055</v>
      </c>
      <c r="K40" s="7">
        <f t="shared" si="2"/>
        <v>2.3639282066248355</v>
      </c>
      <c r="L40" s="21"/>
      <c r="M40" s="21"/>
      <c r="N40" s="22"/>
    </row>
    <row r="41" spans="1:14">
      <c r="A41" s="31" t="s">
        <v>3896</v>
      </c>
      <c r="B41" s="31" t="s">
        <v>274</v>
      </c>
      <c r="C41" s="6" t="s">
        <v>4375</v>
      </c>
      <c r="D41" s="6">
        <v>8380</v>
      </c>
      <c r="E41" s="6">
        <v>24</v>
      </c>
      <c r="F41" s="6">
        <v>9</v>
      </c>
      <c r="G41" s="32">
        <v>64</v>
      </c>
      <c r="H41" s="7">
        <v>38.796296296296298</v>
      </c>
      <c r="I41" s="23">
        <f t="shared" si="0"/>
        <v>1.6496420047732696</v>
      </c>
      <c r="J41" s="7">
        <f t="shared" si="1"/>
        <v>98.978520286396176</v>
      </c>
      <c r="K41" s="7">
        <f t="shared" si="2"/>
        <v>4.1241050119331737</v>
      </c>
      <c r="L41" s="21"/>
      <c r="M41" s="21"/>
      <c r="N41" s="22"/>
    </row>
    <row r="42" spans="1:14">
      <c r="A42" s="31" t="s">
        <v>3896</v>
      </c>
      <c r="B42" s="31" t="s">
        <v>274</v>
      </c>
      <c r="C42" s="6" t="s">
        <v>4381</v>
      </c>
      <c r="D42" s="6">
        <v>8298</v>
      </c>
      <c r="E42" s="6">
        <v>24</v>
      </c>
      <c r="F42" s="6">
        <v>9</v>
      </c>
      <c r="G42" s="32">
        <v>64</v>
      </c>
      <c r="H42" s="7">
        <v>38.416666666666664</v>
      </c>
      <c r="I42" s="23">
        <f t="shared" si="0"/>
        <v>1.6659436008676791</v>
      </c>
      <c r="J42" s="7">
        <f t="shared" si="1"/>
        <v>99.956616052060753</v>
      </c>
      <c r="K42" s="7">
        <f t="shared" si="2"/>
        <v>4.164859002169198</v>
      </c>
      <c r="L42" s="21"/>
      <c r="M42" s="21"/>
      <c r="N42" s="22"/>
    </row>
    <row r="43" spans="1:14">
      <c r="A43" s="31" t="s">
        <v>3896</v>
      </c>
      <c r="B43" s="31" t="s">
        <v>274</v>
      </c>
      <c r="C43" s="6" t="s">
        <v>4380</v>
      </c>
      <c r="D43" s="6">
        <v>7307</v>
      </c>
      <c r="E43" s="6">
        <v>24</v>
      </c>
      <c r="F43" s="6">
        <v>9</v>
      </c>
      <c r="G43" s="32">
        <v>64</v>
      </c>
      <c r="H43" s="7">
        <v>33.828703703703702</v>
      </c>
      <c r="I43" s="23">
        <f t="shared" si="0"/>
        <v>1.8918844943205146</v>
      </c>
      <c r="J43" s="7">
        <f t="shared" si="1"/>
        <v>113.51306965923088</v>
      </c>
      <c r="K43" s="7">
        <f t="shared" si="2"/>
        <v>4.7297112358012869</v>
      </c>
      <c r="L43" s="21"/>
      <c r="M43" s="21"/>
      <c r="N43" s="22"/>
    </row>
    <row r="44" spans="1:14">
      <c r="A44" s="31" t="s">
        <v>1594</v>
      </c>
      <c r="B44" s="31" t="s">
        <v>4151</v>
      </c>
      <c r="C44" s="6" t="s">
        <v>4375</v>
      </c>
      <c r="D44" s="6">
        <v>8380</v>
      </c>
      <c r="E44" s="6">
        <v>24</v>
      </c>
      <c r="F44" s="6">
        <v>9</v>
      </c>
      <c r="G44" s="32">
        <v>68</v>
      </c>
      <c r="H44" s="7">
        <v>38.796296296296298</v>
      </c>
      <c r="I44" s="23">
        <f t="shared" si="0"/>
        <v>1.752744630071599</v>
      </c>
      <c r="J44" s="7">
        <f t="shared" si="1"/>
        <v>105.16467780429593</v>
      </c>
      <c r="K44" s="7">
        <f t="shared" si="2"/>
        <v>4.3818615751789975</v>
      </c>
      <c r="L44" s="21"/>
      <c r="M44" s="21"/>
      <c r="N44" s="22"/>
    </row>
    <row r="45" spans="1:14">
      <c r="A45" s="31" t="s">
        <v>1594</v>
      </c>
      <c r="B45" s="31" t="s">
        <v>4151</v>
      </c>
      <c r="C45" s="6" t="s">
        <v>4381</v>
      </c>
      <c r="D45" s="6">
        <v>8298</v>
      </c>
      <c r="E45" s="6">
        <v>24</v>
      </c>
      <c r="F45" s="6">
        <v>9</v>
      </c>
      <c r="G45" s="32">
        <v>35</v>
      </c>
      <c r="H45" s="7">
        <v>38.416666666666664</v>
      </c>
      <c r="I45" s="23">
        <f t="shared" si="0"/>
        <v>0.91106290672451196</v>
      </c>
      <c r="J45" s="7">
        <f t="shared" si="1"/>
        <v>54.663774403470718</v>
      </c>
      <c r="K45" s="7">
        <f t="shared" si="2"/>
        <v>2.2776572668112798</v>
      </c>
      <c r="L45" s="21"/>
      <c r="M45" s="21"/>
      <c r="N45" s="22"/>
    </row>
    <row r="46" spans="1:14">
      <c r="A46" s="31" t="s">
        <v>1594</v>
      </c>
      <c r="B46" s="31" t="s">
        <v>4151</v>
      </c>
      <c r="C46" s="6" t="s">
        <v>4379</v>
      </c>
      <c r="D46" s="6">
        <v>6853</v>
      </c>
      <c r="E46" s="6">
        <v>24</v>
      </c>
      <c r="F46" s="6">
        <v>9</v>
      </c>
      <c r="G46" s="32">
        <v>36</v>
      </c>
      <c r="H46" s="7">
        <v>31.726851851851855</v>
      </c>
      <c r="I46" s="23">
        <f t="shared" si="0"/>
        <v>1.1346855391799211</v>
      </c>
      <c r="J46" s="7">
        <f t="shared" si="1"/>
        <v>68.081132350795272</v>
      </c>
      <c r="K46" s="7">
        <f t="shared" si="2"/>
        <v>2.8367138479498029</v>
      </c>
      <c r="L46" s="21"/>
      <c r="M46" s="21"/>
      <c r="N46" s="22"/>
    </row>
    <row r="47" spans="1:14">
      <c r="A47" s="31" t="s">
        <v>1594</v>
      </c>
      <c r="B47" s="31" t="s">
        <v>4151</v>
      </c>
      <c r="C47" s="6" t="s">
        <v>4378</v>
      </c>
      <c r="D47" s="6">
        <v>6960</v>
      </c>
      <c r="E47" s="6">
        <v>24</v>
      </c>
      <c r="F47" s="6">
        <v>9</v>
      </c>
      <c r="G47" s="32">
        <v>32</v>
      </c>
      <c r="H47" s="7">
        <v>32.222222222222221</v>
      </c>
      <c r="I47" s="23">
        <f t="shared" si="0"/>
        <v>0.99310344827586206</v>
      </c>
      <c r="J47" s="7">
        <f t="shared" si="1"/>
        <v>59.586206896551722</v>
      </c>
      <c r="K47" s="7">
        <f t="shared" si="2"/>
        <v>2.4827586206896552</v>
      </c>
      <c r="L47" s="21"/>
      <c r="M47" s="21"/>
      <c r="N47" s="22"/>
    </row>
    <row r="48" spans="1:14">
      <c r="A48" s="31" t="s">
        <v>1135</v>
      </c>
      <c r="B48" s="31" t="s">
        <v>496</v>
      </c>
      <c r="C48" s="6" t="s">
        <v>4375</v>
      </c>
      <c r="D48" s="6">
        <v>8380</v>
      </c>
      <c r="E48" s="6">
        <v>24</v>
      </c>
      <c r="F48" s="6">
        <v>9</v>
      </c>
      <c r="G48" s="32">
        <v>24</v>
      </c>
      <c r="H48" s="7">
        <v>38.796296296296298</v>
      </c>
      <c r="I48" s="23">
        <f t="shared" si="0"/>
        <v>0.61861575178997608</v>
      </c>
      <c r="J48" s="7">
        <f t="shared" si="1"/>
        <v>37.116945107398564</v>
      </c>
      <c r="K48" s="7">
        <f t="shared" si="2"/>
        <v>1.5465393794749402</v>
      </c>
      <c r="L48" s="21"/>
      <c r="M48" s="21"/>
      <c r="N48" s="22"/>
    </row>
    <row r="49" spans="1:14">
      <c r="A49" s="31" t="s">
        <v>1135</v>
      </c>
      <c r="B49" s="31" t="s">
        <v>496</v>
      </c>
      <c r="C49" s="6" t="s">
        <v>4380</v>
      </c>
      <c r="D49" s="6">
        <v>7307</v>
      </c>
      <c r="E49" s="6">
        <v>24</v>
      </c>
      <c r="F49" s="6">
        <v>9</v>
      </c>
      <c r="G49" s="32">
        <v>24</v>
      </c>
      <c r="H49" s="7">
        <v>33.828703703703702</v>
      </c>
      <c r="I49" s="23">
        <f t="shared" si="0"/>
        <v>0.70945668537019302</v>
      </c>
      <c r="J49" s="7">
        <f t="shared" si="1"/>
        <v>42.567401122211578</v>
      </c>
      <c r="K49" s="7">
        <f t="shared" si="2"/>
        <v>1.7736417134254825</v>
      </c>
      <c r="L49" s="21"/>
      <c r="M49" s="21"/>
      <c r="N49" s="22"/>
    </row>
    <row r="50" spans="1:14">
      <c r="A50" s="31" t="s">
        <v>1135</v>
      </c>
      <c r="B50" s="31" t="s">
        <v>496</v>
      </c>
      <c r="C50" s="6" t="s">
        <v>4379</v>
      </c>
      <c r="D50" s="6">
        <v>6853</v>
      </c>
      <c r="E50" s="6">
        <v>24</v>
      </c>
      <c r="F50" s="6">
        <v>9</v>
      </c>
      <c r="G50" s="32">
        <v>18</v>
      </c>
      <c r="H50" s="7">
        <v>31.726851851851855</v>
      </c>
      <c r="I50" s="23">
        <f t="shared" si="0"/>
        <v>0.56734276958996055</v>
      </c>
      <c r="J50" s="7">
        <f t="shared" si="1"/>
        <v>34.040566175397636</v>
      </c>
      <c r="K50" s="7">
        <f t="shared" si="2"/>
        <v>1.4183569239749014</v>
      </c>
      <c r="L50" s="21"/>
      <c r="M50" s="21"/>
      <c r="N50" s="22"/>
    </row>
    <row r="51" spans="1:14">
      <c r="A51" s="31" t="s">
        <v>1321</v>
      </c>
      <c r="B51" s="31" t="s">
        <v>1305</v>
      </c>
      <c r="C51" s="6" t="s">
        <v>4375</v>
      </c>
      <c r="D51" s="6">
        <v>8380</v>
      </c>
      <c r="E51" s="6">
        <v>24</v>
      </c>
      <c r="F51" s="6">
        <v>9</v>
      </c>
      <c r="G51" s="32">
        <v>28</v>
      </c>
      <c r="H51" s="7">
        <v>38.796296296296298</v>
      </c>
      <c r="I51" s="23">
        <f t="shared" si="0"/>
        <v>0.72171837708830544</v>
      </c>
      <c r="J51" s="7">
        <f t="shared" si="1"/>
        <v>43.30310262529833</v>
      </c>
      <c r="K51" s="7">
        <f t="shared" si="2"/>
        <v>1.8042959427207637</v>
      </c>
      <c r="L51" s="21"/>
      <c r="M51" s="21"/>
      <c r="N51" s="22"/>
    </row>
    <row r="52" spans="1:14">
      <c r="A52" s="31" t="s">
        <v>1321</v>
      </c>
      <c r="B52" s="31" t="s">
        <v>1305</v>
      </c>
      <c r="C52" s="6" t="s">
        <v>4381</v>
      </c>
      <c r="D52" s="6">
        <v>8298</v>
      </c>
      <c r="E52" s="6">
        <v>24</v>
      </c>
      <c r="F52" s="6">
        <v>9</v>
      </c>
      <c r="G52" s="32">
        <v>9</v>
      </c>
      <c r="H52" s="7">
        <v>38.416666666666664</v>
      </c>
      <c r="I52" s="23">
        <f t="shared" si="0"/>
        <v>0.23427331887201736</v>
      </c>
      <c r="J52" s="7">
        <f t="shared" si="1"/>
        <v>14.056399132321042</v>
      </c>
      <c r="K52" s="7">
        <f t="shared" si="2"/>
        <v>0.58568329718004342</v>
      </c>
      <c r="L52" s="21"/>
      <c r="M52" s="21"/>
      <c r="N52" s="22"/>
    </row>
    <row r="53" spans="1:14">
      <c r="A53" s="31" t="s">
        <v>1321</v>
      </c>
      <c r="B53" s="31" t="s">
        <v>1305</v>
      </c>
      <c r="C53" s="6" t="s">
        <v>4379</v>
      </c>
      <c r="D53" s="6">
        <v>6853</v>
      </c>
      <c r="E53" s="6">
        <v>24</v>
      </c>
      <c r="F53" s="6">
        <v>9</v>
      </c>
      <c r="G53" s="32">
        <v>20</v>
      </c>
      <c r="H53" s="7">
        <v>31.726851851851855</v>
      </c>
      <c r="I53" s="23">
        <f t="shared" si="0"/>
        <v>0.63038085509995612</v>
      </c>
      <c r="J53" s="7">
        <f t="shared" si="1"/>
        <v>37.822851305997368</v>
      </c>
      <c r="K53" s="7">
        <f t="shared" si="2"/>
        <v>1.5759521377498904</v>
      </c>
      <c r="L53" s="21"/>
      <c r="M53" s="21"/>
      <c r="N53" s="22"/>
    </row>
    <row r="54" spans="1:14">
      <c r="A54" s="31" t="s">
        <v>1321</v>
      </c>
      <c r="B54" s="31" t="s">
        <v>1305</v>
      </c>
      <c r="C54" s="6" t="s">
        <v>4378</v>
      </c>
      <c r="D54" s="6">
        <v>6960</v>
      </c>
      <c r="E54" s="6">
        <v>24</v>
      </c>
      <c r="F54" s="6">
        <v>9</v>
      </c>
      <c r="G54" s="32">
        <v>19</v>
      </c>
      <c r="H54" s="7">
        <v>32.222222222222221</v>
      </c>
      <c r="I54" s="23">
        <f t="shared" si="0"/>
        <v>0.58965517241379317</v>
      </c>
      <c r="J54" s="7">
        <f t="shared" si="1"/>
        <v>35.379310344827587</v>
      </c>
      <c r="K54" s="7">
        <f t="shared" si="2"/>
        <v>1.4741379310344829</v>
      </c>
      <c r="L54" s="21"/>
      <c r="M54" s="21"/>
      <c r="N54" s="22"/>
    </row>
    <row r="55" spans="1:14">
      <c r="A55" s="31" t="s">
        <v>735</v>
      </c>
      <c r="B55" s="31" t="s">
        <v>4261</v>
      </c>
      <c r="C55" s="6" t="s">
        <v>4375</v>
      </c>
      <c r="D55" s="6">
        <v>8380</v>
      </c>
      <c r="E55" s="6">
        <v>24</v>
      </c>
      <c r="F55" s="6">
        <v>9</v>
      </c>
      <c r="G55" s="32">
        <v>36</v>
      </c>
      <c r="H55" s="7">
        <v>38.796296296296298</v>
      </c>
      <c r="I55" s="23">
        <f t="shared" si="0"/>
        <v>0.92792362768496417</v>
      </c>
      <c r="J55" s="7">
        <f t="shared" si="1"/>
        <v>55.675417661097853</v>
      </c>
      <c r="K55" s="7">
        <f t="shared" si="2"/>
        <v>2.3198090692124107</v>
      </c>
      <c r="L55" s="21"/>
      <c r="M55" s="21"/>
      <c r="N55" s="22"/>
    </row>
    <row r="56" spans="1:14">
      <c r="A56" s="31" t="s">
        <v>735</v>
      </c>
      <c r="B56" s="31" t="s">
        <v>4261</v>
      </c>
      <c r="C56" s="6" t="s">
        <v>4381</v>
      </c>
      <c r="D56" s="6">
        <v>8298</v>
      </c>
      <c r="E56" s="6">
        <v>24</v>
      </c>
      <c r="F56" s="6">
        <v>9</v>
      </c>
      <c r="G56" s="32">
        <v>36</v>
      </c>
      <c r="H56" s="7">
        <v>38.416666666666664</v>
      </c>
      <c r="I56" s="23">
        <f t="shared" si="0"/>
        <v>0.93709327548806942</v>
      </c>
      <c r="J56" s="7">
        <f t="shared" si="1"/>
        <v>56.225596529284168</v>
      </c>
      <c r="K56" s="7">
        <f t="shared" si="2"/>
        <v>2.3427331887201737</v>
      </c>
      <c r="L56" s="21"/>
      <c r="M56" s="21"/>
      <c r="N56" s="22"/>
    </row>
    <row r="57" spans="1:14">
      <c r="A57" s="31" t="s">
        <v>735</v>
      </c>
      <c r="B57" s="31" t="s">
        <v>4261</v>
      </c>
      <c r="C57" s="6" t="s">
        <v>4380</v>
      </c>
      <c r="D57" s="6">
        <v>7307</v>
      </c>
      <c r="E57" s="6">
        <v>24</v>
      </c>
      <c r="F57" s="6">
        <v>9</v>
      </c>
      <c r="G57" s="32">
        <v>36</v>
      </c>
      <c r="H57" s="7">
        <v>33.828703703703702</v>
      </c>
      <c r="I57" s="23">
        <f t="shared" si="0"/>
        <v>1.0641850280552896</v>
      </c>
      <c r="J57" s="7">
        <f t="shared" si="1"/>
        <v>63.851101683317374</v>
      </c>
      <c r="K57" s="7">
        <f t="shared" si="2"/>
        <v>2.6604625701382241</v>
      </c>
      <c r="L57" s="21"/>
      <c r="M57" s="21"/>
      <c r="N57" s="22"/>
    </row>
    <row r="58" spans="1:14">
      <c r="A58" s="31" t="s">
        <v>735</v>
      </c>
      <c r="B58" s="31" t="s">
        <v>4261</v>
      </c>
      <c r="C58" s="6" t="s">
        <v>4379</v>
      </c>
      <c r="D58" s="6">
        <v>6853</v>
      </c>
      <c r="E58" s="6">
        <v>24</v>
      </c>
      <c r="F58" s="6">
        <v>9</v>
      </c>
      <c r="G58" s="32">
        <v>36</v>
      </c>
      <c r="H58" s="7">
        <v>31.726851851851855</v>
      </c>
      <c r="I58" s="23">
        <f t="shared" si="0"/>
        <v>1.1346855391799211</v>
      </c>
      <c r="J58" s="7">
        <f t="shared" si="1"/>
        <v>68.081132350795272</v>
      </c>
      <c r="K58" s="7">
        <f t="shared" si="2"/>
        <v>2.8367138479498029</v>
      </c>
      <c r="L58" s="21"/>
      <c r="M58" s="21"/>
      <c r="N58" s="22"/>
    </row>
    <row r="59" spans="1:14">
      <c r="A59" s="31" t="s">
        <v>3149</v>
      </c>
      <c r="B59" s="31" t="s">
        <v>1727</v>
      </c>
      <c r="C59" s="6" t="s">
        <v>4375</v>
      </c>
      <c r="D59" s="6">
        <v>8380</v>
      </c>
      <c r="E59" s="6">
        <v>24</v>
      </c>
      <c r="F59" s="6">
        <v>9</v>
      </c>
      <c r="G59" s="32">
        <v>8</v>
      </c>
      <c r="H59" s="7">
        <v>38.796296296296298</v>
      </c>
      <c r="I59" s="23">
        <f t="shared" si="0"/>
        <v>0.2062052505966587</v>
      </c>
      <c r="J59" s="7">
        <f t="shared" si="1"/>
        <v>12.372315035799522</v>
      </c>
      <c r="K59" s="7">
        <f t="shared" si="2"/>
        <v>0.51551312649164671</v>
      </c>
      <c r="L59" s="21"/>
      <c r="M59" s="21"/>
      <c r="N59" s="22"/>
    </row>
    <row r="60" spans="1:14">
      <c r="A60" s="31" t="s">
        <v>3149</v>
      </c>
      <c r="B60" s="31" t="s">
        <v>1727</v>
      </c>
      <c r="C60" s="6" t="s">
        <v>4381</v>
      </c>
      <c r="D60" s="6">
        <v>8298</v>
      </c>
      <c r="E60" s="6">
        <v>24</v>
      </c>
      <c r="F60" s="6">
        <v>9</v>
      </c>
      <c r="G60" s="32">
        <v>8</v>
      </c>
      <c r="H60" s="7">
        <v>38.416666666666664</v>
      </c>
      <c r="I60" s="23">
        <f t="shared" si="0"/>
        <v>0.20824295010845989</v>
      </c>
      <c r="J60" s="7">
        <f t="shared" si="1"/>
        <v>12.494577006507594</v>
      </c>
      <c r="K60" s="7">
        <f t="shared" si="2"/>
        <v>0.52060737527114975</v>
      </c>
      <c r="L60" s="21"/>
      <c r="M60" s="21"/>
      <c r="N60" s="22"/>
    </row>
    <row r="61" spans="1:14">
      <c r="A61" s="31" t="s">
        <v>3149</v>
      </c>
      <c r="B61" s="31" t="s">
        <v>1727</v>
      </c>
      <c r="C61" s="6" t="s">
        <v>4379</v>
      </c>
      <c r="D61" s="6">
        <v>6853</v>
      </c>
      <c r="E61" s="6">
        <v>24</v>
      </c>
      <c r="F61" s="6">
        <v>9</v>
      </c>
      <c r="G61" s="32">
        <v>4</v>
      </c>
      <c r="H61" s="7">
        <v>31.726851851851855</v>
      </c>
      <c r="I61" s="23">
        <f t="shared" si="0"/>
        <v>0.12607617101999125</v>
      </c>
      <c r="J61" s="7">
        <f t="shared" si="1"/>
        <v>7.5645702611994743</v>
      </c>
      <c r="K61" s="7">
        <f t="shared" si="2"/>
        <v>0.31519042754997811</v>
      </c>
      <c r="L61" s="21"/>
      <c r="M61" s="21"/>
      <c r="N61" s="22"/>
    </row>
    <row r="62" spans="1:14">
      <c r="A62" s="31" t="s">
        <v>3149</v>
      </c>
      <c r="B62" s="31" t="s">
        <v>1727</v>
      </c>
      <c r="C62" s="6" t="s">
        <v>4378</v>
      </c>
      <c r="D62" s="6">
        <v>6960</v>
      </c>
      <c r="E62" s="6">
        <v>24</v>
      </c>
      <c r="F62" s="6">
        <v>9</v>
      </c>
      <c r="G62" s="32">
        <v>8</v>
      </c>
      <c r="H62" s="7">
        <v>32.222222222222221</v>
      </c>
      <c r="I62" s="23">
        <f t="shared" si="0"/>
        <v>0.24827586206896551</v>
      </c>
      <c r="J62" s="7">
        <f t="shared" si="1"/>
        <v>14.896551724137931</v>
      </c>
      <c r="K62" s="7">
        <f t="shared" si="2"/>
        <v>0.62068965517241381</v>
      </c>
      <c r="L62" s="21"/>
      <c r="M62" s="21"/>
      <c r="N62" s="22"/>
    </row>
  </sheetData>
  <autoFilter ref="A3:K62"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5040"/>
  <sheetViews>
    <sheetView zoomScale="70" zoomScaleNormal="70" workbookViewId="0"/>
  </sheetViews>
  <sheetFormatPr defaultRowHeight="16.5"/>
  <cols>
    <col min="1" max="1" width="32.625" bestFit="1" customWidth="1"/>
    <col min="2" max="2" width="33.875" style="13" bestFit="1" customWidth="1"/>
    <col min="3" max="3" width="24.75" customWidth="1"/>
    <col min="4" max="4" width="15.25" bestFit="1" customWidth="1"/>
    <col min="5" max="5" width="11.25" customWidth="1"/>
    <col min="6" max="6" width="4.375" customWidth="1"/>
    <col min="7" max="7" width="15.25" customWidth="1"/>
    <col min="8" max="13" width="8.5" style="13" customWidth="1"/>
    <col min="14" max="14" width="7.5" style="13" customWidth="1"/>
  </cols>
  <sheetData>
    <row r="3" spans="1:14">
      <c r="B3"/>
      <c r="D3" s="15" t="s">
        <v>4414</v>
      </c>
      <c r="G3" s="15" t="s">
        <v>4411</v>
      </c>
      <c r="H3" s="15" t="s">
        <v>4413</v>
      </c>
      <c r="I3"/>
      <c r="J3"/>
      <c r="K3"/>
      <c r="L3"/>
      <c r="M3"/>
      <c r="N3"/>
    </row>
    <row r="4" spans="1:14">
      <c r="A4" s="15" t="s">
        <v>4413</v>
      </c>
      <c r="B4" s="15" t="s">
        <v>4412</v>
      </c>
      <c r="C4" s="15" t="s">
        <v>2375</v>
      </c>
      <c r="D4" t="s">
        <v>4411</v>
      </c>
      <c r="E4" t="s">
        <v>4415</v>
      </c>
      <c r="G4" s="15" t="s">
        <v>4412</v>
      </c>
      <c r="H4" t="s">
        <v>4375</v>
      </c>
      <c r="I4" t="s">
        <v>4382</v>
      </c>
      <c r="J4" t="s">
        <v>4381</v>
      </c>
      <c r="K4" t="s">
        <v>4380</v>
      </c>
      <c r="L4" t="s">
        <v>4379</v>
      </c>
      <c r="M4" t="s">
        <v>4378</v>
      </c>
      <c r="N4" t="s">
        <v>4410</v>
      </c>
    </row>
    <row r="5" spans="1:14">
      <c r="A5" t="s">
        <v>4375</v>
      </c>
      <c r="B5" t="s">
        <v>4396</v>
      </c>
      <c r="C5" t="s">
        <v>3513</v>
      </c>
      <c r="D5" s="16">
        <v>24</v>
      </c>
      <c r="E5" s="16">
        <v>2</v>
      </c>
      <c r="G5" t="s">
        <v>4396</v>
      </c>
      <c r="H5" s="16">
        <v>24</v>
      </c>
      <c r="I5" s="16"/>
      <c r="J5" s="16"/>
      <c r="K5" s="16"/>
      <c r="L5" s="16">
        <v>64</v>
      </c>
      <c r="M5" s="16"/>
      <c r="N5" s="16">
        <v>88</v>
      </c>
    </row>
    <row r="6" spans="1:14">
      <c r="B6" t="s">
        <v>4397</v>
      </c>
      <c r="C6" t="s">
        <v>3513</v>
      </c>
      <c r="D6" s="16">
        <v>576</v>
      </c>
      <c r="E6" s="16">
        <v>48</v>
      </c>
      <c r="G6" t="s">
        <v>4397</v>
      </c>
      <c r="H6" s="16">
        <v>576</v>
      </c>
      <c r="I6" s="16">
        <v>1440</v>
      </c>
      <c r="J6" s="16"/>
      <c r="K6" s="16"/>
      <c r="L6" s="16"/>
      <c r="M6" s="16"/>
      <c r="N6" s="16">
        <v>2016</v>
      </c>
    </row>
    <row r="7" spans="1:14">
      <c r="B7" t="s">
        <v>4398</v>
      </c>
      <c r="C7" t="s">
        <v>1305</v>
      </c>
      <c r="D7" s="16">
        <v>5376</v>
      </c>
      <c r="E7" s="16">
        <v>28</v>
      </c>
      <c r="G7" t="s">
        <v>4398</v>
      </c>
      <c r="H7" s="16">
        <v>5376</v>
      </c>
      <c r="I7" s="16"/>
      <c r="J7" s="16">
        <v>800</v>
      </c>
      <c r="K7" s="16">
        <v>576</v>
      </c>
      <c r="L7" s="16">
        <v>1652</v>
      </c>
      <c r="M7" s="16"/>
      <c r="N7" s="16">
        <v>8404</v>
      </c>
    </row>
    <row r="8" spans="1:14">
      <c r="B8" t="s">
        <v>4399</v>
      </c>
      <c r="C8" t="s">
        <v>690</v>
      </c>
      <c r="D8" s="16">
        <v>320</v>
      </c>
      <c r="E8" s="16">
        <v>23</v>
      </c>
      <c r="G8" t="s">
        <v>4399</v>
      </c>
      <c r="H8" s="16">
        <v>1760</v>
      </c>
      <c r="I8" s="16"/>
      <c r="J8" s="16"/>
      <c r="K8" s="16">
        <v>864</v>
      </c>
      <c r="L8" s="16">
        <v>1880</v>
      </c>
      <c r="M8" s="16"/>
      <c r="N8" s="16">
        <v>4504</v>
      </c>
    </row>
    <row r="9" spans="1:14">
      <c r="B9"/>
      <c r="C9" t="s">
        <v>292</v>
      </c>
      <c r="D9" s="16">
        <v>1440</v>
      </c>
      <c r="E9" s="16">
        <v>40</v>
      </c>
      <c r="G9" t="s">
        <v>4400</v>
      </c>
      <c r="H9" s="16">
        <v>3488</v>
      </c>
      <c r="I9" s="16"/>
      <c r="J9" s="16">
        <v>1760</v>
      </c>
      <c r="K9" s="16">
        <v>2208</v>
      </c>
      <c r="L9" s="16">
        <v>6720</v>
      </c>
      <c r="M9" s="16">
        <v>3200</v>
      </c>
      <c r="N9" s="16">
        <v>17376</v>
      </c>
    </row>
    <row r="10" spans="1:14">
      <c r="B10" t="s">
        <v>4400</v>
      </c>
      <c r="C10" t="s">
        <v>1304</v>
      </c>
      <c r="D10" s="16">
        <v>480</v>
      </c>
      <c r="E10" s="16">
        <v>40</v>
      </c>
      <c r="G10" t="s">
        <v>4401</v>
      </c>
      <c r="H10" s="16">
        <v>4000</v>
      </c>
      <c r="I10" s="16"/>
      <c r="J10" s="16">
        <v>329</v>
      </c>
      <c r="K10" s="16">
        <v>2782</v>
      </c>
      <c r="L10" s="16">
        <v>1440</v>
      </c>
      <c r="M10" s="16">
        <v>1759</v>
      </c>
      <c r="N10" s="16">
        <v>10310</v>
      </c>
    </row>
    <row r="11" spans="1:14">
      <c r="B11"/>
      <c r="C11" t="s">
        <v>690</v>
      </c>
      <c r="D11" s="16">
        <v>640</v>
      </c>
      <c r="E11" s="16">
        <v>46</v>
      </c>
      <c r="G11" t="s">
        <v>4402</v>
      </c>
      <c r="H11" s="16">
        <v>3480</v>
      </c>
      <c r="I11" s="16"/>
      <c r="J11" s="16"/>
      <c r="K11" s="16">
        <v>480</v>
      </c>
      <c r="L11" s="16"/>
      <c r="M11" s="16"/>
      <c r="N11" s="16">
        <v>3960</v>
      </c>
    </row>
    <row r="12" spans="1:14">
      <c r="B12"/>
      <c r="C12" t="s">
        <v>292</v>
      </c>
      <c r="D12" s="16">
        <v>288</v>
      </c>
      <c r="E12" s="16">
        <v>8</v>
      </c>
      <c r="G12" t="s">
        <v>4403</v>
      </c>
      <c r="H12" s="16">
        <v>640</v>
      </c>
      <c r="I12" s="16"/>
      <c r="J12" s="16">
        <v>1852</v>
      </c>
      <c r="K12" s="16"/>
      <c r="L12" s="16">
        <v>234</v>
      </c>
      <c r="M12" s="16"/>
      <c r="N12" s="16">
        <v>2726</v>
      </c>
    </row>
    <row r="13" spans="1:14">
      <c r="B13"/>
      <c r="C13" t="s">
        <v>3307</v>
      </c>
      <c r="D13" s="16">
        <v>160</v>
      </c>
      <c r="E13" s="16">
        <v>14</v>
      </c>
      <c r="G13" t="s">
        <v>4404</v>
      </c>
      <c r="H13" s="16">
        <v>584</v>
      </c>
      <c r="I13" s="16">
        <v>4100</v>
      </c>
      <c r="J13" s="16">
        <v>2840</v>
      </c>
      <c r="K13" s="16"/>
      <c r="L13" s="16">
        <v>2502</v>
      </c>
      <c r="M13" s="16"/>
      <c r="N13" s="16">
        <v>10026</v>
      </c>
    </row>
    <row r="14" spans="1:14">
      <c r="B14"/>
      <c r="C14" t="s">
        <v>496</v>
      </c>
      <c r="D14" s="16">
        <v>1920</v>
      </c>
      <c r="E14" s="16">
        <v>24</v>
      </c>
      <c r="G14" t="s">
        <v>4405</v>
      </c>
      <c r="H14" s="16">
        <v>2880</v>
      </c>
      <c r="I14" s="16"/>
      <c r="J14" s="16">
        <v>728</v>
      </c>
      <c r="K14" s="16"/>
      <c r="L14" s="16">
        <v>188</v>
      </c>
      <c r="M14" s="16">
        <v>1344</v>
      </c>
      <c r="N14" s="16">
        <v>5140</v>
      </c>
    </row>
    <row r="15" spans="1:14">
      <c r="B15" t="s">
        <v>4401</v>
      </c>
      <c r="C15" t="s">
        <v>292</v>
      </c>
      <c r="D15" s="16">
        <v>1440</v>
      </c>
      <c r="E15" s="16">
        <v>40</v>
      </c>
      <c r="G15" t="s">
        <v>4406</v>
      </c>
      <c r="H15" s="16"/>
      <c r="I15" s="16"/>
      <c r="J15" s="16">
        <v>5280</v>
      </c>
      <c r="K15" s="16"/>
      <c r="L15" s="16">
        <v>320</v>
      </c>
      <c r="M15" s="16"/>
      <c r="N15" s="16">
        <v>5600</v>
      </c>
    </row>
    <row r="16" spans="1:14">
      <c r="B16"/>
      <c r="C16" t="s">
        <v>4151</v>
      </c>
      <c r="D16" s="16">
        <v>2560</v>
      </c>
      <c r="E16" s="16">
        <v>32</v>
      </c>
      <c r="G16" t="s">
        <v>4407</v>
      </c>
      <c r="H16" s="16">
        <v>3726</v>
      </c>
      <c r="I16" s="16"/>
      <c r="J16" s="16">
        <v>420</v>
      </c>
      <c r="K16" s="16">
        <v>2600</v>
      </c>
      <c r="L16" s="16">
        <v>320</v>
      </c>
      <c r="M16" s="16">
        <v>2394</v>
      </c>
      <c r="N16" s="16">
        <v>9460</v>
      </c>
    </row>
    <row r="17" spans="1:14">
      <c r="B17" t="s">
        <v>4402</v>
      </c>
      <c r="C17" t="s">
        <v>4261</v>
      </c>
      <c r="D17" s="16">
        <v>360</v>
      </c>
      <c r="E17" s="16">
        <v>36</v>
      </c>
      <c r="G17" t="s">
        <v>4408</v>
      </c>
      <c r="H17" s="16">
        <v>3784</v>
      </c>
      <c r="I17" s="16"/>
      <c r="J17" s="16">
        <v>4482</v>
      </c>
      <c r="K17" s="16"/>
      <c r="L17" s="16">
        <v>1560</v>
      </c>
      <c r="M17" s="16"/>
      <c r="N17" s="16">
        <v>9826</v>
      </c>
    </row>
    <row r="18" spans="1:14">
      <c r="B18"/>
      <c r="C18" t="s">
        <v>1126</v>
      </c>
      <c r="D18" s="16">
        <v>3120</v>
      </c>
      <c r="E18" s="16">
        <v>20</v>
      </c>
      <c r="G18" t="s">
        <v>4409</v>
      </c>
      <c r="H18" s="16">
        <v>4190</v>
      </c>
      <c r="I18" s="16"/>
      <c r="J18" s="16"/>
      <c r="K18" s="16"/>
      <c r="L18" s="16"/>
      <c r="M18" s="16"/>
      <c r="N18" s="16">
        <v>4190</v>
      </c>
    </row>
    <row r="19" spans="1:14">
      <c r="B19" t="s">
        <v>4403</v>
      </c>
      <c r="C19" t="s">
        <v>1727</v>
      </c>
      <c r="D19" s="16">
        <v>640</v>
      </c>
      <c r="E19" s="16">
        <v>8</v>
      </c>
      <c r="G19" t="s">
        <v>4410</v>
      </c>
      <c r="H19" s="16">
        <v>34508</v>
      </c>
      <c r="I19" s="16">
        <v>5540</v>
      </c>
      <c r="J19" s="16">
        <v>18491</v>
      </c>
      <c r="K19" s="16">
        <v>9510</v>
      </c>
      <c r="L19" s="16">
        <v>16880</v>
      </c>
      <c r="M19" s="16">
        <v>8697</v>
      </c>
      <c r="N19" s="16">
        <v>93626</v>
      </c>
    </row>
    <row r="20" spans="1:14">
      <c r="B20" t="s">
        <v>4404</v>
      </c>
      <c r="C20" t="s">
        <v>2784</v>
      </c>
      <c r="D20" s="16">
        <v>440</v>
      </c>
      <c r="E20" s="16">
        <v>28</v>
      </c>
      <c r="H20"/>
      <c r="I20"/>
      <c r="J20"/>
      <c r="K20"/>
      <c r="L20"/>
      <c r="M20"/>
      <c r="N20"/>
    </row>
    <row r="21" spans="1:14">
      <c r="B21"/>
      <c r="C21" t="s">
        <v>3513</v>
      </c>
      <c r="D21" s="16">
        <v>144</v>
      </c>
      <c r="E21" s="16">
        <v>12</v>
      </c>
    </row>
    <row r="22" spans="1:14">
      <c r="B22" t="s">
        <v>4405</v>
      </c>
      <c r="C22" t="s">
        <v>4151</v>
      </c>
      <c r="D22" s="16">
        <v>2880</v>
      </c>
      <c r="E22" s="16">
        <v>36</v>
      </c>
    </row>
    <row r="23" spans="1:14">
      <c r="B23" t="s">
        <v>4407</v>
      </c>
      <c r="C23" t="s">
        <v>4177</v>
      </c>
      <c r="D23" s="16">
        <v>480</v>
      </c>
      <c r="E23" s="16">
        <v>30</v>
      </c>
    </row>
    <row r="24" spans="1:14">
      <c r="B24"/>
      <c r="C24" t="s">
        <v>274</v>
      </c>
      <c r="D24" s="16">
        <v>3072</v>
      </c>
      <c r="E24" s="16">
        <v>64</v>
      </c>
    </row>
    <row r="25" spans="1:14">
      <c r="B25"/>
      <c r="C25" t="s">
        <v>3513</v>
      </c>
      <c r="D25" s="16">
        <v>174</v>
      </c>
      <c r="E25" s="16">
        <v>15</v>
      </c>
    </row>
    <row r="26" spans="1:14">
      <c r="B26" t="s">
        <v>4408</v>
      </c>
      <c r="C26" t="s">
        <v>292</v>
      </c>
      <c r="D26" s="16">
        <v>2736</v>
      </c>
      <c r="E26" s="16">
        <v>76</v>
      </c>
      <c r="G26" s="15" t="s">
        <v>4415</v>
      </c>
      <c r="H26" s="15" t="s">
        <v>4413</v>
      </c>
      <c r="I26"/>
      <c r="J26"/>
      <c r="K26"/>
      <c r="L26"/>
      <c r="M26"/>
      <c r="N26"/>
    </row>
    <row r="27" spans="1:14">
      <c r="B27"/>
      <c r="C27" t="s">
        <v>3966</v>
      </c>
      <c r="D27" s="16">
        <v>960</v>
      </c>
      <c r="E27" s="16">
        <v>48</v>
      </c>
      <c r="G27" s="15" t="s">
        <v>4412</v>
      </c>
      <c r="H27" t="s">
        <v>4375</v>
      </c>
      <c r="I27" t="s">
        <v>4382</v>
      </c>
      <c r="J27" t="s">
        <v>4381</v>
      </c>
      <c r="K27" t="s">
        <v>4380</v>
      </c>
      <c r="L27" t="s">
        <v>4379</v>
      </c>
      <c r="M27" t="s">
        <v>4378</v>
      </c>
      <c r="N27" t="s">
        <v>4410</v>
      </c>
    </row>
    <row r="28" spans="1:14">
      <c r="B28"/>
      <c r="C28" t="s">
        <v>3307</v>
      </c>
      <c r="D28" s="16">
        <v>88</v>
      </c>
      <c r="E28" s="16">
        <v>8</v>
      </c>
      <c r="G28" t="s">
        <v>4396</v>
      </c>
      <c r="H28" s="16">
        <v>2</v>
      </c>
      <c r="I28" s="16"/>
      <c r="J28" s="16"/>
      <c r="K28" s="16"/>
      <c r="L28" s="16">
        <v>4</v>
      </c>
      <c r="M28" s="16"/>
      <c r="N28" s="16">
        <v>6</v>
      </c>
    </row>
    <row r="29" spans="1:14">
      <c r="B29" t="s">
        <v>4409</v>
      </c>
      <c r="C29" t="s">
        <v>1729</v>
      </c>
      <c r="D29" s="16">
        <v>270</v>
      </c>
      <c r="E29" s="16">
        <v>30</v>
      </c>
      <c r="G29" t="s">
        <v>4397</v>
      </c>
      <c r="H29" s="16">
        <v>48</v>
      </c>
      <c r="I29" s="16">
        <v>40</v>
      </c>
      <c r="J29" s="16"/>
      <c r="K29" s="16"/>
      <c r="L29" s="16"/>
      <c r="M29" s="16"/>
      <c r="N29" s="16">
        <v>88</v>
      </c>
    </row>
    <row r="30" spans="1:14">
      <c r="B30"/>
      <c r="C30" t="s">
        <v>3664</v>
      </c>
      <c r="D30" s="16">
        <v>3920</v>
      </c>
      <c r="E30" s="16">
        <v>28</v>
      </c>
      <c r="G30" t="s">
        <v>4398</v>
      </c>
      <c r="H30" s="16">
        <v>28</v>
      </c>
      <c r="I30" s="16"/>
      <c r="J30" s="16">
        <v>47</v>
      </c>
      <c r="K30" s="16">
        <v>48</v>
      </c>
      <c r="L30" s="16">
        <v>60</v>
      </c>
      <c r="M30" s="16"/>
      <c r="N30" s="16">
        <v>183</v>
      </c>
    </row>
    <row r="31" spans="1:14">
      <c r="A31" t="s">
        <v>4382</v>
      </c>
      <c r="B31" t="s">
        <v>4397</v>
      </c>
      <c r="C31" t="s">
        <v>292</v>
      </c>
      <c r="D31" s="16">
        <v>1440</v>
      </c>
      <c r="E31" s="16">
        <v>40</v>
      </c>
      <c r="G31" t="s">
        <v>4399</v>
      </c>
      <c r="H31" s="16">
        <v>63</v>
      </c>
      <c r="I31" s="16"/>
      <c r="J31" s="16"/>
      <c r="K31" s="16">
        <v>18</v>
      </c>
      <c r="L31" s="16">
        <v>68</v>
      </c>
      <c r="M31" s="16"/>
      <c r="N31" s="16">
        <v>149</v>
      </c>
    </row>
    <row r="32" spans="1:14">
      <c r="B32" t="s">
        <v>4404</v>
      </c>
      <c r="C32" t="s">
        <v>1729</v>
      </c>
      <c r="D32" s="16">
        <v>180</v>
      </c>
      <c r="E32" s="16">
        <v>20</v>
      </c>
      <c r="G32" t="s">
        <v>4400</v>
      </c>
      <c r="H32" s="16">
        <v>132</v>
      </c>
      <c r="I32" s="16"/>
      <c r="J32" s="16">
        <v>63</v>
      </c>
      <c r="K32" s="16">
        <v>46</v>
      </c>
      <c r="L32" s="16">
        <v>56</v>
      </c>
      <c r="M32" s="16">
        <v>40</v>
      </c>
      <c r="N32" s="16">
        <v>337</v>
      </c>
    </row>
    <row r="33" spans="1:14">
      <c r="B33"/>
      <c r="C33" t="s">
        <v>3664</v>
      </c>
      <c r="D33" s="16">
        <v>3920</v>
      </c>
      <c r="E33" s="16">
        <v>28</v>
      </c>
      <c r="G33" t="s">
        <v>4401</v>
      </c>
      <c r="H33" s="16">
        <v>72</v>
      </c>
      <c r="I33" s="16"/>
      <c r="J33" s="16">
        <v>24</v>
      </c>
      <c r="K33" s="16">
        <v>18</v>
      </c>
      <c r="L33" s="16">
        <v>18</v>
      </c>
      <c r="M33" s="16">
        <v>63</v>
      </c>
      <c r="N33" s="16">
        <v>195</v>
      </c>
    </row>
    <row r="34" spans="1:14">
      <c r="A34" t="s">
        <v>4381</v>
      </c>
      <c r="B34" t="s">
        <v>4398</v>
      </c>
      <c r="C34" t="s">
        <v>690</v>
      </c>
      <c r="D34" s="16">
        <v>320</v>
      </c>
      <c r="E34" s="16">
        <v>23</v>
      </c>
      <c r="G34" t="s">
        <v>4402</v>
      </c>
      <c r="H34" s="16">
        <v>56</v>
      </c>
      <c r="I34" s="16"/>
      <c r="J34" s="16"/>
      <c r="K34" s="16">
        <v>24</v>
      </c>
      <c r="L34" s="16"/>
      <c r="M34" s="16"/>
      <c r="N34" s="16">
        <v>80</v>
      </c>
    </row>
    <row r="35" spans="1:14">
      <c r="B35"/>
      <c r="C35" t="s">
        <v>3966</v>
      </c>
      <c r="D35" s="16">
        <v>480</v>
      </c>
      <c r="E35" s="16">
        <v>24</v>
      </c>
      <c r="G35" t="s">
        <v>4403</v>
      </c>
      <c r="H35" s="16">
        <v>8</v>
      </c>
      <c r="I35" s="16"/>
      <c r="J35" s="16">
        <v>17</v>
      </c>
      <c r="K35" s="16"/>
      <c r="L35" s="16">
        <v>26</v>
      </c>
      <c r="M35" s="16"/>
      <c r="N35" s="16">
        <v>51</v>
      </c>
    </row>
    <row r="36" spans="1:14">
      <c r="B36" t="s">
        <v>4400</v>
      </c>
      <c r="C36" t="s">
        <v>690</v>
      </c>
      <c r="D36" s="16">
        <v>320</v>
      </c>
      <c r="E36" s="16">
        <v>23</v>
      </c>
      <c r="G36" t="s">
        <v>4404</v>
      </c>
      <c r="H36" s="16">
        <v>40</v>
      </c>
      <c r="I36" s="16">
        <v>48</v>
      </c>
      <c r="J36" s="16">
        <v>67</v>
      </c>
      <c r="K36" s="16"/>
      <c r="L36" s="16">
        <v>120</v>
      </c>
      <c r="M36" s="16"/>
      <c r="N36" s="16">
        <v>275</v>
      </c>
    </row>
    <row r="37" spans="1:14">
      <c r="B37"/>
      <c r="C37" t="s">
        <v>292</v>
      </c>
      <c r="D37" s="16">
        <v>1440</v>
      </c>
      <c r="E37" s="16">
        <v>40</v>
      </c>
      <c r="G37" t="s">
        <v>4405</v>
      </c>
      <c r="H37" s="16">
        <v>36</v>
      </c>
      <c r="I37" s="16"/>
      <c r="J37" s="16">
        <v>61</v>
      </c>
      <c r="K37" s="16"/>
      <c r="L37" s="16">
        <v>16</v>
      </c>
      <c r="M37" s="16">
        <v>7</v>
      </c>
      <c r="N37" s="16">
        <v>120</v>
      </c>
    </row>
    <row r="38" spans="1:14">
      <c r="B38" t="s">
        <v>4401</v>
      </c>
      <c r="C38" t="s">
        <v>690</v>
      </c>
      <c r="D38" s="16">
        <v>320</v>
      </c>
      <c r="E38" s="16">
        <v>23</v>
      </c>
      <c r="G38" t="s">
        <v>4406</v>
      </c>
      <c r="H38" s="16"/>
      <c r="I38" s="16"/>
      <c r="J38" s="16">
        <v>108</v>
      </c>
      <c r="K38" s="16"/>
      <c r="L38" s="16">
        <v>4</v>
      </c>
      <c r="M38" s="16"/>
      <c r="N38" s="16">
        <v>112</v>
      </c>
    </row>
    <row r="39" spans="1:14">
      <c r="B39"/>
      <c r="C39" t="s">
        <v>1729</v>
      </c>
      <c r="D39" s="16">
        <v>9</v>
      </c>
      <c r="E39" s="16">
        <v>1</v>
      </c>
      <c r="G39" t="s">
        <v>4407</v>
      </c>
      <c r="H39" s="16">
        <v>109</v>
      </c>
      <c r="I39" s="16"/>
      <c r="J39" s="16">
        <v>27</v>
      </c>
      <c r="K39" s="16">
        <v>83</v>
      </c>
      <c r="L39" s="16">
        <v>23</v>
      </c>
      <c r="M39" s="16">
        <v>32</v>
      </c>
      <c r="N39" s="16">
        <v>274</v>
      </c>
    </row>
    <row r="40" spans="1:14">
      <c r="B40" t="s">
        <v>4403</v>
      </c>
      <c r="C40" t="s">
        <v>1305</v>
      </c>
      <c r="D40" s="16">
        <v>912</v>
      </c>
      <c r="E40" s="16">
        <v>5</v>
      </c>
      <c r="G40" t="s">
        <v>4408</v>
      </c>
      <c r="H40" s="16">
        <v>132</v>
      </c>
      <c r="I40" s="16"/>
      <c r="J40" s="16">
        <v>70</v>
      </c>
      <c r="K40" s="16"/>
      <c r="L40" s="16">
        <v>86</v>
      </c>
      <c r="M40" s="16"/>
      <c r="N40" s="16">
        <v>288</v>
      </c>
    </row>
    <row r="41" spans="1:14">
      <c r="B41"/>
      <c r="C41" t="s">
        <v>1727</v>
      </c>
      <c r="D41" s="16">
        <v>620</v>
      </c>
      <c r="E41" s="16">
        <v>8</v>
      </c>
      <c r="G41" t="s">
        <v>4409</v>
      </c>
      <c r="H41" s="16">
        <v>58</v>
      </c>
      <c r="I41" s="16"/>
      <c r="J41" s="16"/>
      <c r="K41" s="16"/>
      <c r="L41" s="16"/>
      <c r="M41" s="16"/>
      <c r="N41" s="16">
        <v>58</v>
      </c>
    </row>
    <row r="42" spans="1:14">
      <c r="B42"/>
      <c r="C42" t="s">
        <v>4151</v>
      </c>
      <c r="D42" s="16">
        <v>320</v>
      </c>
      <c r="E42" s="16">
        <v>4</v>
      </c>
      <c r="G42" t="s">
        <v>4410</v>
      </c>
      <c r="H42" s="16">
        <v>784</v>
      </c>
      <c r="I42" s="16">
        <v>88</v>
      </c>
      <c r="J42" s="16">
        <v>484</v>
      </c>
      <c r="K42" s="16">
        <v>237</v>
      </c>
      <c r="L42" s="16">
        <v>481</v>
      </c>
      <c r="M42" s="16">
        <v>142</v>
      </c>
      <c r="N42" s="16">
        <v>2216</v>
      </c>
    </row>
    <row r="43" spans="1:14">
      <c r="B43" t="s">
        <v>4404</v>
      </c>
      <c r="C43" t="s">
        <v>4261</v>
      </c>
      <c r="D43" s="16">
        <v>360</v>
      </c>
      <c r="E43" s="16">
        <v>36</v>
      </c>
      <c r="H43"/>
      <c r="I43"/>
      <c r="J43"/>
      <c r="K43"/>
      <c r="L43"/>
      <c r="M43"/>
      <c r="N43"/>
    </row>
    <row r="44" spans="1:14">
      <c r="B44"/>
      <c r="C44" t="s">
        <v>4151</v>
      </c>
      <c r="D44" s="16">
        <v>2480</v>
      </c>
      <c r="E44" s="16">
        <v>31</v>
      </c>
    </row>
    <row r="45" spans="1:14">
      <c r="B45" t="s">
        <v>4405</v>
      </c>
      <c r="C45" t="s">
        <v>3513</v>
      </c>
      <c r="D45" s="16">
        <v>576</v>
      </c>
      <c r="E45" s="16">
        <v>48</v>
      </c>
    </row>
    <row r="46" spans="1:14">
      <c r="B46"/>
      <c r="C46" t="s">
        <v>3307</v>
      </c>
      <c r="D46" s="16">
        <v>152</v>
      </c>
      <c r="E46" s="16">
        <v>13</v>
      </c>
    </row>
    <row r="47" spans="1:14">
      <c r="B47" t="s">
        <v>4406</v>
      </c>
      <c r="C47" t="s">
        <v>1305</v>
      </c>
      <c r="D47" s="16">
        <v>768</v>
      </c>
      <c r="E47" s="16">
        <v>4</v>
      </c>
    </row>
    <row r="48" spans="1:14">
      <c r="B48"/>
      <c r="C48" t="s">
        <v>292</v>
      </c>
      <c r="D48" s="16">
        <v>1440</v>
      </c>
      <c r="E48" s="16">
        <v>40</v>
      </c>
    </row>
    <row r="49" spans="1:5">
      <c r="B49"/>
      <c r="C49" t="s">
        <v>274</v>
      </c>
      <c r="D49" s="16">
        <v>3072</v>
      </c>
      <c r="E49" s="16">
        <v>64</v>
      </c>
    </row>
    <row r="50" spans="1:5">
      <c r="B50" t="s">
        <v>4407</v>
      </c>
      <c r="C50" t="s">
        <v>4177</v>
      </c>
      <c r="D50" s="16">
        <v>420</v>
      </c>
      <c r="E50" s="16">
        <v>27</v>
      </c>
    </row>
    <row r="51" spans="1:5">
      <c r="B51" t="s">
        <v>4408</v>
      </c>
      <c r="C51" t="s">
        <v>292</v>
      </c>
      <c r="D51" s="16">
        <v>1152</v>
      </c>
      <c r="E51" s="16">
        <v>32</v>
      </c>
    </row>
    <row r="52" spans="1:5">
      <c r="B52"/>
      <c r="C52" t="s">
        <v>3513</v>
      </c>
      <c r="D52" s="16">
        <v>210</v>
      </c>
      <c r="E52" s="16">
        <v>18</v>
      </c>
    </row>
    <row r="53" spans="1:5">
      <c r="B53"/>
      <c r="C53" t="s">
        <v>1126</v>
      </c>
      <c r="D53" s="16">
        <v>3120</v>
      </c>
      <c r="E53" s="16">
        <v>20</v>
      </c>
    </row>
    <row r="54" spans="1:5">
      <c r="A54" t="s">
        <v>4380</v>
      </c>
      <c r="B54" t="s">
        <v>4398</v>
      </c>
      <c r="C54" t="s">
        <v>3513</v>
      </c>
      <c r="D54" s="16">
        <v>576</v>
      </c>
      <c r="E54" s="16">
        <v>48</v>
      </c>
    </row>
    <row r="55" spans="1:5">
      <c r="B55" t="s">
        <v>4399</v>
      </c>
      <c r="C55" t="s">
        <v>274</v>
      </c>
      <c r="D55" s="16">
        <v>864</v>
      </c>
      <c r="E55" s="16">
        <v>18</v>
      </c>
    </row>
    <row r="56" spans="1:5">
      <c r="B56" t="s">
        <v>4400</v>
      </c>
      <c r="C56" t="s">
        <v>274</v>
      </c>
      <c r="D56" s="16">
        <v>2208</v>
      </c>
      <c r="E56" s="16">
        <v>46</v>
      </c>
    </row>
    <row r="57" spans="1:5">
      <c r="B57" t="s">
        <v>4401</v>
      </c>
      <c r="C57" t="s">
        <v>1126</v>
      </c>
      <c r="D57" s="16">
        <v>2782</v>
      </c>
      <c r="E57" s="16">
        <v>18</v>
      </c>
    </row>
    <row r="58" spans="1:5">
      <c r="B58" t="s">
        <v>4402</v>
      </c>
      <c r="C58" t="s">
        <v>3966</v>
      </c>
      <c r="D58" s="16">
        <v>480</v>
      </c>
      <c r="E58" s="16">
        <v>24</v>
      </c>
    </row>
    <row r="59" spans="1:5">
      <c r="B59" t="s">
        <v>4407</v>
      </c>
      <c r="C59" t="s">
        <v>690</v>
      </c>
      <c r="D59" s="16">
        <v>320</v>
      </c>
      <c r="E59" s="16">
        <v>23</v>
      </c>
    </row>
    <row r="60" spans="1:5">
      <c r="B60"/>
      <c r="C60" t="s">
        <v>4261</v>
      </c>
      <c r="D60" s="16">
        <v>360</v>
      </c>
      <c r="E60" s="16">
        <v>36</v>
      </c>
    </row>
    <row r="61" spans="1:5">
      <c r="B61"/>
      <c r="C61" t="s">
        <v>496</v>
      </c>
      <c r="D61" s="16">
        <v>1920</v>
      </c>
      <c r="E61" s="16">
        <v>24</v>
      </c>
    </row>
    <row r="62" spans="1:5">
      <c r="A62" t="s">
        <v>4379</v>
      </c>
      <c r="B62" t="s">
        <v>4396</v>
      </c>
      <c r="C62" t="s">
        <v>3966</v>
      </c>
      <c r="D62" s="16">
        <v>40</v>
      </c>
      <c r="E62" s="16">
        <v>2</v>
      </c>
    </row>
    <row r="63" spans="1:5">
      <c r="B63"/>
      <c r="C63" t="s">
        <v>3513</v>
      </c>
      <c r="D63" s="16">
        <v>24</v>
      </c>
      <c r="E63" s="16">
        <v>2</v>
      </c>
    </row>
    <row r="64" spans="1:5">
      <c r="B64" t="s">
        <v>4398</v>
      </c>
      <c r="C64" t="s">
        <v>690</v>
      </c>
      <c r="D64" s="16">
        <v>320</v>
      </c>
      <c r="E64" s="16">
        <v>23</v>
      </c>
    </row>
    <row r="65" spans="2:5">
      <c r="B65"/>
      <c r="C65" t="s">
        <v>292</v>
      </c>
      <c r="D65" s="16">
        <v>1332</v>
      </c>
      <c r="E65" s="16">
        <v>37</v>
      </c>
    </row>
    <row r="66" spans="2:5">
      <c r="B66" t="s">
        <v>4399</v>
      </c>
      <c r="C66" t="s">
        <v>2784</v>
      </c>
      <c r="D66" s="16">
        <v>440</v>
      </c>
      <c r="E66" s="16">
        <v>28</v>
      </c>
    </row>
    <row r="67" spans="2:5">
      <c r="B67"/>
      <c r="C67" t="s">
        <v>292</v>
      </c>
      <c r="D67" s="16">
        <v>1440</v>
      </c>
      <c r="E67" s="16">
        <v>40</v>
      </c>
    </row>
    <row r="68" spans="2:5">
      <c r="B68" t="s">
        <v>4400</v>
      </c>
      <c r="C68" t="s">
        <v>1305</v>
      </c>
      <c r="D68" s="16">
        <v>3840</v>
      </c>
      <c r="E68" s="16">
        <v>20</v>
      </c>
    </row>
    <row r="69" spans="2:5">
      <c r="B69"/>
      <c r="C69" t="s">
        <v>4151</v>
      </c>
      <c r="D69" s="16">
        <v>2880</v>
      </c>
      <c r="E69" s="16">
        <v>36</v>
      </c>
    </row>
    <row r="70" spans="2:5">
      <c r="B70" t="s">
        <v>4401</v>
      </c>
      <c r="C70" t="s">
        <v>496</v>
      </c>
      <c r="D70" s="16">
        <v>1440</v>
      </c>
      <c r="E70" s="16">
        <v>18</v>
      </c>
    </row>
    <row r="71" spans="2:5">
      <c r="B71" t="s">
        <v>4403</v>
      </c>
      <c r="C71" t="s">
        <v>1729</v>
      </c>
      <c r="D71" s="16">
        <v>234</v>
      </c>
      <c r="E71" s="16">
        <v>26</v>
      </c>
    </row>
    <row r="72" spans="2:5">
      <c r="B72" t="s">
        <v>4404</v>
      </c>
      <c r="C72" t="s">
        <v>690</v>
      </c>
      <c r="D72" s="16">
        <v>320</v>
      </c>
      <c r="E72" s="16">
        <v>23</v>
      </c>
    </row>
    <row r="73" spans="2:5">
      <c r="B73"/>
      <c r="C73" t="s">
        <v>292</v>
      </c>
      <c r="D73" s="16">
        <v>1260</v>
      </c>
      <c r="E73" s="16">
        <v>35</v>
      </c>
    </row>
    <row r="74" spans="2:5">
      <c r="B74"/>
      <c r="C74" t="s">
        <v>3966</v>
      </c>
      <c r="D74" s="16">
        <v>460</v>
      </c>
      <c r="E74" s="16">
        <v>23</v>
      </c>
    </row>
    <row r="75" spans="2:5">
      <c r="B75"/>
      <c r="C75" t="s">
        <v>3513</v>
      </c>
      <c r="D75" s="16">
        <v>462</v>
      </c>
      <c r="E75" s="16">
        <v>39</v>
      </c>
    </row>
    <row r="76" spans="2:5">
      <c r="B76" t="s">
        <v>4405</v>
      </c>
      <c r="C76" t="s">
        <v>3307</v>
      </c>
      <c r="D76" s="16">
        <v>188</v>
      </c>
      <c r="E76" s="16">
        <v>16</v>
      </c>
    </row>
    <row r="77" spans="2:5">
      <c r="B77" t="s">
        <v>4406</v>
      </c>
      <c r="C77" t="s">
        <v>1727</v>
      </c>
      <c r="D77" s="16">
        <v>320</v>
      </c>
      <c r="E77" s="16">
        <v>4</v>
      </c>
    </row>
    <row r="78" spans="2:5">
      <c r="B78" t="s">
        <v>4407</v>
      </c>
      <c r="C78" t="s">
        <v>690</v>
      </c>
      <c r="D78" s="16">
        <v>320</v>
      </c>
      <c r="E78" s="16">
        <v>23</v>
      </c>
    </row>
    <row r="79" spans="2:5">
      <c r="B79" t="s">
        <v>4408</v>
      </c>
      <c r="C79" t="s">
        <v>4261</v>
      </c>
      <c r="D79" s="16">
        <v>360</v>
      </c>
      <c r="E79" s="16">
        <v>36</v>
      </c>
    </row>
    <row r="80" spans="2:5">
      <c r="B80"/>
      <c r="C80" t="s">
        <v>292</v>
      </c>
      <c r="D80" s="16">
        <v>720</v>
      </c>
      <c r="E80" s="16">
        <v>20</v>
      </c>
    </row>
    <row r="81" spans="1:5">
      <c r="B81"/>
      <c r="C81" t="s">
        <v>4177</v>
      </c>
      <c r="D81" s="16">
        <v>480</v>
      </c>
      <c r="E81" s="16">
        <v>30</v>
      </c>
    </row>
    <row r="82" spans="1:5">
      <c r="A82" t="s">
        <v>4378</v>
      </c>
      <c r="B82" t="s">
        <v>4400</v>
      </c>
      <c r="C82" t="s">
        <v>1727</v>
      </c>
      <c r="D82" s="16">
        <v>640</v>
      </c>
      <c r="E82" s="16">
        <v>8</v>
      </c>
    </row>
    <row r="83" spans="1:5">
      <c r="B83"/>
      <c r="C83" t="s">
        <v>4151</v>
      </c>
      <c r="D83" s="16">
        <v>2560</v>
      </c>
      <c r="E83" s="16">
        <v>32</v>
      </c>
    </row>
    <row r="84" spans="1:5">
      <c r="B84" t="s">
        <v>4401</v>
      </c>
      <c r="C84" t="s">
        <v>690</v>
      </c>
      <c r="D84" s="16">
        <v>319</v>
      </c>
      <c r="E84" s="16">
        <v>23</v>
      </c>
    </row>
    <row r="85" spans="1:5">
      <c r="B85"/>
      <c r="C85" t="s">
        <v>292</v>
      </c>
      <c r="D85" s="16">
        <v>1440</v>
      </c>
      <c r="E85" s="16">
        <v>40</v>
      </c>
    </row>
    <row r="86" spans="1:5">
      <c r="B86" t="s">
        <v>4405</v>
      </c>
      <c r="C86" t="s">
        <v>1305</v>
      </c>
      <c r="D86" s="16">
        <v>1344</v>
      </c>
      <c r="E86" s="16">
        <v>7</v>
      </c>
    </row>
    <row r="87" spans="1:5">
      <c r="B87" t="s">
        <v>4407</v>
      </c>
      <c r="C87" t="s">
        <v>1305</v>
      </c>
      <c r="D87" s="16">
        <v>2160</v>
      </c>
      <c r="E87" s="16">
        <v>12</v>
      </c>
    </row>
    <row r="88" spans="1:5">
      <c r="B88"/>
      <c r="C88" t="s">
        <v>3513</v>
      </c>
      <c r="D88" s="16">
        <v>234</v>
      </c>
      <c r="E88" s="16">
        <v>20</v>
      </c>
    </row>
    <row r="89" spans="1:5">
      <c r="A89" t="s">
        <v>4410</v>
      </c>
      <c r="B89"/>
      <c r="D89" s="16">
        <v>93626</v>
      </c>
      <c r="E89" s="16">
        <v>2216</v>
      </c>
    </row>
    <row r="90" spans="1:5">
      <c r="B90"/>
    </row>
    <row r="91" spans="1:5">
      <c r="B91"/>
    </row>
    <row r="92" spans="1:5">
      <c r="B92"/>
    </row>
    <row r="93" spans="1:5">
      <c r="B93"/>
    </row>
    <row r="94" spans="1:5">
      <c r="B94"/>
    </row>
    <row r="95" spans="1:5">
      <c r="B95"/>
    </row>
    <row r="96" spans="1:5">
      <c r="B96"/>
    </row>
    <row r="97" spans="2:2">
      <c r="B97"/>
    </row>
    <row r="98" spans="2:2">
      <c r="B98"/>
    </row>
    <row r="99" spans="2:2">
      <c r="B99"/>
    </row>
    <row r="100" spans="2:2">
      <c r="B100"/>
    </row>
    <row r="101" spans="2:2">
      <c r="B101"/>
    </row>
    <row r="102" spans="2:2">
      <c r="B102"/>
    </row>
    <row r="103" spans="2:2">
      <c r="B103"/>
    </row>
    <row r="104" spans="2:2">
      <c r="B104"/>
    </row>
    <row r="105" spans="2:2">
      <c r="B105"/>
    </row>
    <row r="106" spans="2:2">
      <c r="B106"/>
    </row>
    <row r="107" spans="2:2">
      <c r="B107"/>
    </row>
    <row r="108" spans="2:2">
      <c r="B108"/>
    </row>
    <row r="109" spans="2:2">
      <c r="B109"/>
    </row>
    <row r="110" spans="2:2">
      <c r="B110"/>
    </row>
    <row r="111" spans="2:2">
      <c r="B111"/>
    </row>
    <row r="112" spans="2:2">
      <c r="B112"/>
    </row>
    <row r="113" spans="2:2">
      <c r="B113"/>
    </row>
    <row r="114" spans="2:2">
      <c r="B114"/>
    </row>
    <row r="115" spans="2:2">
      <c r="B115"/>
    </row>
    <row r="116" spans="2:2">
      <c r="B116"/>
    </row>
    <row r="117" spans="2:2">
      <c r="B117"/>
    </row>
    <row r="118" spans="2:2">
      <c r="B118"/>
    </row>
    <row r="119" spans="2:2">
      <c r="B119"/>
    </row>
    <row r="120" spans="2:2">
      <c r="B120"/>
    </row>
    <row r="121" spans="2:2">
      <c r="B121"/>
    </row>
    <row r="122" spans="2:2">
      <c r="B122"/>
    </row>
    <row r="123" spans="2:2">
      <c r="B123"/>
    </row>
    <row r="124" spans="2:2">
      <c r="B124"/>
    </row>
    <row r="125" spans="2:2">
      <c r="B125"/>
    </row>
    <row r="126" spans="2:2">
      <c r="B126"/>
    </row>
    <row r="127" spans="2:2">
      <c r="B127"/>
    </row>
    <row r="128" spans="2:2">
      <c r="B128"/>
    </row>
    <row r="129" spans="2:2">
      <c r="B129"/>
    </row>
    <row r="130" spans="2:2">
      <c r="B130"/>
    </row>
    <row r="131" spans="2:2">
      <c r="B131"/>
    </row>
    <row r="132" spans="2:2">
      <c r="B132"/>
    </row>
    <row r="133" spans="2:2">
      <c r="B133"/>
    </row>
    <row r="134" spans="2:2">
      <c r="B134"/>
    </row>
    <row r="135" spans="2:2">
      <c r="B135"/>
    </row>
    <row r="136" spans="2:2">
      <c r="B136"/>
    </row>
    <row r="137" spans="2:2">
      <c r="B137"/>
    </row>
    <row r="138" spans="2:2">
      <c r="B138"/>
    </row>
    <row r="139" spans="2:2">
      <c r="B139"/>
    </row>
    <row r="140" spans="2:2">
      <c r="B140"/>
    </row>
    <row r="141" spans="2:2">
      <c r="B141"/>
    </row>
    <row r="142" spans="2:2">
      <c r="B142"/>
    </row>
    <row r="143" spans="2:2">
      <c r="B143"/>
    </row>
    <row r="144" spans="2:2">
      <c r="B144"/>
    </row>
    <row r="145" spans="2:2">
      <c r="B145"/>
    </row>
    <row r="146" spans="2:2">
      <c r="B146"/>
    </row>
    <row r="147" spans="2:2">
      <c r="B147"/>
    </row>
    <row r="148" spans="2:2">
      <c r="B148"/>
    </row>
    <row r="149" spans="2:2">
      <c r="B149"/>
    </row>
    <row r="150" spans="2:2">
      <c r="B150"/>
    </row>
    <row r="151" spans="2:2">
      <c r="B151"/>
    </row>
    <row r="152" spans="2:2">
      <c r="B152"/>
    </row>
    <row r="153" spans="2:2">
      <c r="B153"/>
    </row>
    <row r="154" spans="2:2">
      <c r="B154"/>
    </row>
    <row r="155" spans="2:2">
      <c r="B155"/>
    </row>
    <row r="156" spans="2:2">
      <c r="B156"/>
    </row>
    <row r="157" spans="2:2">
      <c r="B157"/>
    </row>
    <row r="158" spans="2:2">
      <c r="B158"/>
    </row>
    <row r="159" spans="2:2">
      <c r="B159"/>
    </row>
    <row r="160" spans="2:2">
      <c r="B160"/>
    </row>
    <row r="161" spans="2:2">
      <c r="B161"/>
    </row>
    <row r="162" spans="2:2">
      <c r="B162"/>
    </row>
    <row r="163" spans="2:2">
      <c r="B163"/>
    </row>
    <row r="164" spans="2:2">
      <c r="B164"/>
    </row>
    <row r="165" spans="2:2">
      <c r="B165"/>
    </row>
    <row r="166" spans="2:2">
      <c r="B166"/>
    </row>
    <row r="167" spans="2:2">
      <c r="B167"/>
    </row>
    <row r="168" spans="2:2">
      <c r="B168"/>
    </row>
    <row r="169" spans="2:2">
      <c r="B169"/>
    </row>
    <row r="170" spans="2:2">
      <c r="B170"/>
    </row>
    <row r="171" spans="2:2">
      <c r="B171"/>
    </row>
    <row r="172" spans="2:2">
      <c r="B172"/>
    </row>
    <row r="173" spans="2:2">
      <c r="B173"/>
    </row>
    <row r="174" spans="2:2">
      <c r="B174"/>
    </row>
    <row r="175" spans="2:2">
      <c r="B175"/>
    </row>
    <row r="176" spans="2:2">
      <c r="B176"/>
    </row>
    <row r="177" spans="2:2">
      <c r="B177"/>
    </row>
    <row r="178" spans="2:2">
      <c r="B178"/>
    </row>
    <row r="179" spans="2:2">
      <c r="B179"/>
    </row>
    <row r="180" spans="2:2">
      <c r="B180"/>
    </row>
    <row r="181" spans="2:2">
      <c r="B181"/>
    </row>
    <row r="182" spans="2:2">
      <c r="B182"/>
    </row>
    <row r="183" spans="2:2">
      <c r="B183"/>
    </row>
    <row r="184" spans="2:2">
      <c r="B184"/>
    </row>
    <row r="185" spans="2:2">
      <c r="B185"/>
    </row>
    <row r="186" spans="2:2">
      <c r="B186"/>
    </row>
    <row r="187" spans="2:2">
      <c r="B187"/>
    </row>
    <row r="188" spans="2:2">
      <c r="B188"/>
    </row>
    <row r="189" spans="2:2">
      <c r="B189"/>
    </row>
    <row r="190" spans="2:2">
      <c r="B190"/>
    </row>
    <row r="191" spans="2:2">
      <c r="B191"/>
    </row>
    <row r="192" spans="2:2">
      <c r="B192"/>
    </row>
    <row r="193" spans="2:2">
      <c r="B193"/>
    </row>
    <row r="194" spans="2:2">
      <c r="B194"/>
    </row>
    <row r="195" spans="2:2">
      <c r="B195"/>
    </row>
    <row r="196" spans="2:2">
      <c r="B196"/>
    </row>
    <row r="197" spans="2:2">
      <c r="B197"/>
    </row>
    <row r="198" spans="2:2">
      <c r="B198"/>
    </row>
    <row r="199" spans="2:2">
      <c r="B199"/>
    </row>
    <row r="200" spans="2:2">
      <c r="B200"/>
    </row>
    <row r="201" spans="2:2">
      <c r="B201"/>
    </row>
    <row r="202" spans="2:2">
      <c r="B202"/>
    </row>
    <row r="203" spans="2:2">
      <c r="B203"/>
    </row>
    <row r="204" spans="2:2">
      <c r="B204"/>
    </row>
    <row r="205" spans="2:2">
      <c r="B205"/>
    </row>
    <row r="206" spans="2:2">
      <c r="B206"/>
    </row>
    <row r="207" spans="2:2">
      <c r="B207"/>
    </row>
    <row r="208" spans="2:2">
      <c r="B208"/>
    </row>
    <row r="209" spans="2:2">
      <c r="B209"/>
    </row>
    <row r="210" spans="2:2">
      <c r="B210"/>
    </row>
    <row r="211" spans="2:2">
      <c r="B211"/>
    </row>
    <row r="212" spans="2:2">
      <c r="B212"/>
    </row>
    <row r="213" spans="2:2">
      <c r="B213"/>
    </row>
    <row r="214" spans="2:2">
      <c r="B214"/>
    </row>
    <row r="215" spans="2:2">
      <c r="B215"/>
    </row>
    <row r="216" spans="2:2">
      <c r="B216"/>
    </row>
    <row r="217" spans="2:2">
      <c r="B217"/>
    </row>
    <row r="218" spans="2:2">
      <c r="B218"/>
    </row>
    <row r="219" spans="2:2">
      <c r="B219"/>
    </row>
    <row r="220" spans="2:2">
      <c r="B220"/>
    </row>
    <row r="221" spans="2:2">
      <c r="B221"/>
    </row>
    <row r="222" spans="2:2">
      <c r="B222"/>
    </row>
    <row r="223" spans="2:2">
      <c r="B223"/>
    </row>
    <row r="224" spans="2:2">
      <c r="B224"/>
    </row>
    <row r="225" spans="2:2">
      <c r="B225"/>
    </row>
    <row r="226" spans="2:2">
      <c r="B226"/>
    </row>
    <row r="227" spans="2:2">
      <c r="B227"/>
    </row>
    <row r="228" spans="2:2">
      <c r="B228"/>
    </row>
    <row r="229" spans="2:2">
      <c r="B229"/>
    </row>
    <row r="230" spans="2:2">
      <c r="B230"/>
    </row>
    <row r="231" spans="2:2">
      <c r="B231"/>
    </row>
    <row r="232" spans="2:2">
      <c r="B232"/>
    </row>
    <row r="233" spans="2:2">
      <c r="B233"/>
    </row>
    <row r="234" spans="2:2">
      <c r="B234"/>
    </row>
    <row r="235" spans="2:2">
      <c r="B235"/>
    </row>
    <row r="236" spans="2:2">
      <c r="B236"/>
    </row>
    <row r="237" spans="2:2">
      <c r="B237"/>
    </row>
    <row r="238" spans="2:2">
      <c r="B238"/>
    </row>
    <row r="239" spans="2:2">
      <c r="B239"/>
    </row>
    <row r="240" spans="2:2">
      <c r="B240"/>
    </row>
    <row r="241" spans="2:2">
      <c r="B241"/>
    </row>
    <row r="242" spans="2:2">
      <c r="B242"/>
    </row>
    <row r="243" spans="2:2">
      <c r="B243"/>
    </row>
    <row r="244" spans="2:2">
      <c r="B244"/>
    </row>
    <row r="245" spans="2:2">
      <c r="B245"/>
    </row>
    <row r="246" spans="2:2">
      <c r="B246"/>
    </row>
    <row r="247" spans="2:2">
      <c r="B247"/>
    </row>
    <row r="248" spans="2:2">
      <c r="B248"/>
    </row>
    <row r="249" spans="2:2">
      <c r="B249"/>
    </row>
    <row r="250" spans="2:2">
      <c r="B250"/>
    </row>
    <row r="251" spans="2:2">
      <c r="B251"/>
    </row>
    <row r="252" spans="2:2">
      <c r="B252"/>
    </row>
    <row r="253" spans="2:2">
      <c r="B253"/>
    </row>
    <row r="254" spans="2:2">
      <c r="B254"/>
    </row>
    <row r="255" spans="2:2">
      <c r="B255"/>
    </row>
    <row r="256" spans="2:2">
      <c r="B256"/>
    </row>
    <row r="257" spans="2:2">
      <c r="B257"/>
    </row>
    <row r="258" spans="2:2">
      <c r="B258"/>
    </row>
    <row r="259" spans="2:2">
      <c r="B259"/>
    </row>
    <row r="260" spans="2:2">
      <c r="B260"/>
    </row>
    <row r="261" spans="2:2">
      <c r="B261"/>
    </row>
    <row r="262" spans="2:2">
      <c r="B262"/>
    </row>
    <row r="263" spans="2:2">
      <c r="B263"/>
    </row>
    <row r="264" spans="2:2">
      <c r="B264"/>
    </row>
    <row r="265" spans="2:2">
      <c r="B265"/>
    </row>
    <row r="266" spans="2:2">
      <c r="B266"/>
    </row>
    <row r="267" spans="2:2">
      <c r="B267"/>
    </row>
    <row r="268" spans="2:2">
      <c r="B268"/>
    </row>
    <row r="269" spans="2:2">
      <c r="B269"/>
    </row>
    <row r="270" spans="2:2">
      <c r="B270"/>
    </row>
    <row r="271" spans="2:2">
      <c r="B271"/>
    </row>
    <row r="272" spans="2:2">
      <c r="B272"/>
    </row>
    <row r="273" spans="2:2">
      <c r="B273"/>
    </row>
    <row r="274" spans="2:2">
      <c r="B274"/>
    </row>
    <row r="275" spans="2:2">
      <c r="B275"/>
    </row>
    <row r="276" spans="2:2">
      <c r="B276"/>
    </row>
    <row r="277" spans="2:2">
      <c r="B277"/>
    </row>
    <row r="278" spans="2:2">
      <c r="B278"/>
    </row>
    <row r="279" spans="2:2">
      <c r="B279"/>
    </row>
    <row r="280" spans="2:2">
      <c r="B280"/>
    </row>
    <row r="281" spans="2:2">
      <c r="B281"/>
    </row>
    <row r="282" spans="2:2">
      <c r="B282"/>
    </row>
    <row r="283" spans="2:2">
      <c r="B283"/>
    </row>
    <row r="284" spans="2:2">
      <c r="B284"/>
    </row>
    <row r="285" spans="2:2">
      <c r="B285"/>
    </row>
    <row r="286" spans="2:2">
      <c r="B286"/>
    </row>
    <row r="287" spans="2:2">
      <c r="B287"/>
    </row>
    <row r="288" spans="2:2">
      <c r="B288"/>
    </row>
    <row r="289" spans="2:2">
      <c r="B289"/>
    </row>
    <row r="290" spans="2:2">
      <c r="B290"/>
    </row>
    <row r="291" spans="2:2">
      <c r="B291"/>
    </row>
    <row r="292" spans="2:2">
      <c r="B292"/>
    </row>
    <row r="293" spans="2:2">
      <c r="B293"/>
    </row>
    <row r="294" spans="2:2">
      <c r="B294"/>
    </row>
    <row r="295" spans="2:2">
      <c r="B295"/>
    </row>
    <row r="296" spans="2:2">
      <c r="B296"/>
    </row>
    <row r="297" spans="2:2">
      <c r="B297"/>
    </row>
    <row r="298" spans="2:2">
      <c r="B298"/>
    </row>
    <row r="299" spans="2:2">
      <c r="B299"/>
    </row>
    <row r="300" spans="2:2">
      <c r="B300"/>
    </row>
    <row r="301" spans="2:2">
      <c r="B301"/>
    </row>
    <row r="302" spans="2:2">
      <c r="B302"/>
    </row>
    <row r="303" spans="2:2">
      <c r="B303"/>
    </row>
    <row r="304" spans="2:2">
      <c r="B304"/>
    </row>
    <row r="305" spans="2:2">
      <c r="B305"/>
    </row>
    <row r="306" spans="2:2">
      <c r="B306"/>
    </row>
    <row r="307" spans="2:2">
      <c r="B307"/>
    </row>
    <row r="308" spans="2:2">
      <c r="B308"/>
    </row>
    <row r="309" spans="2:2">
      <c r="B309"/>
    </row>
    <row r="310" spans="2:2">
      <c r="B310"/>
    </row>
    <row r="311" spans="2:2">
      <c r="B311"/>
    </row>
    <row r="312" spans="2:2">
      <c r="B312"/>
    </row>
    <row r="313" spans="2:2">
      <c r="B313"/>
    </row>
    <row r="314" spans="2:2">
      <c r="B314"/>
    </row>
    <row r="315" spans="2:2">
      <c r="B315"/>
    </row>
    <row r="316" spans="2:2">
      <c r="B316"/>
    </row>
    <row r="317" spans="2:2">
      <c r="B317"/>
    </row>
    <row r="318" spans="2:2">
      <c r="B318"/>
    </row>
    <row r="319" spans="2:2">
      <c r="B319"/>
    </row>
    <row r="320" spans="2:2">
      <c r="B320"/>
    </row>
    <row r="321" spans="2:2">
      <c r="B321"/>
    </row>
    <row r="322" spans="2:2">
      <c r="B322"/>
    </row>
    <row r="323" spans="2:2">
      <c r="B323"/>
    </row>
    <row r="324" spans="2:2">
      <c r="B324"/>
    </row>
    <row r="325" spans="2:2">
      <c r="B325"/>
    </row>
    <row r="326" spans="2:2">
      <c r="B326"/>
    </row>
    <row r="327" spans="2:2">
      <c r="B327"/>
    </row>
    <row r="328" spans="2:2">
      <c r="B328"/>
    </row>
    <row r="329" spans="2:2">
      <c r="B329"/>
    </row>
    <row r="330" spans="2:2">
      <c r="B330"/>
    </row>
    <row r="331" spans="2:2">
      <c r="B331"/>
    </row>
    <row r="332" spans="2:2">
      <c r="B332"/>
    </row>
    <row r="333" spans="2:2">
      <c r="B333"/>
    </row>
    <row r="334" spans="2:2">
      <c r="B334"/>
    </row>
    <row r="335" spans="2:2">
      <c r="B335"/>
    </row>
    <row r="336" spans="2:2">
      <c r="B336"/>
    </row>
    <row r="337" spans="2:2">
      <c r="B337"/>
    </row>
    <row r="338" spans="2:2">
      <c r="B338"/>
    </row>
    <row r="339" spans="2:2">
      <c r="B339"/>
    </row>
    <row r="340" spans="2:2">
      <c r="B340"/>
    </row>
    <row r="341" spans="2:2">
      <c r="B341"/>
    </row>
    <row r="342" spans="2:2">
      <c r="B342"/>
    </row>
    <row r="343" spans="2:2">
      <c r="B343"/>
    </row>
    <row r="344" spans="2:2">
      <c r="B344"/>
    </row>
    <row r="345" spans="2:2">
      <c r="B345"/>
    </row>
    <row r="346" spans="2:2">
      <c r="B346"/>
    </row>
    <row r="347" spans="2:2">
      <c r="B347"/>
    </row>
    <row r="348" spans="2:2">
      <c r="B348"/>
    </row>
    <row r="349" spans="2:2">
      <c r="B349"/>
    </row>
    <row r="350" spans="2:2">
      <c r="B350"/>
    </row>
    <row r="351" spans="2:2">
      <c r="B351"/>
    </row>
    <row r="352" spans="2:2">
      <c r="B352"/>
    </row>
    <row r="353" spans="2:2">
      <c r="B353"/>
    </row>
    <row r="354" spans="2:2">
      <c r="B354"/>
    </row>
    <row r="355" spans="2:2">
      <c r="B355"/>
    </row>
    <row r="356" spans="2:2">
      <c r="B356"/>
    </row>
    <row r="357" spans="2:2">
      <c r="B357"/>
    </row>
    <row r="358" spans="2:2">
      <c r="B358"/>
    </row>
    <row r="359" spans="2:2">
      <c r="B359"/>
    </row>
    <row r="360" spans="2:2">
      <c r="B360"/>
    </row>
    <row r="361" spans="2:2">
      <c r="B361"/>
    </row>
    <row r="362" spans="2:2">
      <c r="B362"/>
    </row>
    <row r="363" spans="2:2">
      <c r="B363"/>
    </row>
    <row r="364" spans="2:2">
      <c r="B364"/>
    </row>
    <row r="365" spans="2:2">
      <c r="B365"/>
    </row>
    <row r="366" spans="2:2">
      <c r="B366"/>
    </row>
    <row r="367" spans="2:2">
      <c r="B367"/>
    </row>
    <row r="368" spans="2:2">
      <c r="B368"/>
    </row>
    <row r="369" spans="2:2">
      <c r="B369"/>
    </row>
    <row r="370" spans="2:2">
      <c r="B370"/>
    </row>
    <row r="371" spans="2:2">
      <c r="B371"/>
    </row>
    <row r="372" spans="2:2">
      <c r="B372"/>
    </row>
    <row r="373" spans="2:2">
      <c r="B373"/>
    </row>
    <row r="374" spans="2:2">
      <c r="B374"/>
    </row>
    <row r="375" spans="2:2">
      <c r="B375"/>
    </row>
    <row r="376" spans="2:2">
      <c r="B376"/>
    </row>
    <row r="377" spans="2:2">
      <c r="B377"/>
    </row>
    <row r="378" spans="2:2">
      <c r="B378"/>
    </row>
    <row r="379" spans="2:2">
      <c r="B379"/>
    </row>
    <row r="380" spans="2:2">
      <c r="B380"/>
    </row>
    <row r="381" spans="2:2">
      <c r="B381"/>
    </row>
    <row r="382" spans="2:2">
      <c r="B382"/>
    </row>
    <row r="383" spans="2:2">
      <c r="B383"/>
    </row>
    <row r="384" spans="2:2">
      <c r="B384"/>
    </row>
    <row r="385" spans="2:2">
      <c r="B385"/>
    </row>
    <row r="386" spans="2:2">
      <c r="B386"/>
    </row>
    <row r="387" spans="2:2">
      <c r="B387"/>
    </row>
    <row r="388" spans="2:2">
      <c r="B388"/>
    </row>
    <row r="389" spans="2:2">
      <c r="B389"/>
    </row>
    <row r="390" spans="2:2">
      <c r="B390"/>
    </row>
    <row r="391" spans="2:2">
      <c r="B391"/>
    </row>
    <row r="392" spans="2:2">
      <c r="B392"/>
    </row>
    <row r="393" spans="2:2">
      <c r="B393"/>
    </row>
    <row r="394" spans="2:2">
      <c r="B394"/>
    </row>
    <row r="395" spans="2:2">
      <c r="B395"/>
    </row>
    <row r="396" spans="2:2">
      <c r="B396"/>
    </row>
    <row r="397" spans="2:2">
      <c r="B397"/>
    </row>
    <row r="398" spans="2:2">
      <c r="B398"/>
    </row>
    <row r="399" spans="2:2">
      <c r="B399"/>
    </row>
    <row r="400" spans="2:2">
      <c r="B400"/>
    </row>
    <row r="401" spans="2:2">
      <c r="B401"/>
    </row>
    <row r="402" spans="2:2">
      <c r="B402"/>
    </row>
    <row r="403" spans="2:2">
      <c r="B403"/>
    </row>
    <row r="404" spans="2:2">
      <c r="B404"/>
    </row>
    <row r="405" spans="2:2">
      <c r="B405"/>
    </row>
    <row r="406" spans="2:2">
      <c r="B406"/>
    </row>
    <row r="407" spans="2:2">
      <c r="B407"/>
    </row>
    <row r="408" spans="2:2">
      <c r="B408"/>
    </row>
    <row r="409" spans="2:2">
      <c r="B409"/>
    </row>
    <row r="410" spans="2:2">
      <c r="B410"/>
    </row>
    <row r="411" spans="2:2">
      <c r="B411"/>
    </row>
    <row r="412" spans="2:2">
      <c r="B412"/>
    </row>
    <row r="413" spans="2:2">
      <c r="B413"/>
    </row>
    <row r="414" spans="2:2">
      <c r="B414"/>
    </row>
    <row r="415" spans="2:2">
      <c r="B415"/>
    </row>
    <row r="416" spans="2:2">
      <c r="B416"/>
    </row>
    <row r="417" spans="2:2">
      <c r="B417"/>
    </row>
    <row r="418" spans="2:2">
      <c r="B418"/>
    </row>
    <row r="419" spans="2:2">
      <c r="B419"/>
    </row>
    <row r="420" spans="2:2">
      <c r="B420"/>
    </row>
    <row r="421" spans="2:2">
      <c r="B421"/>
    </row>
    <row r="422" spans="2:2">
      <c r="B422"/>
    </row>
    <row r="423" spans="2:2">
      <c r="B423"/>
    </row>
    <row r="424" spans="2:2">
      <c r="B424"/>
    </row>
    <row r="425" spans="2:2">
      <c r="B425"/>
    </row>
    <row r="426" spans="2:2">
      <c r="B426"/>
    </row>
    <row r="427" spans="2:2">
      <c r="B427"/>
    </row>
    <row r="428" spans="2:2">
      <c r="B428"/>
    </row>
    <row r="429" spans="2:2">
      <c r="B429"/>
    </row>
    <row r="430" spans="2:2">
      <c r="B430"/>
    </row>
    <row r="431" spans="2:2">
      <c r="B431"/>
    </row>
    <row r="432" spans="2:2">
      <c r="B432"/>
    </row>
    <row r="433" spans="2:2">
      <c r="B433"/>
    </row>
    <row r="434" spans="2:2">
      <c r="B434"/>
    </row>
    <row r="435" spans="2:2">
      <c r="B435"/>
    </row>
    <row r="436" spans="2:2">
      <c r="B436"/>
    </row>
    <row r="437" spans="2:2">
      <c r="B437"/>
    </row>
    <row r="438" spans="2:2">
      <c r="B438"/>
    </row>
    <row r="439" spans="2:2">
      <c r="B439"/>
    </row>
    <row r="440" spans="2:2">
      <c r="B440"/>
    </row>
    <row r="441" spans="2:2">
      <c r="B441"/>
    </row>
    <row r="442" spans="2:2">
      <c r="B442"/>
    </row>
    <row r="443" spans="2:2">
      <c r="B443"/>
    </row>
    <row r="444" spans="2:2">
      <c r="B444"/>
    </row>
    <row r="445" spans="2:2">
      <c r="B445"/>
    </row>
    <row r="446" spans="2:2">
      <c r="B446"/>
    </row>
    <row r="447" spans="2:2">
      <c r="B447"/>
    </row>
    <row r="448" spans="2:2">
      <c r="B448"/>
    </row>
    <row r="449" spans="2:2">
      <c r="B449"/>
    </row>
    <row r="450" spans="2:2">
      <c r="B450"/>
    </row>
    <row r="451" spans="2:2">
      <c r="B451"/>
    </row>
    <row r="452" spans="2:2">
      <c r="B452"/>
    </row>
    <row r="453" spans="2:2">
      <c r="B453"/>
    </row>
    <row r="454" spans="2:2">
      <c r="B454"/>
    </row>
    <row r="455" spans="2:2">
      <c r="B455"/>
    </row>
    <row r="456" spans="2:2">
      <c r="B456"/>
    </row>
    <row r="457" spans="2:2">
      <c r="B457"/>
    </row>
    <row r="458" spans="2:2">
      <c r="B458"/>
    </row>
    <row r="459" spans="2:2">
      <c r="B459"/>
    </row>
    <row r="460" spans="2:2">
      <c r="B460"/>
    </row>
    <row r="461" spans="2:2">
      <c r="B461"/>
    </row>
    <row r="462" spans="2:2">
      <c r="B462"/>
    </row>
    <row r="463" spans="2:2">
      <c r="B463"/>
    </row>
    <row r="464" spans="2:2">
      <c r="B464"/>
    </row>
    <row r="465" spans="2:2">
      <c r="B465"/>
    </row>
    <row r="466" spans="2:2">
      <c r="B466"/>
    </row>
    <row r="467" spans="2:2">
      <c r="B467"/>
    </row>
    <row r="468" spans="2:2">
      <c r="B468"/>
    </row>
    <row r="469" spans="2:2">
      <c r="B469"/>
    </row>
    <row r="470" spans="2:2">
      <c r="B470"/>
    </row>
    <row r="471" spans="2:2">
      <c r="B471"/>
    </row>
    <row r="472" spans="2:2">
      <c r="B472"/>
    </row>
    <row r="473" spans="2:2">
      <c r="B473"/>
    </row>
    <row r="474" spans="2:2">
      <c r="B474"/>
    </row>
    <row r="475" spans="2:2">
      <c r="B475"/>
    </row>
    <row r="476" spans="2:2">
      <c r="B476"/>
    </row>
    <row r="477" spans="2:2">
      <c r="B477"/>
    </row>
    <row r="478" spans="2:2">
      <c r="B478"/>
    </row>
    <row r="479" spans="2:2">
      <c r="B479"/>
    </row>
    <row r="480" spans="2:2">
      <c r="B480"/>
    </row>
    <row r="481" spans="2:2">
      <c r="B481"/>
    </row>
    <row r="482" spans="2:2">
      <c r="B482"/>
    </row>
    <row r="483" spans="2:2">
      <c r="B483"/>
    </row>
    <row r="484" spans="2:2">
      <c r="B484"/>
    </row>
    <row r="485" spans="2:2">
      <c r="B485"/>
    </row>
    <row r="486" spans="2:2">
      <c r="B486"/>
    </row>
    <row r="487" spans="2:2">
      <c r="B487"/>
    </row>
    <row r="488" spans="2:2">
      <c r="B488"/>
    </row>
    <row r="489" spans="2:2">
      <c r="B489"/>
    </row>
    <row r="490" spans="2:2">
      <c r="B490"/>
    </row>
    <row r="491" spans="2:2">
      <c r="B491"/>
    </row>
    <row r="492" spans="2:2">
      <c r="B492"/>
    </row>
    <row r="493" spans="2:2">
      <c r="B493"/>
    </row>
    <row r="494" spans="2:2">
      <c r="B494"/>
    </row>
    <row r="495" spans="2:2">
      <c r="B495"/>
    </row>
    <row r="496" spans="2:2">
      <c r="B496"/>
    </row>
    <row r="497" spans="2:2">
      <c r="B497"/>
    </row>
    <row r="498" spans="2:2">
      <c r="B498"/>
    </row>
    <row r="499" spans="2:2">
      <c r="B499"/>
    </row>
    <row r="500" spans="2:2">
      <c r="B500"/>
    </row>
    <row r="501" spans="2:2">
      <c r="B501"/>
    </row>
    <row r="502" spans="2:2">
      <c r="B502"/>
    </row>
    <row r="503" spans="2:2">
      <c r="B503"/>
    </row>
    <row r="504" spans="2:2">
      <c r="B504"/>
    </row>
    <row r="505" spans="2:2">
      <c r="B505"/>
    </row>
    <row r="506" spans="2:2">
      <c r="B506"/>
    </row>
    <row r="507" spans="2:2">
      <c r="B507"/>
    </row>
    <row r="508" spans="2:2">
      <c r="B508"/>
    </row>
    <row r="509" spans="2:2">
      <c r="B509"/>
    </row>
    <row r="510" spans="2:2">
      <c r="B510"/>
    </row>
    <row r="511" spans="2:2">
      <c r="B511"/>
    </row>
    <row r="512" spans="2:2">
      <c r="B512"/>
    </row>
    <row r="513" spans="2:2">
      <c r="B513"/>
    </row>
    <row r="514" spans="2:2">
      <c r="B514"/>
    </row>
    <row r="515" spans="2:2">
      <c r="B515"/>
    </row>
    <row r="516" spans="2:2">
      <c r="B516"/>
    </row>
    <row r="517" spans="2:2">
      <c r="B517"/>
    </row>
    <row r="518" spans="2:2">
      <c r="B518"/>
    </row>
    <row r="519" spans="2:2">
      <c r="B519"/>
    </row>
    <row r="520" spans="2:2">
      <c r="B520"/>
    </row>
    <row r="521" spans="2:2">
      <c r="B521"/>
    </row>
    <row r="522" spans="2:2">
      <c r="B522"/>
    </row>
    <row r="523" spans="2:2">
      <c r="B523"/>
    </row>
    <row r="524" spans="2:2">
      <c r="B524"/>
    </row>
    <row r="525" spans="2:2">
      <c r="B525"/>
    </row>
    <row r="526" spans="2:2">
      <c r="B526"/>
    </row>
    <row r="527" spans="2:2">
      <c r="B527"/>
    </row>
    <row r="528" spans="2:2">
      <c r="B528"/>
    </row>
    <row r="529" spans="2:2">
      <c r="B529"/>
    </row>
    <row r="530" spans="2:2">
      <c r="B530"/>
    </row>
    <row r="531" spans="2:2">
      <c r="B531"/>
    </row>
    <row r="532" spans="2:2">
      <c r="B532"/>
    </row>
    <row r="533" spans="2:2">
      <c r="B533"/>
    </row>
    <row r="534" spans="2:2">
      <c r="B534"/>
    </row>
    <row r="535" spans="2:2">
      <c r="B535"/>
    </row>
    <row r="536" spans="2:2">
      <c r="B536"/>
    </row>
    <row r="537" spans="2:2">
      <c r="B537"/>
    </row>
    <row r="538" spans="2:2">
      <c r="B538"/>
    </row>
    <row r="539" spans="2:2">
      <c r="B539"/>
    </row>
    <row r="540" spans="2:2">
      <c r="B540"/>
    </row>
    <row r="541" spans="2:2">
      <c r="B541"/>
    </row>
    <row r="542" spans="2:2">
      <c r="B542"/>
    </row>
    <row r="543" spans="2:2">
      <c r="B543"/>
    </row>
    <row r="544" spans="2:2">
      <c r="B544"/>
    </row>
    <row r="545" spans="2:2">
      <c r="B545"/>
    </row>
    <row r="546" spans="2:2">
      <c r="B546"/>
    </row>
    <row r="547" spans="2:2">
      <c r="B547"/>
    </row>
    <row r="548" spans="2:2">
      <c r="B548"/>
    </row>
    <row r="549" spans="2:2">
      <c r="B549"/>
    </row>
    <row r="550" spans="2:2">
      <c r="B550"/>
    </row>
    <row r="551" spans="2:2">
      <c r="B551"/>
    </row>
    <row r="552" spans="2:2">
      <c r="B552"/>
    </row>
    <row r="553" spans="2:2">
      <c r="B553"/>
    </row>
    <row r="554" spans="2:2">
      <c r="B554"/>
    </row>
    <row r="555" spans="2:2">
      <c r="B555"/>
    </row>
    <row r="556" spans="2:2">
      <c r="B556"/>
    </row>
    <row r="557" spans="2:2">
      <c r="B557"/>
    </row>
    <row r="558" spans="2:2">
      <c r="B558"/>
    </row>
    <row r="559" spans="2:2">
      <c r="B559"/>
    </row>
    <row r="560" spans="2:2">
      <c r="B560"/>
    </row>
    <row r="561" spans="2:2">
      <c r="B561"/>
    </row>
    <row r="562" spans="2:2">
      <c r="B562"/>
    </row>
    <row r="563" spans="2:2">
      <c r="B563"/>
    </row>
    <row r="564" spans="2:2">
      <c r="B564"/>
    </row>
    <row r="565" spans="2:2">
      <c r="B565"/>
    </row>
    <row r="566" spans="2:2">
      <c r="B566"/>
    </row>
    <row r="567" spans="2:2">
      <c r="B567"/>
    </row>
    <row r="568" spans="2:2">
      <c r="B568"/>
    </row>
    <row r="569" spans="2:2">
      <c r="B569"/>
    </row>
    <row r="570" spans="2:2">
      <c r="B570"/>
    </row>
    <row r="571" spans="2:2">
      <c r="B571"/>
    </row>
    <row r="572" spans="2:2">
      <c r="B572"/>
    </row>
    <row r="573" spans="2:2">
      <c r="B573"/>
    </row>
    <row r="574" spans="2:2">
      <c r="B574"/>
    </row>
    <row r="575" spans="2:2">
      <c r="B575"/>
    </row>
    <row r="576" spans="2:2">
      <c r="B576"/>
    </row>
    <row r="577" spans="2:2">
      <c r="B577"/>
    </row>
    <row r="578" spans="2:2">
      <c r="B578"/>
    </row>
    <row r="579" spans="2:2">
      <c r="B579"/>
    </row>
    <row r="580" spans="2:2">
      <c r="B580"/>
    </row>
    <row r="581" spans="2:2">
      <c r="B581"/>
    </row>
    <row r="582" spans="2:2">
      <c r="B582"/>
    </row>
    <row r="583" spans="2:2">
      <c r="B583"/>
    </row>
    <row r="584" spans="2:2">
      <c r="B584"/>
    </row>
    <row r="585" spans="2:2">
      <c r="B585"/>
    </row>
    <row r="586" spans="2:2">
      <c r="B586"/>
    </row>
    <row r="587" spans="2:2">
      <c r="B587"/>
    </row>
    <row r="588" spans="2:2">
      <c r="B588"/>
    </row>
    <row r="589" spans="2:2">
      <c r="B589"/>
    </row>
    <row r="590" spans="2:2">
      <c r="B590"/>
    </row>
    <row r="591" spans="2:2">
      <c r="B591"/>
    </row>
    <row r="592" spans="2:2">
      <c r="B592"/>
    </row>
    <row r="593" spans="2:2">
      <c r="B593"/>
    </row>
    <row r="594" spans="2:2">
      <c r="B594"/>
    </row>
    <row r="595" spans="2:2">
      <c r="B595"/>
    </row>
    <row r="596" spans="2:2">
      <c r="B596"/>
    </row>
    <row r="597" spans="2:2">
      <c r="B597"/>
    </row>
    <row r="598" spans="2:2">
      <c r="B598"/>
    </row>
    <row r="599" spans="2:2">
      <c r="B599"/>
    </row>
    <row r="600" spans="2:2">
      <c r="B600"/>
    </row>
    <row r="601" spans="2:2">
      <c r="B601"/>
    </row>
    <row r="602" spans="2:2">
      <c r="B602"/>
    </row>
    <row r="603" spans="2:2">
      <c r="B603"/>
    </row>
    <row r="604" spans="2:2">
      <c r="B604"/>
    </row>
    <row r="605" spans="2:2">
      <c r="B605"/>
    </row>
    <row r="606" spans="2:2">
      <c r="B606"/>
    </row>
    <row r="607" spans="2:2">
      <c r="B607"/>
    </row>
    <row r="608" spans="2:2">
      <c r="B608"/>
    </row>
    <row r="609" spans="2:2">
      <c r="B609"/>
    </row>
    <row r="610" spans="2:2">
      <c r="B610"/>
    </row>
    <row r="611" spans="2:2">
      <c r="B611"/>
    </row>
    <row r="612" spans="2:2">
      <c r="B612"/>
    </row>
    <row r="613" spans="2:2">
      <c r="B613"/>
    </row>
    <row r="614" spans="2:2">
      <c r="B614"/>
    </row>
    <row r="615" spans="2:2">
      <c r="B615"/>
    </row>
    <row r="616" spans="2:2">
      <c r="B616"/>
    </row>
    <row r="617" spans="2:2">
      <c r="B617"/>
    </row>
    <row r="618" spans="2:2">
      <c r="B618"/>
    </row>
    <row r="619" spans="2:2">
      <c r="B619"/>
    </row>
    <row r="620" spans="2:2">
      <c r="B620"/>
    </row>
    <row r="621" spans="2:2">
      <c r="B621"/>
    </row>
    <row r="622" spans="2:2">
      <c r="B622"/>
    </row>
    <row r="623" spans="2:2">
      <c r="B623"/>
    </row>
    <row r="624" spans="2:2">
      <c r="B624"/>
    </row>
    <row r="625" spans="2:2">
      <c r="B625"/>
    </row>
    <row r="626" spans="2:2">
      <c r="B626"/>
    </row>
    <row r="627" spans="2:2">
      <c r="B627"/>
    </row>
    <row r="628" spans="2:2">
      <c r="B628"/>
    </row>
    <row r="629" spans="2:2">
      <c r="B629"/>
    </row>
    <row r="630" spans="2:2">
      <c r="B630"/>
    </row>
    <row r="631" spans="2:2">
      <c r="B631"/>
    </row>
    <row r="632" spans="2:2">
      <c r="B632"/>
    </row>
    <row r="633" spans="2:2">
      <c r="B633"/>
    </row>
    <row r="634" spans="2:2">
      <c r="B634"/>
    </row>
    <row r="635" spans="2:2">
      <c r="B635"/>
    </row>
    <row r="636" spans="2:2">
      <c r="B636"/>
    </row>
    <row r="637" spans="2:2">
      <c r="B637"/>
    </row>
    <row r="638" spans="2:2">
      <c r="B638"/>
    </row>
    <row r="639" spans="2:2">
      <c r="B639"/>
    </row>
    <row r="640" spans="2:2">
      <c r="B640"/>
    </row>
    <row r="641" spans="2:2">
      <c r="B641"/>
    </row>
    <row r="642" spans="2:2">
      <c r="B642"/>
    </row>
    <row r="643" spans="2:2">
      <c r="B643"/>
    </row>
    <row r="644" spans="2:2">
      <c r="B644"/>
    </row>
    <row r="645" spans="2:2">
      <c r="B645"/>
    </row>
    <row r="646" spans="2:2">
      <c r="B646"/>
    </row>
    <row r="647" spans="2:2">
      <c r="B647"/>
    </row>
    <row r="648" spans="2:2">
      <c r="B648"/>
    </row>
    <row r="649" spans="2:2">
      <c r="B649"/>
    </row>
    <row r="650" spans="2:2">
      <c r="B650"/>
    </row>
    <row r="651" spans="2:2">
      <c r="B651"/>
    </row>
    <row r="652" spans="2:2">
      <c r="B652"/>
    </row>
    <row r="653" spans="2:2">
      <c r="B653"/>
    </row>
    <row r="654" spans="2:2">
      <c r="B654"/>
    </row>
    <row r="655" spans="2:2">
      <c r="B655"/>
    </row>
    <row r="656" spans="2:2">
      <c r="B656"/>
    </row>
    <row r="657" spans="2:2">
      <c r="B657"/>
    </row>
    <row r="658" spans="2:2">
      <c r="B658"/>
    </row>
    <row r="659" spans="2:2">
      <c r="B659"/>
    </row>
    <row r="660" spans="2:2">
      <c r="B660"/>
    </row>
    <row r="661" spans="2:2">
      <c r="B661"/>
    </row>
    <row r="662" spans="2:2">
      <c r="B662"/>
    </row>
    <row r="663" spans="2:2">
      <c r="B663"/>
    </row>
    <row r="664" spans="2:2">
      <c r="B664"/>
    </row>
    <row r="665" spans="2:2">
      <c r="B665"/>
    </row>
    <row r="666" spans="2:2">
      <c r="B666"/>
    </row>
    <row r="667" spans="2:2">
      <c r="B667"/>
    </row>
    <row r="668" spans="2:2">
      <c r="B668"/>
    </row>
    <row r="669" spans="2:2">
      <c r="B669"/>
    </row>
    <row r="670" spans="2:2">
      <c r="B670"/>
    </row>
    <row r="671" spans="2:2">
      <c r="B671"/>
    </row>
    <row r="672" spans="2:2">
      <c r="B672"/>
    </row>
    <row r="673" spans="2:2">
      <c r="B673"/>
    </row>
    <row r="674" spans="2:2">
      <c r="B674"/>
    </row>
    <row r="675" spans="2:2">
      <c r="B675"/>
    </row>
    <row r="676" spans="2:2">
      <c r="B676"/>
    </row>
    <row r="677" spans="2:2">
      <c r="B677"/>
    </row>
    <row r="678" spans="2:2">
      <c r="B678"/>
    </row>
    <row r="679" spans="2:2">
      <c r="B679"/>
    </row>
    <row r="680" spans="2:2">
      <c r="B680"/>
    </row>
    <row r="681" spans="2:2">
      <c r="B681"/>
    </row>
    <row r="682" spans="2:2">
      <c r="B682"/>
    </row>
    <row r="683" spans="2:2">
      <c r="B683"/>
    </row>
    <row r="684" spans="2:2">
      <c r="B684"/>
    </row>
    <row r="685" spans="2:2">
      <c r="B685"/>
    </row>
    <row r="686" spans="2:2">
      <c r="B686"/>
    </row>
    <row r="687" spans="2:2">
      <c r="B687"/>
    </row>
    <row r="688" spans="2:2">
      <c r="B688"/>
    </row>
    <row r="689" spans="2:2">
      <c r="B689"/>
    </row>
    <row r="690" spans="2:2">
      <c r="B690"/>
    </row>
    <row r="691" spans="2:2">
      <c r="B691"/>
    </row>
    <row r="692" spans="2:2">
      <c r="B692"/>
    </row>
    <row r="693" spans="2:2">
      <c r="B693"/>
    </row>
    <row r="694" spans="2:2">
      <c r="B694"/>
    </row>
    <row r="695" spans="2:2">
      <c r="B695"/>
    </row>
    <row r="696" spans="2:2">
      <c r="B696"/>
    </row>
    <row r="697" spans="2:2">
      <c r="B697"/>
    </row>
    <row r="698" spans="2:2">
      <c r="B698"/>
    </row>
    <row r="699" spans="2:2">
      <c r="B699"/>
    </row>
    <row r="700" spans="2:2">
      <c r="B700"/>
    </row>
    <row r="701" spans="2:2">
      <c r="B701"/>
    </row>
    <row r="702" spans="2:2">
      <c r="B702"/>
    </row>
    <row r="703" spans="2:2">
      <c r="B703"/>
    </row>
    <row r="704" spans="2:2">
      <c r="B704"/>
    </row>
    <row r="705" spans="2:2">
      <c r="B705"/>
    </row>
    <row r="706" spans="2:2">
      <c r="B706"/>
    </row>
    <row r="707" spans="2:2">
      <c r="B707"/>
    </row>
    <row r="708" spans="2:2">
      <c r="B708"/>
    </row>
    <row r="709" spans="2:2">
      <c r="B709"/>
    </row>
    <row r="710" spans="2:2">
      <c r="B710"/>
    </row>
    <row r="711" spans="2:2">
      <c r="B711"/>
    </row>
    <row r="712" spans="2:2">
      <c r="B712"/>
    </row>
    <row r="713" spans="2:2">
      <c r="B713"/>
    </row>
    <row r="714" spans="2:2">
      <c r="B714"/>
    </row>
    <row r="715" spans="2:2">
      <c r="B715"/>
    </row>
    <row r="716" spans="2:2">
      <c r="B716"/>
    </row>
    <row r="717" spans="2:2">
      <c r="B717"/>
    </row>
    <row r="718" spans="2:2">
      <c r="B718"/>
    </row>
    <row r="719" spans="2:2">
      <c r="B719"/>
    </row>
    <row r="720" spans="2:2">
      <c r="B720"/>
    </row>
    <row r="721" spans="2:2">
      <c r="B721"/>
    </row>
    <row r="722" spans="2:2">
      <c r="B722"/>
    </row>
    <row r="723" spans="2:2">
      <c r="B723"/>
    </row>
    <row r="724" spans="2:2">
      <c r="B724"/>
    </row>
    <row r="725" spans="2:2">
      <c r="B725"/>
    </row>
    <row r="726" spans="2:2">
      <c r="B726"/>
    </row>
    <row r="727" spans="2:2">
      <c r="B727"/>
    </row>
    <row r="728" spans="2:2">
      <c r="B728"/>
    </row>
    <row r="729" spans="2:2">
      <c r="B729"/>
    </row>
    <row r="730" spans="2:2">
      <c r="B730"/>
    </row>
    <row r="731" spans="2:2">
      <c r="B731"/>
    </row>
    <row r="732" spans="2:2">
      <c r="B732"/>
    </row>
    <row r="733" spans="2:2">
      <c r="B733"/>
    </row>
    <row r="734" spans="2:2">
      <c r="B734"/>
    </row>
    <row r="735" spans="2:2">
      <c r="B735"/>
    </row>
    <row r="736" spans="2:2">
      <c r="B736"/>
    </row>
    <row r="737" spans="2:2">
      <c r="B737"/>
    </row>
    <row r="738" spans="2:2">
      <c r="B738"/>
    </row>
    <row r="739" spans="2:2">
      <c r="B739"/>
    </row>
    <row r="740" spans="2:2">
      <c r="B740"/>
    </row>
    <row r="741" spans="2:2">
      <c r="B741"/>
    </row>
    <row r="742" spans="2:2">
      <c r="B742"/>
    </row>
    <row r="743" spans="2:2">
      <c r="B743"/>
    </row>
    <row r="744" spans="2:2">
      <c r="B744"/>
    </row>
    <row r="745" spans="2:2">
      <c r="B745"/>
    </row>
    <row r="746" spans="2:2">
      <c r="B746"/>
    </row>
    <row r="747" spans="2:2">
      <c r="B747"/>
    </row>
    <row r="748" spans="2:2">
      <c r="B748"/>
    </row>
    <row r="749" spans="2:2">
      <c r="B749"/>
    </row>
    <row r="750" spans="2:2">
      <c r="B750"/>
    </row>
    <row r="751" spans="2:2">
      <c r="B751"/>
    </row>
    <row r="752" spans="2:2">
      <c r="B752"/>
    </row>
    <row r="753" spans="2:2">
      <c r="B753"/>
    </row>
    <row r="754" spans="2:2">
      <c r="B754"/>
    </row>
    <row r="755" spans="2:2">
      <c r="B755"/>
    </row>
    <row r="756" spans="2:2">
      <c r="B756"/>
    </row>
    <row r="757" spans="2:2">
      <c r="B757"/>
    </row>
    <row r="758" spans="2:2">
      <c r="B758"/>
    </row>
    <row r="759" spans="2:2">
      <c r="B759"/>
    </row>
    <row r="760" spans="2:2">
      <c r="B760"/>
    </row>
    <row r="761" spans="2:2">
      <c r="B761"/>
    </row>
    <row r="762" spans="2:2">
      <c r="B762"/>
    </row>
    <row r="763" spans="2:2">
      <c r="B763"/>
    </row>
    <row r="764" spans="2:2">
      <c r="B764"/>
    </row>
    <row r="765" spans="2:2">
      <c r="B765"/>
    </row>
    <row r="766" spans="2:2">
      <c r="B766"/>
    </row>
    <row r="767" spans="2:2">
      <c r="B767"/>
    </row>
    <row r="768" spans="2:2">
      <c r="B768"/>
    </row>
    <row r="769" spans="2:2">
      <c r="B769"/>
    </row>
    <row r="770" spans="2:2">
      <c r="B770"/>
    </row>
    <row r="771" spans="2:2">
      <c r="B771"/>
    </row>
    <row r="772" spans="2:2">
      <c r="B772"/>
    </row>
    <row r="773" spans="2:2">
      <c r="B773"/>
    </row>
    <row r="774" spans="2:2">
      <c r="B774"/>
    </row>
    <row r="775" spans="2:2">
      <c r="B775"/>
    </row>
    <row r="776" spans="2:2">
      <c r="B776"/>
    </row>
    <row r="777" spans="2:2">
      <c r="B777"/>
    </row>
    <row r="778" spans="2:2">
      <c r="B778"/>
    </row>
    <row r="779" spans="2:2">
      <c r="B779"/>
    </row>
    <row r="780" spans="2:2">
      <c r="B780"/>
    </row>
    <row r="781" spans="2:2">
      <c r="B781"/>
    </row>
    <row r="782" spans="2:2">
      <c r="B782"/>
    </row>
    <row r="783" spans="2:2">
      <c r="B783"/>
    </row>
    <row r="784" spans="2:2">
      <c r="B784"/>
    </row>
    <row r="785" spans="2:2">
      <c r="B785"/>
    </row>
    <row r="786" spans="2:2">
      <c r="B786"/>
    </row>
    <row r="787" spans="2:2">
      <c r="B787"/>
    </row>
    <row r="788" spans="2:2">
      <c r="B788"/>
    </row>
    <row r="789" spans="2:2">
      <c r="B789"/>
    </row>
    <row r="790" spans="2:2">
      <c r="B790"/>
    </row>
    <row r="791" spans="2:2">
      <c r="B791"/>
    </row>
    <row r="792" spans="2:2">
      <c r="B792"/>
    </row>
    <row r="793" spans="2:2">
      <c r="B793"/>
    </row>
    <row r="794" spans="2:2">
      <c r="B794"/>
    </row>
    <row r="795" spans="2:2">
      <c r="B795"/>
    </row>
    <row r="796" spans="2:2">
      <c r="B796"/>
    </row>
    <row r="797" spans="2:2">
      <c r="B797"/>
    </row>
    <row r="798" spans="2:2">
      <c r="B798"/>
    </row>
    <row r="799" spans="2:2">
      <c r="B799"/>
    </row>
    <row r="800" spans="2:2">
      <c r="B800"/>
    </row>
    <row r="801" spans="2:2">
      <c r="B801"/>
    </row>
    <row r="802" spans="2:2">
      <c r="B802"/>
    </row>
    <row r="803" spans="2:2">
      <c r="B803"/>
    </row>
    <row r="804" spans="2:2">
      <c r="B804"/>
    </row>
    <row r="805" spans="2:2">
      <c r="B805"/>
    </row>
    <row r="806" spans="2:2">
      <c r="B806"/>
    </row>
    <row r="807" spans="2:2">
      <c r="B807"/>
    </row>
    <row r="808" spans="2:2">
      <c r="B808"/>
    </row>
    <row r="809" spans="2:2">
      <c r="B809"/>
    </row>
    <row r="810" spans="2:2">
      <c r="B810"/>
    </row>
    <row r="811" spans="2:2">
      <c r="B811"/>
    </row>
    <row r="812" spans="2:2">
      <c r="B812"/>
    </row>
    <row r="813" spans="2:2">
      <c r="B813"/>
    </row>
    <row r="814" spans="2:2">
      <c r="B814"/>
    </row>
    <row r="815" spans="2:2">
      <c r="B815"/>
    </row>
    <row r="816" spans="2:2">
      <c r="B816"/>
    </row>
    <row r="817" spans="2:2">
      <c r="B817"/>
    </row>
    <row r="818" spans="2:2">
      <c r="B818"/>
    </row>
    <row r="819" spans="2:2">
      <c r="B819"/>
    </row>
    <row r="820" spans="2:2">
      <c r="B820"/>
    </row>
    <row r="821" spans="2:2">
      <c r="B821"/>
    </row>
    <row r="822" spans="2:2">
      <c r="B822"/>
    </row>
    <row r="823" spans="2:2">
      <c r="B823"/>
    </row>
    <row r="824" spans="2:2">
      <c r="B824"/>
    </row>
    <row r="825" spans="2:2">
      <c r="B825"/>
    </row>
    <row r="826" spans="2:2">
      <c r="B826"/>
    </row>
    <row r="827" spans="2:2">
      <c r="B827"/>
    </row>
    <row r="828" spans="2:2">
      <c r="B828"/>
    </row>
    <row r="829" spans="2:2">
      <c r="B829"/>
    </row>
    <row r="830" spans="2:2">
      <c r="B830"/>
    </row>
    <row r="831" spans="2:2">
      <c r="B831"/>
    </row>
    <row r="832" spans="2:2">
      <c r="B832"/>
    </row>
    <row r="833" spans="2:2">
      <c r="B833"/>
    </row>
    <row r="834" spans="2:2">
      <c r="B834"/>
    </row>
    <row r="835" spans="2:2">
      <c r="B835"/>
    </row>
    <row r="836" spans="2:2">
      <c r="B836"/>
    </row>
    <row r="837" spans="2:2">
      <c r="B837"/>
    </row>
    <row r="838" spans="2:2">
      <c r="B838"/>
    </row>
    <row r="839" spans="2:2">
      <c r="B839"/>
    </row>
    <row r="840" spans="2:2">
      <c r="B840"/>
    </row>
    <row r="841" spans="2:2">
      <c r="B841"/>
    </row>
    <row r="842" spans="2:2">
      <c r="B842"/>
    </row>
    <row r="843" spans="2:2">
      <c r="B843"/>
    </row>
    <row r="844" spans="2:2">
      <c r="B844"/>
    </row>
    <row r="845" spans="2:2">
      <c r="B845"/>
    </row>
    <row r="846" spans="2:2">
      <c r="B846"/>
    </row>
    <row r="847" spans="2:2">
      <c r="B847"/>
    </row>
    <row r="848" spans="2:2">
      <c r="B848"/>
    </row>
    <row r="849" spans="2:2">
      <c r="B849"/>
    </row>
    <row r="850" spans="2:2">
      <c r="B850"/>
    </row>
    <row r="851" spans="2:2">
      <c r="B851"/>
    </row>
    <row r="852" spans="2:2">
      <c r="B852"/>
    </row>
    <row r="853" spans="2:2">
      <c r="B853"/>
    </row>
    <row r="854" spans="2:2">
      <c r="B854"/>
    </row>
    <row r="855" spans="2:2">
      <c r="B855"/>
    </row>
    <row r="856" spans="2:2">
      <c r="B856"/>
    </row>
    <row r="857" spans="2:2">
      <c r="B857"/>
    </row>
    <row r="858" spans="2:2">
      <c r="B858"/>
    </row>
    <row r="859" spans="2:2">
      <c r="B859"/>
    </row>
    <row r="860" spans="2:2">
      <c r="B860"/>
    </row>
    <row r="861" spans="2:2">
      <c r="B861"/>
    </row>
    <row r="862" spans="2:2">
      <c r="B862"/>
    </row>
    <row r="863" spans="2:2">
      <c r="B863"/>
    </row>
    <row r="864" spans="2:2">
      <c r="B864"/>
    </row>
    <row r="865" spans="2:2">
      <c r="B865"/>
    </row>
    <row r="866" spans="2:2">
      <c r="B866"/>
    </row>
    <row r="867" spans="2:2">
      <c r="B867"/>
    </row>
    <row r="868" spans="2:2">
      <c r="B868"/>
    </row>
    <row r="869" spans="2:2">
      <c r="B869"/>
    </row>
    <row r="870" spans="2:2">
      <c r="B870"/>
    </row>
    <row r="871" spans="2:2">
      <c r="B871"/>
    </row>
    <row r="872" spans="2:2">
      <c r="B872"/>
    </row>
    <row r="873" spans="2:2">
      <c r="B873"/>
    </row>
    <row r="874" spans="2:2">
      <c r="B874"/>
    </row>
    <row r="875" spans="2:2">
      <c r="B875"/>
    </row>
    <row r="876" spans="2:2">
      <c r="B876"/>
    </row>
    <row r="877" spans="2:2">
      <c r="B877"/>
    </row>
    <row r="878" spans="2:2">
      <c r="B878"/>
    </row>
    <row r="879" spans="2:2">
      <c r="B879"/>
    </row>
    <row r="880" spans="2:2">
      <c r="B880"/>
    </row>
    <row r="881" spans="2:2">
      <c r="B881"/>
    </row>
    <row r="882" spans="2:2">
      <c r="B882"/>
    </row>
    <row r="883" spans="2:2">
      <c r="B883"/>
    </row>
    <row r="884" spans="2:2">
      <c r="B884"/>
    </row>
    <row r="885" spans="2:2">
      <c r="B885"/>
    </row>
    <row r="886" spans="2:2">
      <c r="B886"/>
    </row>
    <row r="887" spans="2:2">
      <c r="B887"/>
    </row>
    <row r="888" spans="2:2">
      <c r="B888"/>
    </row>
    <row r="889" spans="2:2">
      <c r="B889"/>
    </row>
    <row r="890" spans="2:2">
      <c r="B890"/>
    </row>
    <row r="891" spans="2:2">
      <c r="B891"/>
    </row>
    <row r="892" spans="2:2">
      <c r="B892"/>
    </row>
    <row r="893" spans="2:2">
      <c r="B893"/>
    </row>
    <row r="894" spans="2:2">
      <c r="B894"/>
    </row>
    <row r="895" spans="2:2">
      <c r="B895"/>
    </row>
    <row r="896" spans="2:2">
      <c r="B896"/>
    </row>
    <row r="897" spans="2:2">
      <c r="B897"/>
    </row>
    <row r="898" spans="2:2">
      <c r="B898"/>
    </row>
    <row r="899" spans="2:2">
      <c r="B899"/>
    </row>
    <row r="900" spans="2:2">
      <c r="B900"/>
    </row>
    <row r="901" spans="2:2">
      <c r="B901"/>
    </row>
    <row r="902" spans="2:2">
      <c r="B902"/>
    </row>
    <row r="903" spans="2:2">
      <c r="B903"/>
    </row>
    <row r="904" spans="2:2">
      <c r="B904"/>
    </row>
    <row r="905" spans="2:2">
      <c r="B905"/>
    </row>
    <row r="906" spans="2:2">
      <c r="B906"/>
    </row>
    <row r="907" spans="2:2">
      <c r="B907"/>
    </row>
    <row r="908" spans="2:2">
      <c r="B908"/>
    </row>
    <row r="909" spans="2:2">
      <c r="B909"/>
    </row>
    <row r="910" spans="2:2">
      <c r="B910"/>
    </row>
    <row r="911" spans="2:2">
      <c r="B911"/>
    </row>
    <row r="912" spans="2:2">
      <c r="B912"/>
    </row>
    <row r="913" spans="2:2">
      <c r="B913"/>
    </row>
    <row r="914" spans="2:2">
      <c r="B914"/>
    </row>
    <row r="915" spans="2:2">
      <c r="B915"/>
    </row>
    <row r="916" spans="2:2">
      <c r="B916"/>
    </row>
    <row r="917" spans="2:2">
      <c r="B917"/>
    </row>
    <row r="918" spans="2:2">
      <c r="B918"/>
    </row>
    <row r="919" spans="2:2">
      <c r="B919"/>
    </row>
    <row r="920" spans="2:2">
      <c r="B920"/>
    </row>
    <row r="921" spans="2:2">
      <c r="B921"/>
    </row>
    <row r="922" spans="2:2">
      <c r="B922"/>
    </row>
    <row r="923" spans="2:2">
      <c r="B923"/>
    </row>
    <row r="924" spans="2:2">
      <c r="B924"/>
    </row>
    <row r="925" spans="2:2">
      <c r="B925"/>
    </row>
    <row r="926" spans="2:2">
      <c r="B926"/>
    </row>
    <row r="927" spans="2:2">
      <c r="B927"/>
    </row>
    <row r="928" spans="2:2">
      <c r="B928"/>
    </row>
    <row r="929" spans="2:2">
      <c r="B929"/>
    </row>
    <row r="930" spans="2:2">
      <c r="B930"/>
    </row>
    <row r="931" spans="2:2">
      <c r="B931"/>
    </row>
    <row r="932" spans="2:2">
      <c r="B932"/>
    </row>
    <row r="933" spans="2:2">
      <c r="B933"/>
    </row>
    <row r="934" spans="2:2">
      <c r="B934"/>
    </row>
    <row r="935" spans="2:2">
      <c r="B935"/>
    </row>
    <row r="936" spans="2:2">
      <c r="B936"/>
    </row>
    <row r="937" spans="2:2">
      <c r="B937"/>
    </row>
    <row r="938" spans="2:2">
      <c r="B938"/>
    </row>
    <row r="939" spans="2:2">
      <c r="B939"/>
    </row>
    <row r="940" spans="2:2">
      <c r="B940"/>
    </row>
    <row r="941" spans="2:2">
      <c r="B941"/>
    </row>
    <row r="942" spans="2:2">
      <c r="B942"/>
    </row>
    <row r="943" spans="2:2">
      <c r="B943"/>
    </row>
    <row r="944" spans="2:2">
      <c r="B944"/>
    </row>
    <row r="945" spans="2:2">
      <c r="B945"/>
    </row>
    <row r="946" spans="2:2">
      <c r="B946"/>
    </row>
    <row r="947" spans="2:2">
      <c r="B947"/>
    </row>
    <row r="948" spans="2:2">
      <c r="B948"/>
    </row>
    <row r="949" spans="2:2">
      <c r="B949"/>
    </row>
    <row r="950" spans="2:2">
      <c r="B950"/>
    </row>
    <row r="951" spans="2:2">
      <c r="B951"/>
    </row>
    <row r="952" spans="2:2">
      <c r="B952"/>
    </row>
    <row r="953" spans="2:2">
      <c r="B953"/>
    </row>
    <row r="954" spans="2:2">
      <c r="B954"/>
    </row>
    <row r="955" spans="2:2">
      <c r="B955"/>
    </row>
    <row r="956" spans="2:2">
      <c r="B956"/>
    </row>
    <row r="957" spans="2:2">
      <c r="B957"/>
    </row>
    <row r="958" spans="2:2">
      <c r="B958"/>
    </row>
    <row r="959" spans="2:2">
      <c r="B959"/>
    </row>
    <row r="960" spans="2:2">
      <c r="B960"/>
    </row>
    <row r="961" spans="2:2">
      <c r="B961"/>
    </row>
    <row r="962" spans="2:2">
      <c r="B962"/>
    </row>
    <row r="963" spans="2:2">
      <c r="B963"/>
    </row>
    <row r="964" spans="2:2">
      <c r="B964"/>
    </row>
    <row r="965" spans="2:2">
      <c r="B965"/>
    </row>
    <row r="966" spans="2:2">
      <c r="B966"/>
    </row>
    <row r="967" spans="2:2">
      <c r="B967"/>
    </row>
    <row r="968" spans="2:2">
      <c r="B968"/>
    </row>
    <row r="969" spans="2:2">
      <c r="B969"/>
    </row>
    <row r="970" spans="2:2">
      <c r="B970"/>
    </row>
    <row r="971" spans="2:2">
      <c r="B971"/>
    </row>
    <row r="972" spans="2:2">
      <c r="B972"/>
    </row>
    <row r="973" spans="2:2">
      <c r="B973"/>
    </row>
    <row r="974" spans="2:2">
      <c r="B974"/>
    </row>
    <row r="975" spans="2:2">
      <c r="B975"/>
    </row>
    <row r="976" spans="2:2">
      <c r="B976"/>
    </row>
    <row r="977" spans="2:2">
      <c r="B977"/>
    </row>
    <row r="978" spans="2:2">
      <c r="B978"/>
    </row>
    <row r="979" spans="2:2">
      <c r="B979"/>
    </row>
    <row r="980" spans="2:2">
      <c r="B980"/>
    </row>
    <row r="981" spans="2:2">
      <c r="B981"/>
    </row>
    <row r="982" spans="2:2">
      <c r="B982"/>
    </row>
    <row r="983" spans="2:2">
      <c r="B983"/>
    </row>
    <row r="984" spans="2:2">
      <c r="B984"/>
    </row>
    <row r="985" spans="2:2">
      <c r="B985"/>
    </row>
    <row r="986" spans="2:2">
      <c r="B986"/>
    </row>
    <row r="987" spans="2:2">
      <c r="B987"/>
    </row>
    <row r="988" spans="2:2">
      <c r="B988"/>
    </row>
    <row r="989" spans="2:2">
      <c r="B989"/>
    </row>
    <row r="990" spans="2:2">
      <c r="B990"/>
    </row>
    <row r="991" spans="2:2">
      <c r="B991"/>
    </row>
    <row r="992" spans="2:2">
      <c r="B992"/>
    </row>
    <row r="993" spans="2:2">
      <c r="B993"/>
    </row>
    <row r="994" spans="2:2">
      <c r="B994"/>
    </row>
    <row r="995" spans="2:2">
      <c r="B995"/>
    </row>
    <row r="996" spans="2:2">
      <c r="B996"/>
    </row>
    <row r="997" spans="2:2">
      <c r="B997"/>
    </row>
    <row r="998" spans="2:2">
      <c r="B998"/>
    </row>
    <row r="999" spans="2:2">
      <c r="B999"/>
    </row>
    <row r="1000" spans="2:2">
      <c r="B1000"/>
    </row>
    <row r="1001" spans="2:2">
      <c r="B1001"/>
    </row>
    <row r="1002" spans="2:2">
      <c r="B1002"/>
    </row>
    <row r="1003" spans="2:2">
      <c r="B1003"/>
    </row>
    <row r="1004" spans="2:2">
      <c r="B1004"/>
    </row>
    <row r="1005" spans="2:2">
      <c r="B1005"/>
    </row>
    <row r="1006" spans="2:2">
      <c r="B1006"/>
    </row>
    <row r="1007" spans="2:2">
      <c r="B1007"/>
    </row>
    <row r="1008" spans="2:2">
      <c r="B1008"/>
    </row>
    <row r="1009" spans="2:2">
      <c r="B1009"/>
    </row>
    <row r="1010" spans="2:2">
      <c r="B1010"/>
    </row>
    <row r="1011" spans="2:2">
      <c r="B1011"/>
    </row>
    <row r="1012" spans="2:2">
      <c r="B1012"/>
    </row>
    <row r="1013" spans="2:2">
      <c r="B1013"/>
    </row>
    <row r="1014" spans="2:2">
      <c r="B1014"/>
    </row>
    <row r="1015" spans="2:2">
      <c r="B1015"/>
    </row>
    <row r="1016" spans="2:2">
      <c r="B1016"/>
    </row>
    <row r="1017" spans="2:2">
      <c r="B1017"/>
    </row>
    <row r="1018" spans="2:2">
      <c r="B1018"/>
    </row>
    <row r="1019" spans="2:2">
      <c r="B1019"/>
    </row>
    <row r="1020" spans="2:2">
      <c r="B1020"/>
    </row>
    <row r="1021" spans="2:2">
      <c r="B1021"/>
    </row>
    <row r="1022" spans="2:2">
      <c r="B1022"/>
    </row>
    <row r="1023" spans="2:2">
      <c r="B1023"/>
    </row>
    <row r="1024" spans="2:2">
      <c r="B1024"/>
    </row>
    <row r="1025" spans="2:2">
      <c r="B1025"/>
    </row>
    <row r="1026" spans="2:2">
      <c r="B1026"/>
    </row>
    <row r="1027" spans="2:2">
      <c r="B1027"/>
    </row>
    <row r="1028" spans="2:2">
      <c r="B1028"/>
    </row>
    <row r="1029" spans="2:2">
      <c r="B1029"/>
    </row>
    <row r="1030" spans="2:2">
      <c r="B1030"/>
    </row>
    <row r="1031" spans="2:2">
      <c r="B1031"/>
    </row>
    <row r="1032" spans="2:2">
      <c r="B1032"/>
    </row>
    <row r="1033" spans="2:2">
      <c r="B1033"/>
    </row>
    <row r="1034" spans="2:2">
      <c r="B1034"/>
    </row>
    <row r="1035" spans="2:2">
      <c r="B1035"/>
    </row>
    <row r="1036" spans="2:2">
      <c r="B1036"/>
    </row>
    <row r="1037" spans="2:2">
      <c r="B1037"/>
    </row>
    <row r="1038" spans="2:2">
      <c r="B1038"/>
    </row>
    <row r="1039" spans="2:2">
      <c r="B1039"/>
    </row>
    <row r="1040" spans="2:2">
      <c r="B1040"/>
    </row>
    <row r="1041" spans="2:2">
      <c r="B1041"/>
    </row>
    <row r="1042" spans="2:2">
      <c r="B1042"/>
    </row>
    <row r="1043" spans="2:2">
      <c r="B1043"/>
    </row>
    <row r="1044" spans="2:2">
      <c r="B1044"/>
    </row>
    <row r="1045" spans="2:2">
      <c r="B1045"/>
    </row>
    <row r="1046" spans="2:2">
      <c r="B1046"/>
    </row>
    <row r="1047" spans="2:2">
      <c r="B1047"/>
    </row>
    <row r="1048" spans="2:2">
      <c r="B1048"/>
    </row>
    <row r="1049" spans="2:2">
      <c r="B1049"/>
    </row>
    <row r="1050" spans="2:2">
      <c r="B1050"/>
    </row>
    <row r="1051" spans="2:2">
      <c r="B1051"/>
    </row>
    <row r="1052" spans="2:2">
      <c r="B1052"/>
    </row>
    <row r="1053" spans="2:2">
      <c r="B1053"/>
    </row>
    <row r="1054" spans="2:2">
      <c r="B1054"/>
    </row>
    <row r="1055" spans="2:2">
      <c r="B1055"/>
    </row>
    <row r="1056" spans="2:2">
      <c r="B1056"/>
    </row>
    <row r="1057" spans="2:2">
      <c r="B1057"/>
    </row>
    <row r="1058" spans="2:2">
      <c r="B1058"/>
    </row>
    <row r="1059" spans="2:2">
      <c r="B1059"/>
    </row>
    <row r="1060" spans="2:2">
      <c r="B1060"/>
    </row>
    <row r="1061" spans="2:2">
      <c r="B1061"/>
    </row>
    <row r="1062" spans="2:2">
      <c r="B1062"/>
    </row>
    <row r="1063" spans="2:2">
      <c r="B1063"/>
    </row>
    <row r="1064" spans="2:2">
      <c r="B1064"/>
    </row>
    <row r="1065" spans="2:2">
      <c r="B1065"/>
    </row>
    <row r="1066" spans="2:2">
      <c r="B1066"/>
    </row>
    <row r="1067" spans="2:2">
      <c r="B1067"/>
    </row>
    <row r="1068" spans="2:2">
      <c r="B1068"/>
    </row>
    <row r="1069" spans="2:2">
      <c r="B1069"/>
    </row>
    <row r="1070" spans="2:2">
      <c r="B1070"/>
    </row>
    <row r="1071" spans="2:2">
      <c r="B1071"/>
    </row>
    <row r="1072" spans="2:2">
      <c r="B1072"/>
    </row>
    <row r="1073" spans="2:2">
      <c r="B1073"/>
    </row>
    <row r="1074" spans="2:2">
      <c r="B1074"/>
    </row>
    <row r="1075" spans="2:2">
      <c r="B1075"/>
    </row>
    <row r="1076" spans="2:2">
      <c r="B1076"/>
    </row>
    <row r="1077" spans="2:2">
      <c r="B1077"/>
    </row>
    <row r="1078" spans="2:2">
      <c r="B1078"/>
    </row>
    <row r="1079" spans="2:2">
      <c r="B1079"/>
    </row>
    <row r="1080" spans="2:2">
      <c r="B1080"/>
    </row>
    <row r="1081" spans="2:2">
      <c r="B1081"/>
    </row>
    <row r="1082" spans="2:2">
      <c r="B1082"/>
    </row>
    <row r="1083" spans="2:2">
      <c r="B1083"/>
    </row>
    <row r="1084" spans="2:2">
      <c r="B1084"/>
    </row>
    <row r="1085" spans="2:2">
      <c r="B1085"/>
    </row>
    <row r="1086" spans="2:2">
      <c r="B1086"/>
    </row>
    <row r="1087" spans="2:2">
      <c r="B1087"/>
    </row>
    <row r="1088" spans="2:2">
      <c r="B1088"/>
    </row>
    <row r="1089" spans="2:2">
      <c r="B1089"/>
    </row>
    <row r="1090" spans="2:2">
      <c r="B1090"/>
    </row>
    <row r="1091" spans="2:2">
      <c r="B1091"/>
    </row>
    <row r="1092" spans="2:2">
      <c r="B1092"/>
    </row>
    <row r="1093" spans="2:2">
      <c r="B1093"/>
    </row>
    <row r="1094" spans="2:2">
      <c r="B1094"/>
    </row>
    <row r="1095" spans="2:2">
      <c r="B1095"/>
    </row>
    <row r="1096" spans="2:2">
      <c r="B1096"/>
    </row>
    <row r="1097" spans="2:2">
      <c r="B1097"/>
    </row>
    <row r="1098" spans="2:2">
      <c r="B1098"/>
    </row>
    <row r="1099" spans="2:2">
      <c r="B1099"/>
    </row>
    <row r="1100" spans="2:2">
      <c r="B1100"/>
    </row>
    <row r="1101" spans="2:2">
      <c r="B1101"/>
    </row>
    <row r="1102" spans="2:2">
      <c r="B1102"/>
    </row>
    <row r="1103" spans="2:2">
      <c r="B1103"/>
    </row>
    <row r="1104" spans="2:2">
      <c r="B1104"/>
    </row>
    <row r="1105" spans="2:2">
      <c r="B1105"/>
    </row>
    <row r="1106" spans="2:2">
      <c r="B1106"/>
    </row>
    <row r="1107" spans="2:2">
      <c r="B1107"/>
    </row>
    <row r="1108" spans="2:2">
      <c r="B1108"/>
    </row>
    <row r="1109" spans="2:2">
      <c r="B1109"/>
    </row>
    <row r="1110" spans="2:2">
      <c r="B1110"/>
    </row>
    <row r="1111" spans="2:2">
      <c r="B1111"/>
    </row>
    <row r="1112" spans="2:2">
      <c r="B1112"/>
    </row>
    <row r="1113" spans="2:2">
      <c r="B1113"/>
    </row>
    <row r="1114" spans="2:2">
      <c r="B1114"/>
    </row>
    <row r="1115" spans="2:2">
      <c r="B1115"/>
    </row>
    <row r="1116" spans="2:2">
      <c r="B1116"/>
    </row>
    <row r="1117" spans="2:2">
      <c r="B1117"/>
    </row>
    <row r="1118" spans="2:2">
      <c r="B1118"/>
    </row>
    <row r="1119" spans="2:2">
      <c r="B1119"/>
    </row>
    <row r="1120" spans="2:2">
      <c r="B1120"/>
    </row>
    <row r="1121" spans="2:2">
      <c r="B1121"/>
    </row>
    <row r="1122" spans="2:2">
      <c r="B1122"/>
    </row>
    <row r="1123" spans="2:2">
      <c r="B1123"/>
    </row>
    <row r="1124" spans="2:2">
      <c r="B1124"/>
    </row>
    <row r="1125" spans="2:2">
      <c r="B1125"/>
    </row>
    <row r="1126" spans="2:2">
      <c r="B1126"/>
    </row>
    <row r="1127" spans="2:2">
      <c r="B1127"/>
    </row>
    <row r="1128" spans="2:2">
      <c r="B1128"/>
    </row>
    <row r="1129" spans="2:2">
      <c r="B1129"/>
    </row>
    <row r="1130" spans="2:2">
      <c r="B1130"/>
    </row>
    <row r="1131" spans="2:2">
      <c r="B1131"/>
    </row>
    <row r="1132" spans="2:2">
      <c r="B1132"/>
    </row>
    <row r="1133" spans="2:2">
      <c r="B1133"/>
    </row>
    <row r="1134" spans="2:2">
      <c r="B1134"/>
    </row>
    <row r="1135" spans="2:2">
      <c r="B1135"/>
    </row>
    <row r="1136" spans="2:2">
      <c r="B1136"/>
    </row>
    <row r="1137" spans="2:2">
      <c r="B1137"/>
    </row>
    <row r="1138" spans="2:2">
      <c r="B1138"/>
    </row>
    <row r="1139" spans="2:2">
      <c r="B1139"/>
    </row>
    <row r="1140" spans="2:2">
      <c r="B1140"/>
    </row>
    <row r="1141" spans="2:2">
      <c r="B1141"/>
    </row>
    <row r="1142" spans="2:2">
      <c r="B1142"/>
    </row>
    <row r="1143" spans="2:2">
      <c r="B1143"/>
    </row>
    <row r="1144" spans="2:2">
      <c r="B1144"/>
    </row>
    <row r="1145" spans="2:2">
      <c r="B1145"/>
    </row>
    <row r="1146" spans="2:2">
      <c r="B1146"/>
    </row>
    <row r="1147" spans="2:2">
      <c r="B1147"/>
    </row>
    <row r="1148" spans="2:2">
      <c r="B1148"/>
    </row>
    <row r="1149" spans="2:2">
      <c r="B1149"/>
    </row>
    <row r="1150" spans="2:2">
      <c r="B1150"/>
    </row>
    <row r="1151" spans="2:2">
      <c r="B1151"/>
    </row>
    <row r="1152" spans="2:2">
      <c r="B1152"/>
    </row>
    <row r="1153" spans="2:2">
      <c r="B1153"/>
    </row>
    <row r="1154" spans="2:2">
      <c r="B1154"/>
    </row>
    <row r="1155" spans="2:2">
      <c r="B1155"/>
    </row>
    <row r="1156" spans="2:2">
      <c r="B1156"/>
    </row>
    <row r="1157" spans="2:2">
      <c r="B1157"/>
    </row>
    <row r="1158" spans="2:2">
      <c r="B1158"/>
    </row>
    <row r="1159" spans="2:2">
      <c r="B1159"/>
    </row>
    <row r="1160" spans="2:2">
      <c r="B1160"/>
    </row>
    <row r="1161" spans="2:2">
      <c r="B1161"/>
    </row>
    <row r="1162" spans="2:2">
      <c r="B1162"/>
    </row>
    <row r="1163" spans="2:2">
      <c r="B1163"/>
    </row>
    <row r="1164" spans="2:2">
      <c r="B1164"/>
    </row>
    <row r="1165" spans="2:2">
      <c r="B1165"/>
    </row>
    <row r="1166" spans="2:2">
      <c r="B1166"/>
    </row>
    <row r="1167" spans="2:2">
      <c r="B1167"/>
    </row>
    <row r="1168" spans="2:2">
      <c r="B1168"/>
    </row>
    <row r="1169" spans="2:2">
      <c r="B1169"/>
    </row>
    <row r="1170" spans="2:2">
      <c r="B1170"/>
    </row>
    <row r="1171" spans="2:2">
      <c r="B1171"/>
    </row>
    <row r="1172" spans="2:2">
      <c r="B1172"/>
    </row>
    <row r="1173" spans="2:2">
      <c r="B1173"/>
    </row>
    <row r="1174" spans="2:2">
      <c r="B1174"/>
    </row>
    <row r="1175" spans="2:2">
      <c r="B1175"/>
    </row>
    <row r="1176" spans="2:2">
      <c r="B1176"/>
    </row>
    <row r="1177" spans="2:2">
      <c r="B1177"/>
    </row>
    <row r="1178" spans="2:2">
      <c r="B1178"/>
    </row>
    <row r="1179" spans="2:2">
      <c r="B1179"/>
    </row>
    <row r="1180" spans="2:2">
      <c r="B1180"/>
    </row>
    <row r="1181" spans="2:2">
      <c r="B1181"/>
    </row>
    <row r="1182" spans="2:2">
      <c r="B1182"/>
    </row>
    <row r="1183" spans="2:2">
      <c r="B1183"/>
    </row>
    <row r="1184" spans="2:2">
      <c r="B1184"/>
    </row>
    <row r="1185" spans="2:2">
      <c r="B1185"/>
    </row>
    <row r="1186" spans="2:2">
      <c r="B1186"/>
    </row>
    <row r="1187" spans="2:2">
      <c r="B1187"/>
    </row>
    <row r="1188" spans="2:2">
      <c r="B1188"/>
    </row>
    <row r="1189" spans="2:2">
      <c r="B1189"/>
    </row>
    <row r="1190" spans="2:2">
      <c r="B1190"/>
    </row>
    <row r="1191" spans="2:2">
      <c r="B1191"/>
    </row>
    <row r="1192" spans="2:2">
      <c r="B1192"/>
    </row>
    <row r="1193" spans="2:2">
      <c r="B1193"/>
    </row>
    <row r="1194" spans="2:2">
      <c r="B1194"/>
    </row>
    <row r="1195" spans="2:2">
      <c r="B1195"/>
    </row>
    <row r="1196" spans="2:2">
      <c r="B1196"/>
    </row>
    <row r="1197" spans="2:2">
      <c r="B1197"/>
    </row>
    <row r="1198" spans="2:2">
      <c r="B1198"/>
    </row>
    <row r="1199" spans="2:2">
      <c r="B1199"/>
    </row>
    <row r="1200" spans="2:2">
      <c r="B1200"/>
    </row>
    <row r="1201" spans="2:2">
      <c r="B1201"/>
    </row>
    <row r="1202" spans="2:2">
      <c r="B1202"/>
    </row>
    <row r="1203" spans="2:2">
      <c r="B1203"/>
    </row>
    <row r="1204" spans="2:2">
      <c r="B1204"/>
    </row>
    <row r="1205" spans="2:2">
      <c r="B1205"/>
    </row>
    <row r="1206" spans="2:2">
      <c r="B1206"/>
    </row>
    <row r="1207" spans="2:2">
      <c r="B1207"/>
    </row>
    <row r="1208" spans="2:2">
      <c r="B1208"/>
    </row>
    <row r="1209" spans="2:2">
      <c r="B1209"/>
    </row>
    <row r="1210" spans="2:2">
      <c r="B1210"/>
    </row>
    <row r="1211" spans="2:2">
      <c r="B1211"/>
    </row>
    <row r="1212" spans="2:2">
      <c r="B1212"/>
    </row>
    <row r="1213" spans="2:2">
      <c r="B1213"/>
    </row>
    <row r="1214" spans="2:2">
      <c r="B1214"/>
    </row>
    <row r="1215" spans="2:2">
      <c r="B1215"/>
    </row>
    <row r="1216" spans="2:2">
      <c r="B1216"/>
    </row>
    <row r="1217" spans="2:2">
      <c r="B1217"/>
    </row>
    <row r="1218" spans="2:2">
      <c r="B1218"/>
    </row>
    <row r="1219" spans="2:2">
      <c r="B1219"/>
    </row>
    <row r="1220" spans="2:2">
      <c r="B1220"/>
    </row>
    <row r="1221" spans="2:2">
      <c r="B1221"/>
    </row>
    <row r="1222" spans="2:2">
      <c r="B1222"/>
    </row>
    <row r="1223" spans="2:2">
      <c r="B1223"/>
    </row>
    <row r="1224" spans="2:2">
      <c r="B1224"/>
    </row>
    <row r="1225" spans="2:2">
      <c r="B1225"/>
    </row>
    <row r="1226" spans="2:2">
      <c r="B1226"/>
    </row>
    <row r="1227" spans="2:2">
      <c r="B1227"/>
    </row>
    <row r="1228" spans="2:2">
      <c r="B1228"/>
    </row>
    <row r="1229" spans="2:2">
      <c r="B1229"/>
    </row>
    <row r="1230" spans="2:2">
      <c r="B1230"/>
    </row>
    <row r="1231" spans="2:2">
      <c r="B1231"/>
    </row>
    <row r="1232" spans="2:2">
      <c r="B1232"/>
    </row>
    <row r="1233" spans="2:2">
      <c r="B1233"/>
    </row>
    <row r="1234" spans="2:2">
      <c r="B1234"/>
    </row>
    <row r="1235" spans="2:2">
      <c r="B1235"/>
    </row>
    <row r="1236" spans="2:2">
      <c r="B1236"/>
    </row>
    <row r="1237" spans="2:2">
      <c r="B1237"/>
    </row>
    <row r="1238" spans="2:2">
      <c r="B1238"/>
    </row>
    <row r="1239" spans="2:2">
      <c r="B1239"/>
    </row>
    <row r="1240" spans="2:2">
      <c r="B1240"/>
    </row>
    <row r="1241" spans="2:2">
      <c r="B1241"/>
    </row>
    <row r="1242" spans="2:2">
      <c r="B1242"/>
    </row>
    <row r="1243" spans="2:2">
      <c r="B1243"/>
    </row>
    <row r="1244" spans="2:2">
      <c r="B1244"/>
    </row>
    <row r="1245" spans="2:2">
      <c r="B1245"/>
    </row>
    <row r="1246" spans="2:2">
      <c r="B1246"/>
    </row>
    <row r="1247" spans="2:2">
      <c r="B1247"/>
    </row>
    <row r="1248" spans="2:2">
      <c r="B1248"/>
    </row>
    <row r="1249" spans="2:2">
      <c r="B1249"/>
    </row>
    <row r="1250" spans="2:2">
      <c r="B1250"/>
    </row>
    <row r="1251" spans="2:2">
      <c r="B1251"/>
    </row>
    <row r="1252" spans="2:2">
      <c r="B1252"/>
    </row>
    <row r="1253" spans="2:2">
      <c r="B1253"/>
    </row>
    <row r="1254" spans="2:2">
      <c r="B1254"/>
    </row>
    <row r="1255" spans="2:2">
      <c r="B1255"/>
    </row>
    <row r="1256" spans="2:2">
      <c r="B1256"/>
    </row>
    <row r="1257" spans="2:2">
      <c r="B1257"/>
    </row>
    <row r="1258" spans="2:2">
      <c r="B1258"/>
    </row>
    <row r="1259" spans="2:2">
      <c r="B1259"/>
    </row>
    <row r="1260" spans="2:2">
      <c r="B1260"/>
    </row>
    <row r="1261" spans="2:2">
      <c r="B1261"/>
    </row>
    <row r="1262" spans="2:2">
      <c r="B1262"/>
    </row>
    <row r="1263" spans="2:2">
      <c r="B1263"/>
    </row>
    <row r="1264" spans="2:2">
      <c r="B1264"/>
    </row>
    <row r="1265" spans="2:2">
      <c r="B1265"/>
    </row>
    <row r="1266" spans="2:2">
      <c r="B1266"/>
    </row>
    <row r="1267" spans="2:2">
      <c r="B1267"/>
    </row>
    <row r="1268" spans="2:2">
      <c r="B1268"/>
    </row>
    <row r="1269" spans="2:2">
      <c r="B1269"/>
    </row>
    <row r="1270" spans="2:2">
      <c r="B1270"/>
    </row>
    <row r="1271" spans="2:2">
      <c r="B1271"/>
    </row>
    <row r="1272" spans="2:2">
      <c r="B1272"/>
    </row>
    <row r="1273" spans="2:2">
      <c r="B1273"/>
    </row>
    <row r="1274" spans="2:2">
      <c r="B1274"/>
    </row>
    <row r="1275" spans="2:2">
      <c r="B1275"/>
    </row>
    <row r="1276" spans="2:2">
      <c r="B1276"/>
    </row>
    <row r="1277" spans="2:2">
      <c r="B1277"/>
    </row>
    <row r="1278" spans="2:2">
      <c r="B1278"/>
    </row>
    <row r="1279" spans="2:2">
      <c r="B1279"/>
    </row>
    <row r="1280" spans="2:2">
      <c r="B1280"/>
    </row>
    <row r="1281" spans="2:2">
      <c r="B1281"/>
    </row>
    <row r="1282" spans="2:2">
      <c r="B1282"/>
    </row>
    <row r="1283" spans="2:2">
      <c r="B1283"/>
    </row>
    <row r="1284" spans="2:2">
      <c r="B1284"/>
    </row>
    <row r="1285" spans="2:2">
      <c r="B1285"/>
    </row>
    <row r="1286" spans="2:2">
      <c r="B1286"/>
    </row>
    <row r="1287" spans="2:2">
      <c r="B1287"/>
    </row>
    <row r="1288" spans="2:2">
      <c r="B1288"/>
    </row>
    <row r="1289" spans="2:2">
      <c r="B1289"/>
    </row>
    <row r="1290" spans="2:2">
      <c r="B1290"/>
    </row>
    <row r="1291" spans="2:2">
      <c r="B1291"/>
    </row>
    <row r="1292" spans="2:2">
      <c r="B1292"/>
    </row>
    <row r="1293" spans="2:2">
      <c r="B1293"/>
    </row>
    <row r="1294" spans="2:2">
      <c r="B1294"/>
    </row>
    <row r="1295" spans="2:2">
      <c r="B1295"/>
    </row>
    <row r="1296" spans="2:2">
      <c r="B1296"/>
    </row>
    <row r="1297" spans="2:2">
      <c r="B1297"/>
    </row>
    <row r="1298" spans="2:2">
      <c r="B1298"/>
    </row>
    <row r="1299" spans="2:2">
      <c r="B1299"/>
    </row>
    <row r="1300" spans="2:2">
      <c r="B1300"/>
    </row>
    <row r="1301" spans="2:2">
      <c r="B1301"/>
    </row>
    <row r="1302" spans="2:2">
      <c r="B1302"/>
    </row>
    <row r="1303" spans="2:2">
      <c r="B1303"/>
    </row>
    <row r="1304" spans="2:2">
      <c r="B1304"/>
    </row>
    <row r="1305" spans="2:2">
      <c r="B1305"/>
    </row>
    <row r="1306" spans="2:2">
      <c r="B1306"/>
    </row>
    <row r="1307" spans="2:2">
      <c r="B1307"/>
    </row>
    <row r="1308" spans="2:2">
      <c r="B1308"/>
    </row>
    <row r="1309" spans="2:2">
      <c r="B1309"/>
    </row>
    <row r="1310" spans="2:2">
      <c r="B1310"/>
    </row>
    <row r="1311" spans="2:2">
      <c r="B1311"/>
    </row>
    <row r="1312" spans="2:2">
      <c r="B1312"/>
    </row>
    <row r="1313" spans="2:2">
      <c r="B1313"/>
    </row>
    <row r="1314" spans="2:2">
      <c r="B1314"/>
    </row>
    <row r="1315" spans="2:2">
      <c r="B1315"/>
    </row>
    <row r="1316" spans="2:2">
      <c r="B1316"/>
    </row>
    <row r="1317" spans="2:2">
      <c r="B1317"/>
    </row>
    <row r="1318" spans="2:2">
      <c r="B1318"/>
    </row>
    <row r="1319" spans="2:2">
      <c r="B1319"/>
    </row>
    <row r="1320" spans="2:2">
      <c r="B1320"/>
    </row>
    <row r="1321" spans="2:2">
      <c r="B1321"/>
    </row>
    <row r="1322" spans="2:2">
      <c r="B1322"/>
    </row>
    <row r="1323" spans="2:2">
      <c r="B1323"/>
    </row>
    <row r="1324" spans="2:2">
      <c r="B1324"/>
    </row>
    <row r="1325" spans="2:2">
      <c r="B1325"/>
    </row>
    <row r="1326" spans="2:2">
      <c r="B1326"/>
    </row>
    <row r="1327" spans="2:2">
      <c r="B1327"/>
    </row>
    <row r="1328" spans="2:2">
      <c r="B1328"/>
    </row>
    <row r="1329" spans="2:2">
      <c r="B1329"/>
    </row>
    <row r="1330" spans="2:2">
      <c r="B1330"/>
    </row>
    <row r="1331" spans="2:2">
      <c r="B1331"/>
    </row>
    <row r="1332" spans="2:2">
      <c r="B1332"/>
    </row>
    <row r="1333" spans="2:2">
      <c r="B1333"/>
    </row>
    <row r="1334" spans="2:2">
      <c r="B1334"/>
    </row>
    <row r="1335" spans="2:2">
      <c r="B1335"/>
    </row>
    <row r="1336" spans="2:2">
      <c r="B1336"/>
    </row>
    <row r="1337" spans="2:2">
      <c r="B1337"/>
    </row>
    <row r="1338" spans="2:2">
      <c r="B1338"/>
    </row>
    <row r="1339" spans="2:2">
      <c r="B1339"/>
    </row>
    <row r="1340" spans="2:2">
      <c r="B1340"/>
    </row>
    <row r="1341" spans="2:2">
      <c r="B1341"/>
    </row>
    <row r="1342" spans="2:2">
      <c r="B1342"/>
    </row>
    <row r="1343" spans="2:2">
      <c r="B1343"/>
    </row>
    <row r="1344" spans="2:2">
      <c r="B1344"/>
    </row>
    <row r="1345" spans="2:2">
      <c r="B1345"/>
    </row>
    <row r="1346" spans="2:2">
      <c r="B1346"/>
    </row>
    <row r="1347" spans="2:2">
      <c r="B1347"/>
    </row>
    <row r="1348" spans="2:2">
      <c r="B1348"/>
    </row>
    <row r="1349" spans="2:2">
      <c r="B1349"/>
    </row>
    <row r="1350" spans="2:2">
      <c r="B1350"/>
    </row>
    <row r="1351" spans="2:2">
      <c r="B1351"/>
    </row>
    <row r="1352" spans="2:2">
      <c r="B1352"/>
    </row>
    <row r="1353" spans="2:2">
      <c r="B1353"/>
    </row>
    <row r="1354" spans="2:2">
      <c r="B1354"/>
    </row>
    <row r="1355" spans="2:2">
      <c r="B1355"/>
    </row>
    <row r="1356" spans="2:2">
      <c r="B1356"/>
    </row>
    <row r="1357" spans="2:2">
      <c r="B1357"/>
    </row>
    <row r="1358" spans="2:2">
      <c r="B1358"/>
    </row>
    <row r="1359" spans="2:2">
      <c r="B1359"/>
    </row>
    <row r="1360" spans="2:2">
      <c r="B1360"/>
    </row>
    <row r="1361" spans="2:2">
      <c r="B1361"/>
    </row>
    <row r="1362" spans="2:2">
      <c r="B1362"/>
    </row>
    <row r="1363" spans="2:2">
      <c r="B1363"/>
    </row>
    <row r="1364" spans="2:2">
      <c r="B1364"/>
    </row>
    <row r="1365" spans="2:2">
      <c r="B1365"/>
    </row>
    <row r="1366" spans="2:2">
      <c r="B1366"/>
    </row>
    <row r="1367" spans="2:2">
      <c r="B1367"/>
    </row>
    <row r="1368" spans="2:2">
      <c r="B1368"/>
    </row>
    <row r="1369" spans="2:2">
      <c r="B1369"/>
    </row>
    <row r="1370" spans="2:2">
      <c r="B1370"/>
    </row>
    <row r="1371" spans="2:2">
      <c r="B1371"/>
    </row>
    <row r="1372" spans="2:2">
      <c r="B1372"/>
    </row>
    <row r="1373" spans="2:2">
      <c r="B1373"/>
    </row>
    <row r="1374" spans="2:2">
      <c r="B1374"/>
    </row>
    <row r="1375" spans="2:2">
      <c r="B1375"/>
    </row>
    <row r="1376" spans="2:2">
      <c r="B1376"/>
    </row>
    <row r="1377" spans="2:2">
      <c r="B1377"/>
    </row>
    <row r="1378" spans="2:2">
      <c r="B1378"/>
    </row>
    <row r="1379" spans="2:2">
      <c r="B1379"/>
    </row>
    <row r="1380" spans="2:2">
      <c r="B1380"/>
    </row>
    <row r="1381" spans="2:2">
      <c r="B1381"/>
    </row>
    <row r="1382" spans="2:2">
      <c r="B1382"/>
    </row>
    <row r="1383" spans="2:2">
      <c r="B1383"/>
    </row>
    <row r="1384" spans="2:2">
      <c r="B1384"/>
    </row>
    <row r="1385" spans="2:2">
      <c r="B1385"/>
    </row>
    <row r="1386" spans="2:2">
      <c r="B1386"/>
    </row>
    <row r="1387" spans="2:2">
      <c r="B1387"/>
    </row>
    <row r="1388" spans="2:2">
      <c r="B1388"/>
    </row>
    <row r="1389" spans="2:2">
      <c r="B1389"/>
    </row>
    <row r="1390" spans="2:2">
      <c r="B1390"/>
    </row>
    <row r="1391" spans="2:2">
      <c r="B1391"/>
    </row>
    <row r="1392" spans="2:2">
      <c r="B1392"/>
    </row>
    <row r="1393" spans="2:2">
      <c r="B1393"/>
    </row>
    <row r="1394" spans="2:2">
      <c r="B1394"/>
    </row>
    <row r="1395" spans="2:2">
      <c r="B1395"/>
    </row>
    <row r="1396" spans="2:2">
      <c r="B1396"/>
    </row>
    <row r="1397" spans="2:2">
      <c r="B1397"/>
    </row>
    <row r="1398" spans="2:2">
      <c r="B1398"/>
    </row>
    <row r="1399" spans="2:2">
      <c r="B1399"/>
    </row>
    <row r="1400" spans="2:2">
      <c r="B1400"/>
    </row>
    <row r="1401" spans="2:2">
      <c r="B1401"/>
    </row>
    <row r="1402" spans="2:2">
      <c r="B1402"/>
    </row>
    <row r="1403" spans="2:2">
      <c r="B1403"/>
    </row>
    <row r="1404" spans="2:2">
      <c r="B1404"/>
    </row>
    <row r="1405" spans="2:2">
      <c r="B1405"/>
    </row>
    <row r="1406" spans="2:2">
      <c r="B1406"/>
    </row>
    <row r="1407" spans="2:2">
      <c r="B1407"/>
    </row>
    <row r="1408" spans="2:2">
      <c r="B1408"/>
    </row>
    <row r="1409" spans="2:2">
      <c r="B1409"/>
    </row>
    <row r="1410" spans="2:2">
      <c r="B1410"/>
    </row>
    <row r="1411" spans="2:2">
      <c r="B1411"/>
    </row>
    <row r="1412" spans="2:2">
      <c r="B1412"/>
    </row>
    <row r="1413" spans="2:2">
      <c r="B1413"/>
    </row>
    <row r="1414" spans="2:2">
      <c r="B1414"/>
    </row>
    <row r="1415" spans="2:2">
      <c r="B1415"/>
    </row>
    <row r="1416" spans="2:2">
      <c r="B1416"/>
    </row>
    <row r="1417" spans="2:2">
      <c r="B1417"/>
    </row>
    <row r="1418" spans="2:2">
      <c r="B1418"/>
    </row>
    <row r="1419" spans="2:2">
      <c r="B1419"/>
    </row>
    <row r="1420" spans="2:2">
      <c r="B1420"/>
    </row>
    <row r="1421" spans="2:2">
      <c r="B1421"/>
    </row>
    <row r="1422" spans="2:2">
      <c r="B1422"/>
    </row>
    <row r="1423" spans="2:2">
      <c r="B1423"/>
    </row>
    <row r="1424" spans="2:2">
      <c r="B1424"/>
    </row>
    <row r="1425" spans="2:2">
      <c r="B1425"/>
    </row>
    <row r="1426" spans="2:2">
      <c r="B1426"/>
    </row>
    <row r="1427" spans="2:2">
      <c r="B1427"/>
    </row>
    <row r="1428" spans="2:2">
      <c r="B1428"/>
    </row>
    <row r="1429" spans="2:2">
      <c r="B1429"/>
    </row>
    <row r="1430" spans="2:2">
      <c r="B1430"/>
    </row>
    <row r="1431" spans="2:2">
      <c r="B1431"/>
    </row>
    <row r="1432" spans="2:2">
      <c r="B1432"/>
    </row>
    <row r="1433" spans="2:2">
      <c r="B1433"/>
    </row>
    <row r="1434" spans="2:2">
      <c r="B1434"/>
    </row>
    <row r="1435" spans="2:2">
      <c r="B1435"/>
    </row>
    <row r="1436" spans="2:2">
      <c r="B1436"/>
    </row>
    <row r="1437" spans="2:2">
      <c r="B1437"/>
    </row>
    <row r="1438" spans="2:2">
      <c r="B1438"/>
    </row>
    <row r="1439" spans="2:2">
      <c r="B1439"/>
    </row>
    <row r="1440" spans="2:2">
      <c r="B1440"/>
    </row>
    <row r="1441" spans="2:2">
      <c r="B1441"/>
    </row>
    <row r="1442" spans="2:2">
      <c r="B1442"/>
    </row>
    <row r="1443" spans="2:2">
      <c r="B1443"/>
    </row>
    <row r="1444" spans="2:2">
      <c r="B1444"/>
    </row>
    <row r="1445" spans="2:2">
      <c r="B1445"/>
    </row>
    <row r="1446" spans="2:2">
      <c r="B1446"/>
    </row>
    <row r="1447" spans="2:2">
      <c r="B1447"/>
    </row>
    <row r="1448" spans="2:2">
      <c r="B1448"/>
    </row>
    <row r="1449" spans="2:2">
      <c r="B1449"/>
    </row>
    <row r="1450" spans="2:2">
      <c r="B1450"/>
    </row>
    <row r="1451" spans="2:2">
      <c r="B1451"/>
    </row>
    <row r="1452" spans="2:2">
      <c r="B1452"/>
    </row>
    <row r="1453" spans="2:2">
      <c r="B1453"/>
    </row>
    <row r="1454" spans="2:2">
      <c r="B1454"/>
    </row>
    <row r="1455" spans="2:2">
      <c r="B1455"/>
    </row>
    <row r="1456" spans="2:2">
      <c r="B1456"/>
    </row>
    <row r="1457" spans="2:2">
      <c r="B1457"/>
    </row>
    <row r="1458" spans="2:2">
      <c r="B1458"/>
    </row>
    <row r="1459" spans="2:2">
      <c r="B1459"/>
    </row>
    <row r="1460" spans="2:2">
      <c r="B1460"/>
    </row>
    <row r="1461" spans="2:2">
      <c r="B1461"/>
    </row>
    <row r="1462" spans="2:2">
      <c r="B1462"/>
    </row>
    <row r="1463" spans="2:2">
      <c r="B1463"/>
    </row>
    <row r="1464" spans="2:2">
      <c r="B1464"/>
    </row>
    <row r="1465" spans="2:2">
      <c r="B1465"/>
    </row>
    <row r="1466" spans="2:2">
      <c r="B1466"/>
    </row>
    <row r="1467" spans="2:2">
      <c r="B1467"/>
    </row>
    <row r="1468" spans="2:2">
      <c r="B1468"/>
    </row>
    <row r="1469" spans="2:2">
      <c r="B1469"/>
    </row>
    <row r="1470" spans="2:2">
      <c r="B1470"/>
    </row>
    <row r="1471" spans="2:2">
      <c r="B1471"/>
    </row>
    <row r="1472" spans="2:2">
      <c r="B1472"/>
    </row>
    <row r="1473" spans="2:2">
      <c r="B1473"/>
    </row>
    <row r="1474" spans="2:2">
      <c r="B1474"/>
    </row>
    <row r="1475" spans="2:2">
      <c r="B1475"/>
    </row>
    <row r="1476" spans="2:2">
      <c r="B1476"/>
    </row>
    <row r="1477" spans="2:2">
      <c r="B1477"/>
    </row>
    <row r="1478" spans="2:2">
      <c r="B1478"/>
    </row>
    <row r="1479" spans="2:2">
      <c r="B1479"/>
    </row>
    <row r="1480" spans="2:2">
      <c r="B1480"/>
    </row>
    <row r="1481" spans="2:2">
      <c r="B1481"/>
    </row>
    <row r="1482" spans="2:2">
      <c r="B1482"/>
    </row>
    <row r="1483" spans="2:2">
      <c r="B1483"/>
    </row>
    <row r="1484" spans="2:2">
      <c r="B1484"/>
    </row>
    <row r="1485" spans="2:2">
      <c r="B1485"/>
    </row>
    <row r="1486" spans="2:2">
      <c r="B1486"/>
    </row>
    <row r="1487" spans="2:2">
      <c r="B1487"/>
    </row>
    <row r="1488" spans="2:2">
      <c r="B1488"/>
    </row>
    <row r="1489" spans="2:2">
      <c r="B1489"/>
    </row>
    <row r="1490" spans="2:2">
      <c r="B1490"/>
    </row>
    <row r="1491" spans="2:2">
      <c r="B1491"/>
    </row>
    <row r="1492" spans="2:2">
      <c r="B1492"/>
    </row>
    <row r="1493" spans="2:2">
      <c r="B1493"/>
    </row>
    <row r="1494" spans="2:2">
      <c r="B1494"/>
    </row>
    <row r="1495" spans="2:2">
      <c r="B1495"/>
    </row>
    <row r="1496" spans="2:2">
      <c r="B1496"/>
    </row>
    <row r="1497" spans="2:2">
      <c r="B1497"/>
    </row>
    <row r="1498" spans="2:2">
      <c r="B1498"/>
    </row>
    <row r="1499" spans="2:2">
      <c r="B1499"/>
    </row>
    <row r="1500" spans="2:2">
      <c r="B1500"/>
    </row>
    <row r="1501" spans="2:2">
      <c r="B1501"/>
    </row>
    <row r="1502" spans="2:2">
      <c r="B1502"/>
    </row>
    <row r="1503" spans="2:2">
      <c r="B1503"/>
    </row>
    <row r="1504" spans="2:2">
      <c r="B1504"/>
    </row>
    <row r="1505" spans="2:2">
      <c r="B1505"/>
    </row>
    <row r="1506" spans="2:2">
      <c r="B1506"/>
    </row>
    <row r="1507" spans="2:2">
      <c r="B1507"/>
    </row>
    <row r="1508" spans="2:2">
      <c r="B1508"/>
    </row>
    <row r="1509" spans="2:2">
      <c r="B1509"/>
    </row>
    <row r="1510" spans="2:2">
      <c r="B1510"/>
    </row>
    <row r="1511" spans="2:2">
      <c r="B1511"/>
    </row>
    <row r="1512" spans="2:2">
      <c r="B1512"/>
    </row>
    <row r="1513" spans="2:2">
      <c r="B1513"/>
    </row>
    <row r="1514" spans="2:2">
      <c r="B1514"/>
    </row>
    <row r="1515" spans="2:2">
      <c r="B1515"/>
    </row>
    <row r="1516" spans="2:2">
      <c r="B1516"/>
    </row>
    <row r="1517" spans="2:2">
      <c r="B1517"/>
    </row>
    <row r="1518" spans="2:2">
      <c r="B1518"/>
    </row>
    <row r="1519" spans="2:2">
      <c r="B1519"/>
    </row>
    <row r="1520" spans="2:2">
      <c r="B1520"/>
    </row>
    <row r="1521" spans="2:2">
      <c r="B1521"/>
    </row>
    <row r="1522" spans="2:2">
      <c r="B1522"/>
    </row>
    <row r="1523" spans="2:2">
      <c r="B1523"/>
    </row>
    <row r="1524" spans="2:2">
      <c r="B1524"/>
    </row>
    <row r="1525" spans="2:2">
      <c r="B1525"/>
    </row>
    <row r="1526" spans="2:2">
      <c r="B1526"/>
    </row>
    <row r="1527" spans="2:2">
      <c r="B1527"/>
    </row>
    <row r="1528" spans="2:2">
      <c r="B1528"/>
    </row>
    <row r="1529" spans="2:2">
      <c r="B1529"/>
    </row>
    <row r="1530" spans="2:2">
      <c r="B1530"/>
    </row>
    <row r="1531" spans="2:2">
      <c r="B1531"/>
    </row>
    <row r="1532" spans="2:2">
      <c r="B1532"/>
    </row>
    <row r="1533" spans="2:2">
      <c r="B1533"/>
    </row>
    <row r="1534" spans="2:2">
      <c r="B1534"/>
    </row>
    <row r="1535" spans="2:2">
      <c r="B1535"/>
    </row>
    <row r="1536" spans="2:2">
      <c r="B1536"/>
    </row>
    <row r="1537" spans="2:2">
      <c r="B1537"/>
    </row>
    <row r="1538" spans="2:2">
      <c r="B1538"/>
    </row>
    <row r="1539" spans="2:2">
      <c r="B1539"/>
    </row>
    <row r="1540" spans="2:2">
      <c r="B1540"/>
    </row>
    <row r="1541" spans="2:2">
      <c r="B1541"/>
    </row>
    <row r="1542" spans="2:2">
      <c r="B1542"/>
    </row>
    <row r="1543" spans="2:2">
      <c r="B1543"/>
    </row>
    <row r="1544" spans="2:2">
      <c r="B1544"/>
    </row>
    <row r="1545" spans="2:2">
      <c r="B1545"/>
    </row>
    <row r="1546" spans="2:2">
      <c r="B1546"/>
    </row>
    <row r="1547" spans="2:2">
      <c r="B1547"/>
    </row>
    <row r="1548" spans="2:2">
      <c r="B1548"/>
    </row>
    <row r="1549" spans="2:2">
      <c r="B1549"/>
    </row>
    <row r="1550" spans="2:2">
      <c r="B1550"/>
    </row>
    <row r="1551" spans="2:2">
      <c r="B1551"/>
    </row>
    <row r="1552" spans="2:2">
      <c r="B1552"/>
    </row>
    <row r="1553" spans="2:2">
      <c r="B1553"/>
    </row>
    <row r="1554" spans="2:2">
      <c r="B1554"/>
    </row>
    <row r="1555" spans="2:2">
      <c r="B1555"/>
    </row>
    <row r="1556" spans="2:2">
      <c r="B1556"/>
    </row>
    <row r="1557" spans="2:2">
      <c r="B1557"/>
    </row>
    <row r="1558" spans="2:2">
      <c r="B1558"/>
    </row>
    <row r="1559" spans="2:2">
      <c r="B1559"/>
    </row>
    <row r="1560" spans="2:2">
      <c r="B1560"/>
    </row>
    <row r="1561" spans="2:2">
      <c r="B1561"/>
    </row>
    <row r="1562" spans="2:2">
      <c r="B1562"/>
    </row>
    <row r="1563" spans="2:2">
      <c r="B1563"/>
    </row>
    <row r="1564" spans="2:2">
      <c r="B1564"/>
    </row>
    <row r="1565" spans="2:2">
      <c r="B1565"/>
    </row>
    <row r="1566" spans="2:2">
      <c r="B1566"/>
    </row>
    <row r="1567" spans="2:2">
      <c r="B1567"/>
    </row>
    <row r="1568" spans="2:2">
      <c r="B1568"/>
    </row>
    <row r="1569" spans="2:2">
      <c r="B1569"/>
    </row>
    <row r="1570" spans="2:2">
      <c r="B1570"/>
    </row>
    <row r="1571" spans="2:2">
      <c r="B1571"/>
    </row>
    <row r="1572" spans="2:2">
      <c r="B1572"/>
    </row>
    <row r="1573" spans="2:2">
      <c r="B1573"/>
    </row>
    <row r="1574" spans="2:2">
      <c r="B1574"/>
    </row>
    <row r="1575" spans="2:2">
      <c r="B1575"/>
    </row>
    <row r="1576" spans="2:2">
      <c r="B1576"/>
    </row>
    <row r="1577" spans="2:2">
      <c r="B1577"/>
    </row>
    <row r="1578" spans="2:2">
      <c r="B1578"/>
    </row>
    <row r="1579" spans="2:2">
      <c r="B1579"/>
    </row>
    <row r="1580" spans="2:2">
      <c r="B1580"/>
    </row>
    <row r="1581" spans="2:2">
      <c r="B1581"/>
    </row>
    <row r="1582" spans="2:2">
      <c r="B1582"/>
    </row>
    <row r="1583" spans="2:2">
      <c r="B1583"/>
    </row>
    <row r="1584" spans="2:2">
      <c r="B1584"/>
    </row>
    <row r="1585" spans="2:2">
      <c r="B1585"/>
    </row>
    <row r="1586" spans="2:2">
      <c r="B1586"/>
    </row>
    <row r="1587" spans="2:2">
      <c r="B1587"/>
    </row>
    <row r="1588" spans="2:2">
      <c r="B1588"/>
    </row>
    <row r="1589" spans="2:2">
      <c r="B1589"/>
    </row>
    <row r="1590" spans="2:2">
      <c r="B1590"/>
    </row>
    <row r="1591" spans="2:2">
      <c r="B1591"/>
    </row>
    <row r="1592" spans="2:2">
      <c r="B1592"/>
    </row>
    <row r="1593" spans="2:2">
      <c r="B1593"/>
    </row>
    <row r="1594" spans="2:2">
      <c r="B1594"/>
    </row>
    <row r="1595" spans="2:2">
      <c r="B1595"/>
    </row>
    <row r="1596" spans="2:2">
      <c r="B1596"/>
    </row>
    <row r="1597" spans="2:2">
      <c r="B1597"/>
    </row>
    <row r="1598" spans="2:2">
      <c r="B1598"/>
    </row>
    <row r="1599" spans="2:2">
      <c r="B1599"/>
    </row>
    <row r="1600" spans="2:2">
      <c r="B1600"/>
    </row>
    <row r="1601" spans="2:2">
      <c r="B1601"/>
    </row>
    <row r="1602" spans="2:2">
      <c r="B1602"/>
    </row>
    <row r="1603" spans="2:2">
      <c r="B1603"/>
    </row>
    <row r="1604" spans="2:2">
      <c r="B1604"/>
    </row>
    <row r="1605" spans="2:2">
      <c r="B1605"/>
    </row>
    <row r="1606" spans="2:2">
      <c r="B1606"/>
    </row>
    <row r="1607" spans="2:2">
      <c r="B1607"/>
    </row>
    <row r="1608" spans="2:2">
      <c r="B1608"/>
    </row>
    <row r="1609" spans="2:2">
      <c r="B1609"/>
    </row>
    <row r="1610" spans="2:2">
      <c r="B1610"/>
    </row>
    <row r="1611" spans="2:2">
      <c r="B1611"/>
    </row>
    <row r="1612" spans="2:2">
      <c r="B1612"/>
    </row>
    <row r="1613" spans="2:2">
      <c r="B1613"/>
    </row>
    <row r="1614" spans="2:2">
      <c r="B1614"/>
    </row>
    <row r="1615" spans="2:2">
      <c r="B1615"/>
    </row>
    <row r="1616" spans="2:2">
      <c r="B1616"/>
    </row>
    <row r="1617" spans="2:2">
      <c r="B1617"/>
    </row>
    <row r="1618" spans="2:2">
      <c r="B1618"/>
    </row>
    <row r="1619" spans="2:2">
      <c r="B1619"/>
    </row>
    <row r="1620" spans="2:2">
      <c r="B1620"/>
    </row>
    <row r="1621" spans="2:2">
      <c r="B1621"/>
    </row>
    <row r="1622" spans="2:2">
      <c r="B1622"/>
    </row>
    <row r="1623" spans="2:2">
      <c r="B1623"/>
    </row>
    <row r="1624" spans="2:2">
      <c r="B1624"/>
    </row>
    <row r="1625" spans="2:2">
      <c r="B1625"/>
    </row>
    <row r="1626" spans="2:2">
      <c r="B1626"/>
    </row>
    <row r="1627" spans="2:2">
      <c r="B1627"/>
    </row>
    <row r="1628" spans="2:2">
      <c r="B1628"/>
    </row>
    <row r="1629" spans="2:2">
      <c r="B1629"/>
    </row>
    <row r="1630" spans="2:2">
      <c r="B1630"/>
    </row>
    <row r="1631" spans="2:2">
      <c r="B1631"/>
    </row>
    <row r="1632" spans="2:2">
      <c r="B1632"/>
    </row>
    <row r="1633" spans="2:2">
      <c r="B1633"/>
    </row>
    <row r="1634" spans="2:2">
      <c r="B1634"/>
    </row>
    <row r="1635" spans="2:2">
      <c r="B1635"/>
    </row>
    <row r="1636" spans="2:2">
      <c r="B1636"/>
    </row>
    <row r="1637" spans="2:2">
      <c r="B1637"/>
    </row>
    <row r="1638" spans="2:2">
      <c r="B1638"/>
    </row>
    <row r="1639" spans="2:2">
      <c r="B1639"/>
    </row>
    <row r="1640" spans="2:2">
      <c r="B1640"/>
    </row>
    <row r="1641" spans="2:2">
      <c r="B1641"/>
    </row>
    <row r="1642" spans="2:2">
      <c r="B1642"/>
    </row>
    <row r="1643" spans="2:2">
      <c r="B1643"/>
    </row>
    <row r="1644" spans="2:2">
      <c r="B1644"/>
    </row>
    <row r="1645" spans="2:2">
      <c r="B1645"/>
    </row>
    <row r="1646" spans="2:2">
      <c r="B1646"/>
    </row>
    <row r="1647" spans="2:2">
      <c r="B1647"/>
    </row>
    <row r="1648" spans="2:2">
      <c r="B1648"/>
    </row>
    <row r="1649" spans="2:2">
      <c r="B1649"/>
    </row>
    <row r="1650" spans="2:2">
      <c r="B1650"/>
    </row>
    <row r="1651" spans="2:2">
      <c r="B1651"/>
    </row>
    <row r="1652" spans="2:2">
      <c r="B1652"/>
    </row>
    <row r="1653" spans="2:2">
      <c r="B1653"/>
    </row>
    <row r="1654" spans="2:2">
      <c r="B1654"/>
    </row>
    <row r="1655" spans="2:2">
      <c r="B1655"/>
    </row>
    <row r="1656" spans="2:2">
      <c r="B1656"/>
    </row>
    <row r="1657" spans="2:2">
      <c r="B1657"/>
    </row>
    <row r="1658" spans="2:2">
      <c r="B1658"/>
    </row>
    <row r="1659" spans="2:2">
      <c r="B1659"/>
    </row>
    <row r="1660" spans="2:2">
      <c r="B1660"/>
    </row>
    <row r="1661" spans="2:2">
      <c r="B1661"/>
    </row>
    <row r="1662" spans="2:2">
      <c r="B1662"/>
    </row>
    <row r="1663" spans="2:2">
      <c r="B1663"/>
    </row>
    <row r="1664" spans="2:2">
      <c r="B1664"/>
    </row>
    <row r="1665" spans="2:2">
      <c r="B1665"/>
    </row>
    <row r="1666" spans="2:2">
      <c r="B1666"/>
    </row>
    <row r="1667" spans="2:2">
      <c r="B1667"/>
    </row>
    <row r="1668" spans="2:2">
      <c r="B1668"/>
    </row>
    <row r="1669" spans="2:2">
      <c r="B1669"/>
    </row>
    <row r="1670" spans="2:2">
      <c r="B1670"/>
    </row>
    <row r="1671" spans="2:2">
      <c r="B1671"/>
    </row>
    <row r="1672" spans="2:2">
      <c r="B1672"/>
    </row>
    <row r="1673" spans="2:2">
      <c r="B1673"/>
    </row>
    <row r="1674" spans="2:2">
      <c r="B1674"/>
    </row>
    <row r="1675" spans="2:2">
      <c r="B1675"/>
    </row>
    <row r="1676" spans="2:2">
      <c r="B1676"/>
    </row>
    <row r="1677" spans="2:2">
      <c r="B1677"/>
    </row>
    <row r="1678" spans="2:2">
      <c r="B1678"/>
    </row>
    <row r="1679" spans="2:2">
      <c r="B1679"/>
    </row>
    <row r="1680" spans="2:2">
      <c r="B1680"/>
    </row>
    <row r="1681" spans="2:2">
      <c r="B1681"/>
    </row>
    <row r="1682" spans="2:2">
      <c r="B1682"/>
    </row>
    <row r="1683" spans="2:2">
      <c r="B1683"/>
    </row>
    <row r="1684" spans="2:2">
      <c r="B1684"/>
    </row>
    <row r="1685" spans="2:2">
      <c r="B1685"/>
    </row>
    <row r="1686" spans="2:2">
      <c r="B1686"/>
    </row>
    <row r="1687" spans="2:2">
      <c r="B1687"/>
    </row>
    <row r="1688" spans="2:2">
      <c r="B1688"/>
    </row>
    <row r="1689" spans="2:2">
      <c r="B1689"/>
    </row>
    <row r="1690" spans="2:2">
      <c r="B1690"/>
    </row>
    <row r="1691" spans="2:2">
      <c r="B1691"/>
    </row>
    <row r="1692" spans="2:2">
      <c r="B1692"/>
    </row>
    <row r="1693" spans="2:2">
      <c r="B1693"/>
    </row>
    <row r="1694" spans="2:2">
      <c r="B1694"/>
    </row>
    <row r="1695" spans="2:2">
      <c r="B1695"/>
    </row>
    <row r="1696" spans="2:2">
      <c r="B1696"/>
    </row>
    <row r="1697" spans="2:2">
      <c r="B1697"/>
    </row>
    <row r="1698" spans="2:2">
      <c r="B1698"/>
    </row>
    <row r="1699" spans="2:2">
      <c r="B1699"/>
    </row>
    <row r="1700" spans="2:2">
      <c r="B1700"/>
    </row>
    <row r="1701" spans="2:2">
      <c r="B1701"/>
    </row>
    <row r="1702" spans="2:2">
      <c r="B1702"/>
    </row>
    <row r="1703" spans="2:2">
      <c r="B1703"/>
    </row>
    <row r="1704" spans="2:2">
      <c r="B1704"/>
    </row>
    <row r="1705" spans="2:2">
      <c r="B1705"/>
    </row>
    <row r="1706" spans="2:2">
      <c r="B1706"/>
    </row>
    <row r="1707" spans="2:2">
      <c r="B1707"/>
    </row>
    <row r="1708" spans="2:2">
      <c r="B1708"/>
    </row>
    <row r="1709" spans="2:2">
      <c r="B1709"/>
    </row>
    <row r="1710" spans="2:2">
      <c r="B1710"/>
    </row>
    <row r="1711" spans="2:2">
      <c r="B1711"/>
    </row>
    <row r="1712" spans="2:2">
      <c r="B1712"/>
    </row>
    <row r="1713" spans="2:2">
      <c r="B1713"/>
    </row>
    <row r="1714" spans="2:2">
      <c r="B1714"/>
    </row>
    <row r="1715" spans="2:2">
      <c r="B1715"/>
    </row>
    <row r="1716" spans="2:2">
      <c r="B1716"/>
    </row>
    <row r="1717" spans="2:2">
      <c r="B1717"/>
    </row>
    <row r="1718" spans="2:2">
      <c r="B1718"/>
    </row>
    <row r="1719" spans="2:2">
      <c r="B1719"/>
    </row>
    <row r="1720" spans="2:2">
      <c r="B1720"/>
    </row>
    <row r="1721" spans="2:2">
      <c r="B1721"/>
    </row>
    <row r="1722" spans="2:2">
      <c r="B1722"/>
    </row>
    <row r="1723" spans="2:2">
      <c r="B1723"/>
    </row>
    <row r="1724" spans="2:2">
      <c r="B1724"/>
    </row>
    <row r="1725" spans="2:2">
      <c r="B1725"/>
    </row>
    <row r="1726" spans="2:2">
      <c r="B1726"/>
    </row>
    <row r="1727" spans="2:2">
      <c r="B1727"/>
    </row>
    <row r="1728" spans="2:2">
      <c r="B1728"/>
    </row>
    <row r="1729" spans="2:2">
      <c r="B1729"/>
    </row>
    <row r="1730" spans="2:2">
      <c r="B1730"/>
    </row>
    <row r="1731" spans="2:2">
      <c r="B1731"/>
    </row>
    <row r="1732" spans="2:2">
      <c r="B1732"/>
    </row>
    <row r="1733" spans="2:2">
      <c r="B1733"/>
    </row>
    <row r="1734" spans="2:2">
      <c r="B1734"/>
    </row>
    <row r="1735" spans="2:2">
      <c r="B1735"/>
    </row>
    <row r="1736" spans="2:2">
      <c r="B1736"/>
    </row>
    <row r="1737" spans="2:2">
      <c r="B1737"/>
    </row>
    <row r="1738" spans="2:2">
      <c r="B1738"/>
    </row>
    <row r="1739" spans="2:2">
      <c r="B1739"/>
    </row>
    <row r="1740" spans="2:2">
      <c r="B1740"/>
    </row>
    <row r="1741" spans="2:2">
      <c r="B1741"/>
    </row>
    <row r="1742" spans="2:2">
      <c r="B1742"/>
    </row>
    <row r="1743" spans="2:2">
      <c r="B1743"/>
    </row>
    <row r="1744" spans="2:2">
      <c r="B1744"/>
    </row>
    <row r="1745" spans="2:2">
      <c r="B1745"/>
    </row>
    <row r="1746" spans="2:2">
      <c r="B1746"/>
    </row>
    <row r="1747" spans="2:2">
      <c r="B1747"/>
    </row>
    <row r="1748" spans="2:2">
      <c r="B1748"/>
    </row>
    <row r="1749" spans="2:2">
      <c r="B1749"/>
    </row>
    <row r="1750" spans="2:2">
      <c r="B1750"/>
    </row>
    <row r="1751" spans="2:2">
      <c r="B1751"/>
    </row>
    <row r="1752" spans="2:2">
      <c r="B1752"/>
    </row>
    <row r="1753" spans="2:2">
      <c r="B1753"/>
    </row>
    <row r="1754" spans="2:2">
      <c r="B1754"/>
    </row>
    <row r="1755" spans="2:2">
      <c r="B1755"/>
    </row>
    <row r="1756" spans="2:2">
      <c r="B1756"/>
    </row>
    <row r="1757" spans="2:2">
      <c r="B1757"/>
    </row>
    <row r="1758" spans="2:2">
      <c r="B1758"/>
    </row>
    <row r="1759" spans="2:2">
      <c r="B1759"/>
    </row>
    <row r="1760" spans="2:2">
      <c r="B1760"/>
    </row>
    <row r="1761" spans="2:2">
      <c r="B1761"/>
    </row>
    <row r="1762" spans="2:2">
      <c r="B1762"/>
    </row>
    <row r="1763" spans="2:2">
      <c r="B1763"/>
    </row>
    <row r="1764" spans="2:2">
      <c r="B1764"/>
    </row>
    <row r="1765" spans="2:2">
      <c r="B1765"/>
    </row>
    <row r="1766" spans="2:2">
      <c r="B1766"/>
    </row>
    <row r="1767" spans="2:2">
      <c r="B1767"/>
    </row>
    <row r="1768" spans="2:2">
      <c r="B1768"/>
    </row>
    <row r="1769" spans="2:2">
      <c r="B1769"/>
    </row>
    <row r="1770" spans="2:2">
      <c r="B1770"/>
    </row>
    <row r="1771" spans="2:2">
      <c r="B1771"/>
    </row>
    <row r="1772" spans="2:2">
      <c r="B1772"/>
    </row>
    <row r="1773" spans="2:2">
      <c r="B1773"/>
    </row>
    <row r="1774" spans="2:2">
      <c r="B1774"/>
    </row>
    <row r="1775" spans="2:2">
      <c r="B1775"/>
    </row>
    <row r="1776" spans="2:2">
      <c r="B1776"/>
    </row>
    <row r="1777" spans="2:2">
      <c r="B1777"/>
    </row>
    <row r="1778" spans="2:2">
      <c r="B1778"/>
    </row>
    <row r="1779" spans="2:2">
      <c r="B1779"/>
    </row>
    <row r="1780" spans="2:2">
      <c r="B1780"/>
    </row>
    <row r="1781" spans="2:2">
      <c r="B1781"/>
    </row>
    <row r="1782" spans="2:2">
      <c r="B1782"/>
    </row>
    <row r="1783" spans="2:2">
      <c r="B1783"/>
    </row>
    <row r="1784" spans="2:2">
      <c r="B1784"/>
    </row>
    <row r="1785" spans="2:2">
      <c r="B1785"/>
    </row>
    <row r="1786" spans="2:2">
      <c r="B1786"/>
    </row>
    <row r="1787" spans="2:2">
      <c r="B1787"/>
    </row>
    <row r="1788" spans="2:2">
      <c r="B1788"/>
    </row>
    <row r="1789" spans="2:2">
      <c r="B1789"/>
    </row>
    <row r="1790" spans="2:2">
      <c r="B1790"/>
    </row>
    <row r="1791" spans="2:2">
      <c r="B1791"/>
    </row>
    <row r="1792" spans="2:2">
      <c r="B1792"/>
    </row>
    <row r="1793" spans="2:2">
      <c r="B1793"/>
    </row>
    <row r="1794" spans="2:2">
      <c r="B1794"/>
    </row>
    <row r="1795" spans="2:2">
      <c r="B1795"/>
    </row>
    <row r="1796" spans="2:2">
      <c r="B1796"/>
    </row>
    <row r="1797" spans="2:2">
      <c r="B1797"/>
    </row>
    <row r="1798" spans="2:2">
      <c r="B1798"/>
    </row>
    <row r="1799" spans="2:2">
      <c r="B1799"/>
    </row>
    <row r="1800" spans="2:2">
      <c r="B1800"/>
    </row>
    <row r="1801" spans="2:2">
      <c r="B1801"/>
    </row>
    <row r="1802" spans="2:2">
      <c r="B1802"/>
    </row>
    <row r="1803" spans="2:2">
      <c r="B1803"/>
    </row>
    <row r="1804" spans="2:2">
      <c r="B1804"/>
    </row>
    <row r="1805" spans="2:2">
      <c r="B1805"/>
    </row>
    <row r="1806" spans="2:2">
      <c r="B1806"/>
    </row>
    <row r="1807" spans="2:2">
      <c r="B1807"/>
    </row>
    <row r="1808" spans="2:2">
      <c r="B1808"/>
    </row>
    <row r="1809" spans="2:2">
      <c r="B1809"/>
    </row>
    <row r="1810" spans="2:2">
      <c r="B1810"/>
    </row>
    <row r="1811" spans="2:2">
      <c r="B1811"/>
    </row>
    <row r="1812" spans="2:2">
      <c r="B1812"/>
    </row>
    <row r="1813" spans="2:2">
      <c r="B1813"/>
    </row>
    <row r="1814" spans="2:2">
      <c r="B1814"/>
    </row>
    <row r="1815" spans="2:2">
      <c r="B1815"/>
    </row>
    <row r="1816" spans="2:2">
      <c r="B1816"/>
    </row>
    <row r="1817" spans="2:2">
      <c r="B1817"/>
    </row>
    <row r="1818" spans="2:2">
      <c r="B1818"/>
    </row>
    <row r="1819" spans="2:2">
      <c r="B1819"/>
    </row>
    <row r="1820" spans="2:2">
      <c r="B1820"/>
    </row>
    <row r="1821" spans="2:2">
      <c r="B1821"/>
    </row>
    <row r="1822" spans="2:2">
      <c r="B1822"/>
    </row>
    <row r="1823" spans="2:2">
      <c r="B1823"/>
    </row>
    <row r="1824" spans="2:2">
      <c r="B1824"/>
    </row>
    <row r="1825" spans="2:2">
      <c r="B1825"/>
    </row>
    <row r="1826" spans="2:2">
      <c r="B1826"/>
    </row>
    <row r="1827" spans="2:2">
      <c r="B1827"/>
    </row>
    <row r="1828" spans="2:2">
      <c r="B1828"/>
    </row>
    <row r="1829" spans="2:2">
      <c r="B1829"/>
    </row>
    <row r="1830" spans="2:2">
      <c r="B1830"/>
    </row>
    <row r="1831" spans="2:2">
      <c r="B1831"/>
    </row>
    <row r="1832" spans="2:2">
      <c r="B1832"/>
    </row>
    <row r="1833" spans="2:2">
      <c r="B1833"/>
    </row>
    <row r="1834" spans="2:2">
      <c r="B1834"/>
    </row>
    <row r="1835" spans="2:2">
      <c r="B1835"/>
    </row>
    <row r="1836" spans="2:2">
      <c r="B1836"/>
    </row>
    <row r="1837" spans="2:2">
      <c r="B1837"/>
    </row>
    <row r="1838" spans="2:2">
      <c r="B1838"/>
    </row>
    <row r="1839" spans="2:2">
      <c r="B1839"/>
    </row>
    <row r="1840" spans="2:2">
      <c r="B1840"/>
    </row>
    <row r="1841" spans="2:2">
      <c r="B1841"/>
    </row>
    <row r="1842" spans="2:2">
      <c r="B1842"/>
    </row>
    <row r="1843" spans="2:2">
      <c r="B1843"/>
    </row>
    <row r="1844" spans="2:2">
      <c r="B1844"/>
    </row>
    <row r="1845" spans="2:2">
      <c r="B1845"/>
    </row>
    <row r="1846" spans="2:2">
      <c r="B1846"/>
    </row>
    <row r="1847" spans="2:2">
      <c r="B1847"/>
    </row>
    <row r="1848" spans="2:2">
      <c r="B1848"/>
    </row>
    <row r="1849" spans="2:2">
      <c r="B1849"/>
    </row>
    <row r="1850" spans="2:2">
      <c r="B1850"/>
    </row>
    <row r="1851" spans="2:2">
      <c r="B1851"/>
    </row>
    <row r="1852" spans="2:2">
      <c r="B1852"/>
    </row>
    <row r="1853" spans="2:2">
      <c r="B1853"/>
    </row>
    <row r="1854" spans="2:2">
      <c r="B1854"/>
    </row>
    <row r="1855" spans="2:2">
      <c r="B1855"/>
    </row>
    <row r="1856" spans="2:2">
      <c r="B1856"/>
    </row>
    <row r="1857" spans="2:2">
      <c r="B1857"/>
    </row>
    <row r="1858" spans="2:2">
      <c r="B1858"/>
    </row>
    <row r="1859" spans="2:2">
      <c r="B1859"/>
    </row>
    <row r="1860" spans="2:2">
      <c r="B1860"/>
    </row>
    <row r="1861" spans="2:2">
      <c r="B1861"/>
    </row>
    <row r="1862" spans="2:2">
      <c r="B1862"/>
    </row>
    <row r="1863" spans="2:2">
      <c r="B1863"/>
    </row>
    <row r="1864" spans="2:2">
      <c r="B1864"/>
    </row>
    <row r="1865" spans="2:2">
      <c r="B1865"/>
    </row>
    <row r="1866" spans="2:2">
      <c r="B1866"/>
    </row>
    <row r="1867" spans="2:2">
      <c r="B1867"/>
    </row>
    <row r="1868" spans="2:2">
      <c r="B1868"/>
    </row>
    <row r="1869" spans="2:2">
      <c r="B1869"/>
    </row>
    <row r="1870" spans="2:2">
      <c r="B1870"/>
    </row>
    <row r="1871" spans="2:2">
      <c r="B1871"/>
    </row>
    <row r="1872" spans="2:2">
      <c r="B1872"/>
    </row>
    <row r="1873" spans="2:2">
      <c r="B1873"/>
    </row>
    <row r="1874" spans="2:2">
      <c r="B1874"/>
    </row>
    <row r="1875" spans="2:2">
      <c r="B1875"/>
    </row>
    <row r="1876" spans="2:2">
      <c r="B1876"/>
    </row>
    <row r="1877" spans="2:2">
      <c r="B1877"/>
    </row>
    <row r="1878" spans="2:2">
      <c r="B1878"/>
    </row>
    <row r="1879" spans="2:2">
      <c r="B1879"/>
    </row>
    <row r="1880" spans="2:2">
      <c r="B1880"/>
    </row>
    <row r="1881" spans="2:2">
      <c r="B1881"/>
    </row>
    <row r="1882" spans="2:2">
      <c r="B1882"/>
    </row>
    <row r="1883" spans="2:2">
      <c r="B1883"/>
    </row>
    <row r="1884" spans="2:2">
      <c r="B1884"/>
    </row>
    <row r="1885" spans="2:2">
      <c r="B1885"/>
    </row>
    <row r="1886" spans="2:2">
      <c r="B1886"/>
    </row>
    <row r="1887" spans="2:2">
      <c r="B1887"/>
    </row>
    <row r="1888" spans="2:2">
      <c r="B1888"/>
    </row>
    <row r="1889" spans="2:2">
      <c r="B1889"/>
    </row>
    <row r="1890" spans="2:2">
      <c r="B1890"/>
    </row>
    <row r="1891" spans="2:2">
      <c r="B1891"/>
    </row>
    <row r="1892" spans="2:2">
      <c r="B1892"/>
    </row>
    <row r="1893" spans="2:2">
      <c r="B1893"/>
    </row>
    <row r="1894" spans="2:2">
      <c r="B1894"/>
    </row>
    <row r="1895" spans="2:2">
      <c r="B1895"/>
    </row>
    <row r="1896" spans="2:2">
      <c r="B1896"/>
    </row>
    <row r="1897" spans="2:2">
      <c r="B1897"/>
    </row>
    <row r="1898" spans="2:2">
      <c r="B1898"/>
    </row>
    <row r="1899" spans="2:2">
      <c r="B1899"/>
    </row>
    <row r="1900" spans="2:2">
      <c r="B1900"/>
    </row>
    <row r="1901" spans="2:2">
      <c r="B1901"/>
    </row>
    <row r="1902" spans="2:2">
      <c r="B1902"/>
    </row>
    <row r="1903" spans="2:2">
      <c r="B1903"/>
    </row>
    <row r="1904" spans="2:2">
      <c r="B1904"/>
    </row>
    <row r="1905" spans="2:2">
      <c r="B1905"/>
    </row>
    <row r="1906" spans="2:2">
      <c r="B1906"/>
    </row>
    <row r="1907" spans="2:2">
      <c r="B1907"/>
    </row>
    <row r="1908" spans="2:2">
      <c r="B1908"/>
    </row>
    <row r="1909" spans="2:2">
      <c r="B1909"/>
    </row>
    <row r="1910" spans="2:2">
      <c r="B1910"/>
    </row>
    <row r="1911" spans="2:2">
      <c r="B1911"/>
    </row>
    <row r="1912" spans="2:2">
      <c r="B1912"/>
    </row>
    <row r="1913" spans="2:2">
      <c r="B1913"/>
    </row>
    <row r="1914" spans="2:2">
      <c r="B1914"/>
    </row>
    <row r="1915" spans="2:2">
      <c r="B1915"/>
    </row>
    <row r="1916" spans="2:2">
      <c r="B1916"/>
    </row>
    <row r="1917" spans="2:2">
      <c r="B1917"/>
    </row>
    <row r="1918" spans="2:2">
      <c r="B1918"/>
    </row>
    <row r="1919" spans="2:2">
      <c r="B1919"/>
    </row>
    <row r="1920" spans="2:2">
      <c r="B1920"/>
    </row>
    <row r="1921" spans="2:2">
      <c r="B1921"/>
    </row>
    <row r="1922" spans="2:2">
      <c r="B1922"/>
    </row>
    <row r="1923" spans="2:2">
      <c r="B1923"/>
    </row>
    <row r="1924" spans="2:2">
      <c r="B1924"/>
    </row>
    <row r="1925" spans="2:2">
      <c r="B1925"/>
    </row>
    <row r="1926" spans="2:2">
      <c r="B1926"/>
    </row>
    <row r="1927" spans="2:2">
      <c r="B1927"/>
    </row>
    <row r="1928" spans="2:2">
      <c r="B1928"/>
    </row>
    <row r="1929" spans="2:2">
      <c r="B1929"/>
    </row>
    <row r="1930" spans="2:2">
      <c r="B1930"/>
    </row>
    <row r="1931" spans="2:2">
      <c r="B1931"/>
    </row>
    <row r="1932" spans="2:2">
      <c r="B1932"/>
    </row>
    <row r="1933" spans="2:2">
      <c r="B1933"/>
    </row>
    <row r="1934" spans="2:2">
      <c r="B1934"/>
    </row>
    <row r="1935" spans="2:2">
      <c r="B1935"/>
    </row>
    <row r="1936" spans="2:2">
      <c r="B1936"/>
    </row>
    <row r="1937" spans="2:2">
      <c r="B1937"/>
    </row>
    <row r="1938" spans="2:2">
      <c r="B1938"/>
    </row>
    <row r="1939" spans="2:2">
      <c r="B1939"/>
    </row>
    <row r="1940" spans="2:2">
      <c r="B1940"/>
    </row>
    <row r="1941" spans="2:2">
      <c r="B1941"/>
    </row>
    <row r="1942" spans="2:2">
      <c r="B1942"/>
    </row>
    <row r="1943" spans="2:2">
      <c r="B1943"/>
    </row>
    <row r="1944" spans="2:2">
      <c r="B1944"/>
    </row>
    <row r="1945" spans="2:2">
      <c r="B1945"/>
    </row>
    <row r="1946" spans="2:2">
      <c r="B1946"/>
    </row>
    <row r="1947" spans="2:2">
      <c r="B1947"/>
    </row>
    <row r="1948" spans="2:2">
      <c r="B1948"/>
    </row>
    <row r="1949" spans="2:2">
      <c r="B1949"/>
    </row>
    <row r="1950" spans="2:2">
      <c r="B1950"/>
    </row>
    <row r="1951" spans="2:2">
      <c r="B1951"/>
    </row>
    <row r="1952" spans="2:2">
      <c r="B1952"/>
    </row>
    <row r="1953" spans="2:2">
      <c r="B1953"/>
    </row>
    <row r="1954" spans="2:2">
      <c r="B1954"/>
    </row>
    <row r="1955" spans="2:2">
      <c r="B1955"/>
    </row>
    <row r="1956" spans="2:2">
      <c r="B1956"/>
    </row>
    <row r="1957" spans="2:2">
      <c r="B1957"/>
    </row>
    <row r="1958" spans="2:2">
      <c r="B1958"/>
    </row>
    <row r="1959" spans="2:2">
      <c r="B1959"/>
    </row>
    <row r="1960" spans="2:2">
      <c r="B1960"/>
    </row>
    <row r="1961" spans="2:2">
      <c r="B1961"/>
    </row>
    <row r="1962" spans="2:2">
      <c r="B1962"/>
    </row>
    <row r="1963" spans="2:2">
      <c r="B1963"/>
    </row>
    <row r="1964" spans="2:2">
      <c r="B1964"/>
    </row>
    <row r="1965" spans="2:2">
      <c r="B1965"/>
    </row>
    <row r="1966" spans="2:2">
      <c r="B1966"/>
    </row>
    <row r="1967" spans="2:2">
      <c r="B1967"/>
    </row>
    <row r="1968" spans="2:2">
      <c r="B1968"/>
    </row>
    <row r="1969" spans="2:2">
      <c r="B1969"/>
    </row>
    <row r="1970" spans="2:2">
      <c r="B1970"/>
    </row>
    <row r="1971" spans="2:2">
      <c r="B1971"/>
    </row>
    <row r="1972" spans="2:2">
      <c r="B1972"/>
    </row>
    <row r="1973" spans="2:2">
      <c r="B1973"/>
    </row>
    <row r="1974" spans="2:2">
      <c r="B1974"/>
    </row>
    <row r="1975" spans="2:2">
      <c r="B1975"/>
    </row>
    <row r="1976" spans="2:2">
      <c r="B1976"/>
    </row>
    <row r="1977" spans="2:2">
      <c r="B1977"/>
    </row>
    <row r="1978" spans="2:2">
      <c r="B1978"/>
    </row>
    <row r="1979" spans="2:2">
      <c r="B1979"/>
    </row>
    <row r="1980" spans="2:2">
      <c r="B1980"/>
    </row>
    <row r="1981" spans="2:2">
      <c r="B1981"/>
    </row>
    <row r="1982" spans="2:2">
      <c r="B1982"/>
    </row>
    <row r="1983" spans="2:2">
      <c r="B1983"/>
    </row>
    <row r="1984" spans="2:2">
      <c r="B1984"/>
    </row>
    <row r="1985" spans="2:2">
      <c r="B1985"/>
    </row>
    <row r="1986" spans="2:2">
      <c r="B1986"/>
    </row>
    <row r="1987" spans="2:2">
      <c r="B1987"/>
    </row>
    <row r="1988" spans="2:2">
      <c r="B1988"/>
    </row>
    <row r="1989" spans="2:2">
      <c r="B1989"/>
    </row>
    <row r="1990" spans="2:2">
      <c r="B1990"/>
    </row>
    <row r="1991" spans="2:2">
      <c r="B1991"/>
    </row>
    <row r="1992" spans="2:2">
      <c r="B1992"/>
    </row>
    <row r="1993" spans="2:2">
      <c r="B1993"/>
    </row>
    <row r="1994" spans="2:2">
      <c r="B1994"/>
    </row>
    <row r="1995" spans="2:2">
      <c r="B1995"/>
    </row>
    <row r="1996" spans="2:2">
      <c r="B1996"/>
    </row>
    <row r="1997" spans="2:2">
      <c r="B1997"/>
    </row>
    <row r="1998" spans="2:2">
      <c r="B1998"/>
    </row>
    <row r="1999" spans="2:2">
      <c r="B1999"/>
    </row>
    <row r="2000" spans="2:2">
      <c r="B2000"/>
    </row>
    <row r="2001" spans="2:2">
      <c r="B2001"/>
    </row>
    <row r="2002" spans="2:2">
      <c r="B2002"/>
    </row>
    <row r="2003" spans="2:2">
      <c r="B2003"/>
    </row>
    <row r="2004" spans="2:2">
      <c r="B2004"/>
    </row>
    <row r="2005" spans="2:2">
      <c r="B2005"/>
    </row>
    <row r="2006" spans="2:2">
      <c r="B2006"/>
    </row>
    <row r="2007" spans="2:2">
      <c r="B2007"/>
    </row>
    <row r="2008" spans="2:2">
      <c r="B2008"/>
    </row>
    <row r="2009" spans="2:2">
      <c r="B2009"/>
    </row>
    <row r="2010" spans="2:2">
      <c r="B2010"/>
    </row>
    <row r="2011" spans="2:2">
      <c r="B2011"/>
    </row>
    <row r="2012" spans="2:2">
      <c r="B2012"/>
    </row>
    <row r="2013" spans="2:2">
      <c r="B2013"/>
    </row>
    <row r="2014" spans="2:2">
      <c r="B2014"/>
    </row>
    <row r="2015" spans="2:2">
      <c r="B2015"/>
    </row>
    <row r="2016" spans="2:2">
      <c r="B2016"/>
    </row>
    <row r="2017" spans="2:2">
      <c r="B2017"/>
    </row>
    <row r="2018" spans="2:2">
      <c r="B2018"/>
    </row>
    <row r="2019" spans="2:2">
      <c r="B2019"/>
    </row>
    <row r="2020" spans="2:2">
      <c r="B2020"/>
    </row>
    <row r="2021" spans="2:2">
      <c r="B2021"/>
    </row>
    <row r="2022" spans="2:2">
      <c r="B2022"/>
    </row>
    <row r="2023" spans="2:2">
      <c r="B2023"/>
    </row>
    <row r="2024" spans="2:2">
      <c r="B2024"/>
    </row>
    <row r="2025" spans="2:2">
      <c r="B2025"/>
    </row>
    <row r="2026" spans="2:2">
      <c r="B2026"/>
    </row>
    <row r="2027" spans="2:2">
      <c r="B2027"/>
    </row>
    <row r="2028" spans="2:2">
      <c r="B2028"/>
    </row>
    <row r="2029" spans="2:2">
      <c r="B2029"/>
    </row>
    <row r="2030" spans="2:2">
      <c r="B2030"/>
    </row>
    <row r="2031" spans="2:2">
      <c r="B2031"/>
    </row>
    <row r="2032" spans="2:2">
      <c r="B2032"/>
    </row>
    <row r="2033" spans="2:2">
      <c r="B2033"/>
    </row>
    <row r="2034" spans="2:2">
      <c r="B2034"/>
    </row>
    <row r="2035" spans="2:2">
      <c r="B2035"/>
    </row>
    <row r="2036" spans="2:2">
      <c r="B2036"/>
    </row>
    <row r="2037" spans="2:2">
      <c r="B2037"/>
    </row>
    <row r="2038" spans="2:2">
      <c r="B2038"/>
    </row>
    <row r="2039" spans="2:2">
      <c r="B2039"/>
    </row>
    <row r="2040" spans="2:2">
      <c r="B2040"/>
    </row>
    <row r="2041" spans="2:2">
      <c r="B2041"/>
    </row>
    <row r="2042" spans="2:2">
      <c r="B2042"/>
    </row>
    <row r="2043" spans="2:2">
      <c r="B2043"/>
    </row>
    <row r="2044" spans="2:2">
      <c r="B2044"/>
    </row>
    <row r="2045" spans="2:2">
      <c r="B2045"/>
    </row>
    <row r="2046" spans="2:2">
      <c r="B2046"/>
    </row>
    <row r="2047" spans="2:2">
      <c r="B2047"/>
    </row>
    <row r="2048" spans="2:2">
      <c r="B2048"/>
    </row>
    <row r="2049" spans="2:2">
      <c r="B2049"/>
    </row>
    <row r="2050" spans="2:2">
      <c r="B2050"/>
    </row>
    <row r="2051" spans="2:2">
      <c r="B2051"/>
    </row>
    <row r="2052" spans="2:2">
      <c r="B2052"/>
    </row>
    <row r="2053" spans="2:2">
      <c r="B2053"/>
    </row>
    <row r="2054" spans="2:2">
      <c r="B2054"/>
    </row>
    <row r="2055" spans="2:2">
      <c r="B2055"/>
    </row>
    <row r="2056" spans="2:2">
      <c r="B2056"/>
    </row>
    <row r="2057" spans="2:2">
      <c r="B2057"/>
    </row>
    <row r="2058" spans="2:2">
      <c r="B2058"/>
    </row>
    <row r="2059" spans="2:2">
      <c r="B2059"/>
    </row>
    <row r="2060" spans="2:2">
      <c r="B2060"/>
    </row>
    <row r="2061" spans="2:2">
      <c r="B2061"/>
    </row>
    <row r="2062" spans="2:2">
      <c r="B2062"/>
    </row>
    <row r="2063" spans="2:2">
      <c r="B2063"/>
    </row>
    <row r="2064" spans="2:2">
      <c r="B2064"/>
    </row>
    <row r="2065" spans="2:2">
      <c r="B2065"/>
    </row>
    <row r="2066" spans="2:2">
      <c r="B2066"/>
    </row>
    <row r="2067" spans="2:2">
      <c r="B2067"/>
    </row>
    <row r="2068" spans="2:2">
      <c r="B2068"/>
    </row>
    <row r="2069" spans="2:2">
      <c r="B2069"/>
    </row>
    <row r="2070" spans="2:2">
      <c r="B2070"/>
    </row>
    <row r="2071" spans="2:2">
      <c r="B2071"/>
    </row>
    <row r="2072" spans="2:2">
      <c r="B2072"/>
    </row>
    <row r="2073" spans="2:2">
      <c r="B2073"/>
    </row>
    <row r="2074" spans="2:2">
      <c r="B2074"/>
    </row>
    <row r="2075" spans="2:2">
      <c r="B2075"/>
    </row>
    <row r="2076" spans="2:2">
      <c r="B2076"/>
    </row>
    <row r="2077" spans="2:2">
      <c r="B2077"/>
    </row>
    <row r="2078" spans="2:2">
      <c r="B2078"/>
    </row>
    <row r="2079" spans="2:2">
      <c r="B2079"/>
    </row>
    <row r="2080" spans="2:2">
      <c r="B2080"/>
    </row>
    <row r="2081" spans="2:2">
      <c r="B2081"/>
    </row>
    <row r="2082" spans="2:2">
      <c r="B2082"/>
    </row>
    <row r="2083" spans="2:2">
      <c r="B2083"/>
    </row>
    <row r="2084" spans="2:2">
      <c r="B2084"/>
    </row>
    <row r="2085" spans="2:2">
      <c r="B2085"/>
    </row>
    <row r="2086" spans="2:2">
      <c r="B2086"/>
    </row>
    <row r="2087" spans="2:2">
      <c r="B2087"/>
    </row>
    <row r="2088" spans="2:2">
      <c r="B2088"/>
    </row>
    <row r="2089" spans="2:2">
      <c r="B2089"/>
    </row>
    <row r="2090" spans="2:2">
      <c r="B2090"/>
    </row>
    <row r="2091" spans="2:2">
      <c r="B2091"/>
    </row>
    <row r="2092" spans="2:2">
      <c r="B2092"/>
    </row>
    <row r="2093" spans="2:2">
      <c r="B2093"/>
    </row>
    <row r="2094" spans="2:2">
      <c r="B2094"/>
    </row>
    <row r="2095" spans="2:2">
      <c r="B2095"/>
    </row>
    <row r="2096" spans="2:2">
      <c r="B2096"/>
    </row>
    <row r="2097" spans="2:2">
      <c r="B2097"/>
    </row>
    <row r="2098" spans="2:2">
      <c r="B2098"/>
    </row>
    <row r="2099" spans="2:2">
      <c r="B2099"/>
    </row>
    <row r="2100" spans="2:2">
      <c r="B2100"/>
    </row>
    <row r="2101" spans="2:2">
      <c r="B2101"/>
    </row>
    <row r="2102" spans="2:2">
      <c r="B2102"/>
    </row>
    <row r="2103" spans="2:2">
      <c r="B2103"/>
    </row>
    <row r="2104" spans="2:2">
      <c r="B2104"/>
    </row>
    <row r="2105" spans="2:2">
      <c r="B2105"/>
    </row>
    <row r="2106" spans="2:2">
      <c r="B2106"/>
    </row>
    <row r="2107" spans="2:2">
      <c r="B2107"/>
    </row>
    <row r="2108" spans="2:2">
      <c r="B2108"/>
    </row>
    <row r="2109" spans="2:2">
      <c r="B2109"/>
    </row>
    <row r="2110" spans="2:2">
      <c r="B2110"/>
    </row>
    <row r="2111" spans="2:2">
      <c r="B2111"/>
    </row>
    <row r="2112" spans="2:2">
      <c r="B2112"/>
    </row>
    <row r="2113" spans="2:2">
      <c r="B2113"/>
    </row>
    <row r="2114" spans="2:2">
      <c r="B2114"/>
    </row>
    <row r="2115" spans="2:2">
      <c r="B2115"/>
    </row>
    <row r="2116" spans="2:2">
      <c r="B2116"/>
    </row>
    <row r="2117" spans="2:2">
      <c r="B2117"/>
    </row>
    <row r="2118" spans="2:2">
      <c r="B2118"/>
    </row>
    <row r="2119" spans="2:2">
      <c r="B2119"/>
    </row>
    <row r="2120" spans="2:2">
      <c r="B2120"/>
    </row>
    <row r="2121" spans="2:2">
      <c r="B2121"/>
    </row>
    <row r="2122" spans="2:2">
      <c r="B2122"/>
    </row>
    <row r="2123" spans="2:2">
      <c r="B2123"/>
    </row>
    <row r="2124" spans="2:2">
      <c r="B2124"/>
    </row>
    <row r="2125" spans="2:2">
      <c r="B2125"/>
    </row>
    <row r="2126" spans="2:2">
      <c r="B2126"/>
    </row>
    <row r="2127" spans="2:2">
      <c r="B2127"/>
    </row>
    <row r="2128" spans="2:2">
      <c r="B2128"/>
    </row>
    <row r="2129" spans="2:2">
      <c r="B2129"/>
    </row>
    <row r="2130" spans="2:2">
      <c r="B2130"/>
    </row>
    <row r="2131" spans="2:2">
      <c r="B2131"/>
    </row>
    <row r="2132" spans="2:2">
      <c r="B2132"/>
    </row>
    <row r="2133" spans="2:2">
      <c r="B2133"/>
    </row>
    <row r="2134" spans="2:2">
      <c r="B2134"/>
    </row>
    <row r="2135" spans="2:2">
      <c r="B2135"/>
    </row>
    <row r="2136" spans="2:2">
      <c r="B2136"/>
    </row>
    <row r="2137" spans="2:2">
      <c r="B2137"/>
    </row>
    <row r="2138" spans="2:2">
      <c r="B2138"/>
    </row>
    <row r="2139" spans="2:2">
      <c r="B2139"/>
    </row>
    <row r="2140" spans="2:2">
      <c r="B2140"/>
    </row>
    <row r="2141" spans="2:2">
      <c r="B2141"/>
    </row>
    <row r="2142" spans="2:2">
      <c r="B2142"/>
    </row>
    <row r="2143" spans="2:2">
      <c r="B2143"/>
    </row>
    <row r="2144" spans="2:2">
      <c r="B2144"/>
    </row>
    <row r="2145" spans="2:2">
      <c r="B2145"/>
    </row>
    <row r="2146" spans="2:2">
      <c r="B2146"/>
    </row>
    <row r="2147" spans="2:2">
      <c r="B2147"/>
    </row>
    <row r="2148" spans="2:2">
      <c r="B2148"/>
    </row>
    <row r="2149" spans="2:2">
      <c r="B2149"/>
    </row>
    <row r="2150" spans="2:2">
      <c r="B2150"/>
    </row>
    <row r="2151" spans="2:2">
      <c r="B2151"/>
    </row>
    <row r="2152" spans="2:2">
      <c r="B2152"/>
    </row>
    <row r="2153" spans="2:2">
      <c r="B2153"/>
    </row>
    <row r="2154" spans="2:2">
      <c r="B2154"/>
    </row>
    <row r="2155" spans="2:2">
      <c r="B2155"/>
    </row>
    <row r="2156" spans="2:2">
      <c r="B2156"/>
    </row>
    <row r="2157" spans="2:2">
      <c r="B2157"/>
    </row>
    <row r="2158" spans="2:2">
      <c r="B2158"/>
    </row>
    <row r="2159" spans="2:2">
      <c r="B2159"/>
    </row>
    <row r="2160" spans="2:2">
      <c r="B2160"/>
    </row>
    <row r="2161" spans="2:2">
      <c r="B2161"/>
    </row>
    <row r="2162" spans="2:2">
      <c r="B2162"/>
    </row>
    <row r="2163" spans="2:2">
      <c r="B2163"/>
    </row>
    <row r="2164" spans="2:2">
      <c r="B2164"/>
    </row>
    <row r="2165" spans="2:2">
      <c r="B2165"/>
    </row>
    <row r="2166" spans="2:2">
      <c r="B2166"/>
    </row>
    <row r="2167" spans="2:2">
      <c r="B2167"/>
    </row>
    <row r="2168" spans="2:2">
      <c r="B2168"/>
    </row>
    <row r="2169" spans="2:2">
      <c r="B2169"/>
    </row>
    <row r="2170" spans="2:2">
      <c r="B2170"/>
    </row>
    <row r="2171" spans="2:2">
      <c r="B2171"/>
    </row>
    <row r="2172" spans="2:2">
      <c r="B2172"/>
    </row>
    <row r="2173" spans="2:2">
      <c r="B2173"/>
    </row>
    <row r="2174" spans="2:2">
      <c r="B2174"/>
    </row>
    <row r="2175" spans="2:2">
      <c r="B2175"/>
    </row>
    <row r="2176" spans="2:2">
      <c r="B2176"/>
    </row>
    <row r="2177" spans="2:2">
      <c r="B2177"/>
    </row>
    <row r="2178" spans="2:2">
      <c r="B2178"/>
    </row>
    <row r="2179" spans="2:2">
      <c r="B2179"/>
    </row>
    <row r="2180" spans="2:2">
      <c r="B2180"/>
    </row>
    <row r="2181" spans="2:2">
      <c r="B2181"/>
    </row>
    <row r="2182" spans="2:2">
      <c r="B2182"/>
    </row>
    <row r="2183" spans="2:2">
      <c r="B2183"/>
    </row>
    <row r="2184" spans="2:2">
      <c r="B2184"/>
    </row>
    <row r="2185" spans="2:2">
      <c r="B2185"/>
    </row>
    <row r="2186" spans="2:2">
      <c r="B2186"/>
    </row>
    <row r="2187" spans="2:2">
      <c r="B2187"/>
    </row>
    <row r="2188" spans="2:2">
      <c r="B2188"/>
    </row>
    <row r="2189" spans="2:2">
      <c r="B2189"/>
    </row>
    <row r="2190" spans="2:2">
      <c r="B2190"/>
    </row>
    <row r="2191" spans="2:2">
      <c r="B2191"/>
    </row>
    <row r="2192" spans="2:2">
      <c r="B2192"/>
    </row>
    <row r="2193" spans="2:2">
      <c r="B2193"/>
    </row>
    <row r="2194" spans="2:2">
      <c r="B2194"/>
    </row>
    <row r="2195" spans="2:2">
      <c r="B2195"/>
    </row>
    <row r="2196" spans="2:2">
      <c r="B2196"/>
    </row>
    <row r="2197" spans="2:2">
      <c r="B2197"/>
    </row>
    <row r="2198" spans="2:2">
      <c r="B2198"/>
    </row>
    <row r="2199" spans="2:2">
      <c r="B2199"/>
    </row>
    <row r="2200" spans="2:2">
      <c r="B2200"/>
    </row>
    <row r="2201" spans="2:2">
      <c r="B2201"/>
    </row>
    <row r="2202" spans="2:2">
      <c r="B2202"/>
    </row>
    <row r="2203" spans="2:2">
      <c r="B2203"/>
    </row>
    <row r="2204" spans="2:2">
      <c r="B2204"/>
    </row>
    <row r="2205" spans="2:2">
      <c r="B2205"/>
    </row>
    <row r="2206" spans="2:2">
      <c r="B2206"/>
    </row>
    <row r="2207" spans="2:2">
      <c r="B2207"/>
    </row>
    <row r="2208" spans="2:2">
      <c r="B2208"/>
    </row>
    <row r="2209" spans="2:2">
      <c r="B2209"/>
    </row>
    <row r="2210" spans="2:2">
      <c r="B2210"/>
    </row>
    <row r="2211" spans="2:2">
      <c r="B2211"/>
    </row>
    <row r="2212" spans="2:2">
      <c r="B2212"/>
    </row>
    <row r="2213" spans="2:2">
      <c r="B2213"/>
    </row>
    <row r="2214" spans="2:2">
      <c r="B2214"/>
    </row>
    <row r="2215" spans="2:2">
      <c r="B2215"/>
    </row>
    <row r="2216" spans="2:2">
      <c r="B2216"/>
    </row>
    <row r="2217" spans="2:2">
      <c r="B2217"/>
    </row>
    <row r="2218" spans="2:2">
      <c r="B2218"/>
    </row>
    <row r="2219" spans="2:2">
      <c r="B2219"/>
    </row>
    <row r="2220" spans="2:2">
      <c r="B2220"/>
    </row>
    <row r="2221" spans="2:2">
      <c r="B2221"/>
    </row>
    <row r="2222" spans="2:2">
      <c r="B2222"/>
    </row>
    <row r="2223" spans="2:2">
      <c r="B2223"/>
    </row>
    <row r="2224" spans="2:2">
      <c r="B2224"/>
    </row>
    <row r="2225" spans="2:2">
      <c r="B2225"/>
    </row>
    <row r="2226" spans="2:2">
      <c r="B2226"/>
    </row>
    <row r="2227" spans="2:2">
      <c r="B2227"/>
    </row>
    <row r="2228" spans="2:2">
      <c r="B2228"/>
    </row>
    <row r="2229" spans="2:2">
      <c r="B2229"/>
    </row>
    <row r="2230" spans="2:2">
      <c r="B2230"/>
    </row>
    <row r="2231" spans="2:2">
      <c r="B2231"/>
    </row>
    <row r="2232" spans="2:2">
      <c r="B2232"/>
    </row>
    <row r="2233" spans="2:2">
      <c r="B2233"/>
    </row>
    <row r="2234" spans="2:2">
      <c r="B2234"/>
    </row>
    <row r="2235" spans="2:2">
      <c r="B2235"/>
    </row>
    <row r="2236" spans="2:2">
      <c r="B2236"/>
    </row>
    <row r="2237" spans="2:2">
      <c r="B2237"/>
    </row>
    <row r="2238" spans="2:2">
      <c r="B2238"/>
    </row>
    <row r="2239" spans="2:2">
      <c r="B2239"/>
    </row>
    <row r="2240" spans="2:2">
      <c r="B2240"/>
    </row>
    <row r="2241" spans="2:2">
      <c r="B2241"/>
    </row>
    <row r="2242" spans="2:2">
      <c r="B2242"/>
    </row>
    <row r="2243" spans="2:2">
      <c r="B2243"/>
    </row>
    <row r="2244" spans="2:2">
      <c r="B2244"/>
    </row>
    <row r="2245" spans="2:2">
      <c r="B2245"/>
    </row>
    <row r="2246" spans="2:2">
      <c r="B2246"/>
    </row>
    <row r="2247" spans="2:2">
      <c r="B2247"/>
    </row>
    <row r="2248" spans="2:2">
      <c r="B2248"/>
    </row>
    <row r="2249" spans="2:2">
      <c r="B2249"/>
    </row>
    <row r="2250" spans="2:2">
      <c r="B2250"/>
    </row>
    <row r="2251" spans="2:2">
      <c r="B2251"/>
    </row>
    <row r="2252" spans="2:2">
      <c r="B2252"/>
    </row>
    <row r="2253" spans="2:2">
      <c r="B2253"/>
    </row>
    <row r="2254" spans="2:2">
      <c r="B2254"/>
    </row>
    <row r="2255" spans="2:2">
      <c r="B2255"/>
    </row>
    <row r="2256" spans="2:2">
      <c r="B2256"/>
    </row>
    <row r="2257" spans="2:2">
      <c r="B2257"/>
    </row>
    <row r="2258" spans="2:2">
      <c r="B2258"/>
    </row>
    <row r="2259" spans="2:2">
      <c r="B2259"/>
    </row>
    <row r="2260" spans="2:2">
      <c r="B2260"/>
    </row>
    <row r="2261" spans="2:2">
      <c r="B2261"/>
    </row>
    <row r="2262" spans="2:2">
      <c r="B2262"/>
    </row>
    <row r="2263" spans="2:2">
      <c r="B2263"/>
    </row>
    <row r="2264" spans="2:2">
      <c r="B2264"/>
    </row>
    <row r="2265" spans="2:2">
      <c r="B2265"/>
    </row>
    <row r="2266" spans="2:2">
      <c r="B2266"/>
    </row>
    <row r="2267" spans="2:2">
      <c r="B2267"/>
    </row>
    <row r="2268" spans="2:2">
      <c r="B2268"/>
    </row>
    <row r="2269" spans="2:2">
      <c r="B2269"/>
    </row>
    <row r="2270" spans="2:2">
      <c r="B2270"/>
    </row>
    <row r="2271" spans="2:2">
      <c r="B2271"/>
    </row>
    <row r="2272" spans="2:2">
      <c r="B2272"/>
    </row>
    <row r="2273" spans="2:2">
      <c r="B2273"/>
    </row>
    <row r="2274" spans="2:2">
      <c r="B2274"/>
    </row>
    <row r="2275" spans="2:2">
      <c r="B2275"/>
    </row>
    <row r="2276" spans="2:2">
      <c r="B2276"/>
    </row>
    <row r="2277" spans="2:2">
      <c r="B2277"/>
    </row>
    <row r="2278" spans="2:2">
      <c r="B2278"/>
    </row>
    <row r="2279" spans="2:2">
      <c r="B2279"/>
    </row>
    <row r="2280" spans="2:2">
      <c r="B2280"/>
    </row>
    <row r="2281" spans="2:2">
      <c r="B2281"/>
    </row>
    <row r="2282" spans="2:2">
      <c r="B2282"/>
    </row>
    <row r="2283" spans="2:2">
      <c r="B2283"/>
    </row>
    <row r="2284" spans="2:2">
      <c r="B2284"/>
    </row>
    <row r="2285" spans="2:2">
      <c r="B2285"/>
    </row>
    <row r="2286" spans="2:2">
      <c r="B2286"/>
    </row>
    <row r="2287" spans="2:2">
      <c r="B2287"/>
    </row>
    <row r="2288" spans="2:2">
      <c r="B2288"/>
    </row>
    <row r="2289" spans="2:2">
      <c r="B2289"/>
    </row>
    <row r="2290" spans="2:2">
      <c r="B2290"/>
    </row>
    <row r="2291" spans="2:2">
      <c r="B2291"/>
    </row>
    <row r="2292" spans="2:2">
      <c r="B2292"/>
    </row>
    <row r="2293" spans="2:2">
      <c r="B2293"/>
    </row>
    <row r="2294" spans="2:2">
      <c r="B2294"/>
    </row>
    <row r="2295" spans="2:2">
      <c r="B2295"/>
    </row>
    <row r="2296" spans="2:2">
      <c r="B2296"/>
    </row>
    <row r="2297" spans="2:2">
      <c r="B2297"/>
    </row>
    <row r="2298" spans="2:2">
      <c r="B2298"/>
    </row>
    <row r="2299" spans="2:2">
      <c r="B2299"/>
    </row>
    <row r="2300" spans="2:2">
      <c r="B2300"/>
    </row>
    <row r="2301" spans="2:2">
      <c r="B2301"/>
    </row>
    <row r="2302" spans="2:2">
      <c r="B2302"/>
    </row>
    <row r="2303" spans="2:2">
      <c r="B2303"/>
    </row>
    <row r="2304" spans="2:2">
      <c r="B2304"/>
    </row>
    <row r="2305" spans="2:2">
      <c r="B2305"/>
    </row>
    <row r="2306" spans="2:2">
      <c r="B2306"/>
    </row>
    <row r="2307" spans="2:2">
      <c r="B2307"/>
    </row>
    <row r="2308" spans="2:2">
      <c r="B2308"/>
    </row>
    <row r="2309" spans="2:2">
      <c r="B2309"/>
    </row>
    <row r="2310" spans="2:2">
      <c r="B2310"/>
    </row>
    <row r="2311" spans="2:2">
      <c r="B2311"/>
    </row>
    <row r="2312" spans="2:2">
      <c r="B2312"/>
    </row>
    <row r="2313" spans="2:2">
      <c r="B2313"/>
    </row>
    <row r="2314" spans="2:2">
      <c r="B2314"/>
    </row>
    <row r="2315" spans="2:2">
      <c r="B2315"/>
    </row>
    <row r="2316" spans="2:2">
      <c r="B2316"/>
    </row>
    <row r="2317" spans="2:2">
      <c r="B2317"/>
    </row>
    <row r="2318" spans="2:2">
      <c r="B2318"/>
    </row>
    <row r="2319" spans="2:2">
      <c r="B2319"/>
    </row>
    <row r="2320" spans="2:2">
      <c r="B2320"/>
    </row>
    <row r="2321" spans="2:2">
      <c r="B2321"/>
    </row>
    <row r="2322" spans="2:2">
      <c r="B2322"/>
    </row>
    <row r="2323" spans="2:2">
      <c r="B2323"/>
    </row>
    <row r="2324" spans="2:2">
      <c r="B2324"/>
    </row>
    <row r="2325" spans="2:2">
      <c r="B2325"/>
    </row>
    <row r="2326" spans="2:2">
      <c r="B2326"/>
    </row>
    <row r="2327" spans="2:2">
      <c r="B2327"/>
    </row>
    <row r="2328" spans="2:2">
      <c r="B2328"/>
    </row>
    <row r="2329" spans="2:2">
      <c r="B2329"/>
    </row>
    <row r="2330" spans="2:2">
      <c r="B2330"/>
    </row>
    <row r="2331" spans="2:2">
      <c r="B2331"/>
    </row>
    <row r="2332" spans="2:2">
      <c r="B2332"/>
    </row>
    <row r="2333" spans="2:2">
      <c r="B2333"/>
    </row>
    <row r="2334" spans="2:2">
      <c r="B2334"/>
    </row>
    <row r="2335" spans="2:2">
      <c r="B2335"/>
    </row>
    <row r="2336" spans="2:2">
      <c r="B2336"/>
    </row>
    <row r="2337" spans="2:2">
      <c r="B2337"/>
    </row>
    <row r="2338" spans="2:2">
      <c r="B2338"/>
    </row>
    <row r="2339" spans="2:2">
      <c r="B2339"/>
    </row>
    <row r="2340" spans="2:2">
      <c r="B2340"/>
    </row>
    <row r="2341" spans="2:2">
      <c r="B2341"/>
    </row>
    <row r="2342" spans="2:2">
      <c r="B2342"/>
    </row>
    <row r="2343" spans="2:2">
      <c r="B2343"/>
    </row>
    <row r="2344" spans="2:2">
      <c r="B2344"/>
    </row>
    <row r="2345" spans="2:2">
      <c r="B2345"/>
    </row>
    <row r="2346" spans="2:2">
      <c r="B2346"/>
    </row>
    <row r="2347" spans="2:2">
      <c r="B2347"/>
    </row>
    <row r="2348" spans="2:2">
      <c r="B2348"/>
    </row>
    <row r="2349" spans="2:2">
      <c r="B2349"/>
    </row>
    <row r="2350" spans="2:2">
      <c r="B2350"/>
    </row>
    <row r="2351" spans="2:2">
      <c r="B2351"/>
    </row>
    <row r="2352" spans="2:2">
      <c r="B2352"/>
    </row>
    <row r="2353" spans="2:2">
      <c r="B2353"/>
    </row>
    <row r="2354" spans="2:2">
      <c r="B2354"/>
    </row>
    <row r="2355" spans="2:2">
      <c r="B2355"/>
    </row>
    <row r="2356" spans="2:2">
      <c r="B2356"/>
    </row>
    <row r="2357" spans="2:2">
      <c r="B2357"/>
    </row>
    <row r="2358" spans="2:2">
      <c r="B2358"/>
    </row>
    <row r="2359" spans="2:2">
      <c r="B2359"/>
    </row>
    <row r="2360" spans="2:2">
      <c r="B2360"/>
    </row>
    <row r="2361" spans="2:2">
      <c r="B2361"/>
    </row>
    <row r="2362" spans="2:2">
      <c r="B2362"/>
    </row>
    <row r="2363" spans="2:2">
      <c r="B2363"/>
    </row>
    <row r="2364" spans="2:2">
      <c r="B2364"/>
    </row>
    <row r="2365" spans="2:2">
      <c r="B2365"/>
    </row>
    <row r="2366" spans="2:2">
      <c r="B2366"/>
    </row>
    <row r="2367" spans="2:2">
      <c r="B2367"/>
    </row>
    <row r="2368" spans="2:2">
      <c r="B2368"/>
    </row>
    <row r="2369" spans="2:2">
      <c r="B2369"/>
    </row>
    <row r="2370" spans="2:2">
      <c r="B2370"/>
    </row>
    <row r="2371" spans="2:2">
      <c r="B2371"/>
    </row>
    <row r="2372" spans="2:2">
      <c r="B2372"/>
    </row>
    <row r="2373" spans="2:2">
      <c r="B2373"/>
    </row>
    <row r="2374" spans="2:2">
      <c r="B2374"/>
    </row>
    <row r="2375" spans="2:2">
      <c r="B2375"/>
    </row>
    <row r="2376" spans="2:2">
      <c r="B2376"/>
    </row>
    <row r="2377" spans="2:2">
      <c r="B2377"/>
    </row>
    <row r="2378" spans="2:2">
      <c r="B2378"/>
    </row>
    <row r="2379" spans="2:2">
      <c r="B2379"/>
    </row>
    <row r="2380" spans="2:2">
      <c r="B2380"/>
    </row>
    <row r="2381" spans="2:2">
      <c r="B2381"/>
    </row>
    <row r="2382" spans="2:2">
      <c r="B2382"/>
    </row>
    <row r="2383" spans="2:2">
      <c r="B2383"/>
    </row>
    <row r="2384" spans="2:2">
      <c r="B2384"/>
    </row>
    <row r="2385" spans="2:2">
      <c r="B2385"/>
    </row>
    <row r="2386" spans="2:2">
      <c r="B2386"/>
    </row>
    <row r="2387" spans="2:2">
      <c r="B2387"/>
    </row>
    <row r="2388" spans="2:2">
      <c r="B2388"/>
    </row>
    <row r="2389" spans="2:2">
      <c r="B2389"/>
    </row>
    <row r="2390" spans="2:2">
      <c r="B2390"/>
    </row>
    <row r="2391" spans="2:2">
      <c r="B2391"/>
    </row>
    <row r="2392" spans="2:2">
      <c r="B2392"/>
    </row>
    <row r="2393" spans="2:2">
      <c r="B2393"/>
    </row>
    <row r="2394" spans="2:2">
      <c r="B2394"/>
    </row>
    <row r="2395" spans="2:2">
      <c r="B2395"/>
    </row>
    <row r="2396" spans="2:2">
      <c r="B2396"/>
    </row>
    <row r="2397" spans="2:2">
      <c r="B2397"/>
    </row>
    <row r="2398" spans="2:2">
      <c r="B2398"/>
    </row>
    <row r="2399" spans="2:2">
      <c r="B2399"/>
    </row>
    <row r="2400" spans="2:2">
      <c r="B2400"/>
    </row>
    <row r="2401" spans="2:2">
      <c r="B2401"/>
    </row>
    <row r="2402" spans="2:2">
      <c r="B2402"/>
    </row>
    <row r="2403" spans="2:2">
      <c r="B2403"/>
    </row>
    <row r="2404" spans="2:2">
      <c r="B2404"/>
    </row>
    <row r="2405" spans="2:2">
      <c r="B2405"/>
    </row>
    <row r="2406" spans="2:2">
      <c r="B2406"/>
    </row>
    <row r="2407" spans="2:2">
      <c r="B2407"/>
    </row>
    <row r="2408" spans="2:2">
      <c r="B2408"/>
    </row>
    <row r="2409" spans="2:2">
      <c r="B2409"/>
    </row>
    <row r="2410" spans="2:2">
      <c r="B2410"/>
    </row>
    <row r="2411" spans="2:2">
      <c r="B2411"/>
    </row>
    <row r="2412" spans="2:2">
      <c r="B2412"/>
    </row>
    <row r="2413" spans="2:2">
      <c r="B2413"/>
    </row>
    <row r="2414" spans="2:2">
      <c r="B2414"/>
    </row>
    <row r="2415" spans="2:2">
      <c r="B2415"/>
    </row>
    <row r="2416" spans="2:2">
      <c r="B2416"/>
    </row>
    <row r="2417" spans="2:2">
      <c r="B2417"/>
    </row>
    <row r="2418" spans="2:2">
      <c r="B2418"/>
    </row>
    <row r="2419" spans="2:2">
      <c r="B2419"/>
    </row>
    <row r="2420" spans="2:2">
      <c r="B2420"/>
    </row>
    <row r="2421" spans="2:2">
      <c r="B2421"/>
    </row>
    <row r="2422" spans="2:2">
      <c r="B2422"/>
    </row>
    <row r="2423" spans="2:2">
      <c r="B2423"/>
    </row>
    <row r="2424" spans="2:2">
      <c r="B2424"/>
    </row>
    <row r="2425" spans="2:2">
      <c r="B2425"/>
    </row>
    <row r="2426" spans="2:2">
      <c r="B2426"/>
    </row>
    <row r="2427" spans="2:2">
      <c r="B2427"/>
    </row>
    <row r="2428" spans="2:2">
      <c r="B2428"/>
    </row>
    <row r="2429" spans="2:2">
      <c r="B2429"/>
    </row>
    <row r="2430" spans="2:2">
      <c r="B2430"/>
    </row>
    <row r="2431" spans="2:2">
      <c r="B2431"/>
    </row>
    <row r="2432" spans="2:2">
      <c r="B2432"/>
    </row>
    <row r="2433" spans="2:2">
      <c r="B2433"/>
    </row>
    <row r="2434" spans="2:2">
      <c r="B2434"/>
    </row>
    <row r="2435" spans="2:2">
      <c r="B2435"/>
    </row>
    <row r="2436" spans="2:2">
      <c r="B2436"/>
    </row>
    <row r="2437" spans="2:2">
      <c r="B2437"/>
    </row>
    <row r="2438" spans="2:2">
      <c r="B2438"/>
    </row>
    <row r="2439" spans="2:2">
      <c r="B2439"/>
    </row>
    <row r="2440" spans="2:2">
      <c r="B2440"/>
    </row>
    <row r="2441" spans="2:2">
      <c r="B2441"/>
    </row>
    <row r="2442" spans="2:2">
      <c r="B2442"/>
    </row>
    <row r="2443" spans="2:2">
      <c r="B2443"/>
    </row>
    <row r="2444" spans="2:2">
      <c r="B2444"/>
    </row>
    <row r="2445" spans="2:2">
      <c r="B2445"/>
    </row>
    <row r="2446" spans="2:2">
      <c r="B2446"/>
    </row>
    <row r="2447" spans="2:2">
      <c r="B2447"/>
    </row>
    <row r="2448" spans="2:2">
      <c r="B2448"/>
    </row>
    <row r="2449" spans="2:2">
      <c r="B2449"/>
    </row>
    <row r="2450" spans="2:2">
      <c r="B2450"/>
    </row>
    <row r="2451" spans="2:2">
      <c r="B2451"/>
    </row>
    <row r="2452" spans="2:2">
      <c r="B2452"/>
    </row>
    <row r="2453" spans="2:2">
      <c r="B2453"/>
    </row>
    <row r="2454" spans="2:2">
      <c r="B2454"/>
    </row>
    <row r="2455" spans="2:2">
      <c r="B2455"/>
    </row>
    <row r="2456" spans="2:2">
      <c r="B2456"/>
    </row>
    <row r="2457" spans="2:2">
      <c r="B2457"/>
    </row>
    <row r="2458" spans="2:2">
      <c r="B2458"/>
    </row>
    <row r="2459" spans="2:2">
      <c r="B2459"/>
    </row>
    <row r="2460" spans="2:2">
      <c r="B2460"/>
    </row>
    <row r="2461" spans="2:2">
      <c r="B2461"/>
    </row>
    <row r="2462" spans="2:2">
      <c r="B2462"/>
    </row>
    <row r="2463" spans="2:2">
      <c r="B2463"/>
    </row>
    <row r="2464" spans="2:2">
      <c r="B2464"/>
    </row>
    <row r="2465" spans="2:2">
      <c r="B2465"/>
    </row>
    <row r="2466" spans="2:2">
      <c r="B2466"/>
    </row>
    <row r="2467" spans="2:2">
      <c r="B2467"/>
    </row>
    <row r="2468" spans="2:2">
      <c r="B2468"/>
    </row>
    <row r="2469" spans="2:2">
      <c r="B2469"/>
    </row>
    <row r="2470" spans="2:2">
      <c r="B2470"/>
    </row>
    <row r="2471" spans="2:2">
      <c r="B2471"/>
    </row>
    <row r="2472" spans="2:2">
      <c r="B2472"/>
    </row>
    <row r="2473" spans="2:2">
      <c r="B2473"/>
    </row>
    <row r="2474" spans="2:2">
      <c r="B2474"/>
    </row>
    <row r="2475" spans="2:2">
      <c r="B2475"/>
    </row>
    <row r="2476" spans="2:2">
      <c r="B2476"/>
    </row>
    <row r="2477" spans="2:2">
      <c r="B2477"/>
    </row>
    <row r="2478" spans="2:2">
      <c r="B2478"/>
    </row>
    <row r="2479" spans="2:2">
      <c r="B2479"/>
    </row>
    <row r="2480" spans="2:2">
      <c r="B2480"/>
    </row>
    <row r="2481" spans="2:2">
      <c r="B2481"/>
    </row>
    <row r="2482" spans="2:2">
      <c r="B2482"/>
    </row>
    <row r="2483" spans="2:2">
      <c r="B2483"/>
    </row>
    <row r="2484" spans="2:2">
      <c r="B2484"/>
    </row>
    <row r="2485" spans="2:2">
      <c r="B2485"/>
    </row>
    <row r="2486" spans="2:2">
      <c r="B2486"/>
    </row>
    <row r="2487" spans="2:2">
      <c r="B2487"/>
    </row>
    <row r="2488" spans="2:2">
      <c r="B2488"/>
    </row>
    <row r="2489" spans="2:2">
      <c r="B2489"/>
    </row>
    <row r="2490" spans="2:2">
      <c r="B2490"/>
    </row>
    <row r="2491" spans="2:2">
      <c r="B2491"/>
    </row>
    <row r="2492" spans="2:2">
      <c r="B2492"/>
    </row>
    <row r="2493" spans="2:2">
      <c r="B2493"/>
    </row>
    <row r="2494" spans="2:2">
      <c r="B2494"/>
    </row>
    <row r="2495" spans="2:2">
      <c r="B2495"/>
    </row>
    <row r="2496" spans="2:2">
      <c r="B2496"/>
    </row>
    <row r="2497" spans="2:2">
      <c r="B2497"/>
    </row>
    <row r="2498" spans="2:2">
      <c r="B2498"/>
    </row>
    <row r="2499" spans="2:2">
      <c r="B2499"/>
    </row>
    <row r="2500" spans="2:2">
      <c r="B2500"/>
    </row>
    <row r="2501" spans="2:2">
      <c r="B2501"/>
    </row>
    <row r="2502" spans="2:2">
      <c r="B2502"/>
    </row>
    <row r="2503" spans="2:2">
      <c r="B2503"/>
    </row>
    <row r="2504" spans="2:2">
      <c r="B2504"/>
    </row>
    <row r="2505" spans="2:2">
      <c r="B2505"/>
    </row>
    <row r="2506" spans="2:2">
      <c r="B2506"/>
    </row>
    <row r="2507" spans="2:2">
      <c r="B2507"/>
    </row>
    <row r="2508" spans="2:2">
      <c r="B2508"/>
    </row>
    <row r="2509" spans="2:2">
      <c r="B2509"/>
    </row>
    <row r="2510" spans="2:2">
      <c r="B2510"/>
    </row>
    <row r="2511" spans="2:2">
      <c r="B2511"/>
    </row>
    <row r="2512" spans="2:2">
      <c r="B2512"/>
    </row>
    <row r="2513" spans="2:2">
      <c r="B2513"/>
    </row>
    <row r="2514" spans="2:2">
      <c r="B2514"/>
    </row>
    <row r="2515" spans="2:2">
      <c r="B2515"/>
    </row>
    <row r="2516" spans="2:2">
      <c r="B2516"/>
    </row>
    <row r="2517" spans="2:2">
      <c r="B2517"/>
    </row>
    <row r="2518" spans="2:2">
      <c r="B2518"/>
    </row>
    <row r="2519" spans="2:2">
      <c r="B2519"/>
    </row>
    <row r="2520" spans="2:2">
      <c r="B2520"/>
    </row>
    <row r="2521" spans="2:2">
      <c r="B2521"/>
    </row>
    <row r="2522" spans="2:2">
      <c r="B2522"/>
    </row>
    <row r="2523" spans="2:2">
      <c r="B2523"/>
    </row>
    <row r="2524" spans="2:2">
      <c r="B2524"/>
    </row>
    <row r="2525" spans="2:2">
      <c r="B2525"/>
    </row>
    <row r="2526" spans="2:2">
      <c r="B2526"/>
    </row>
    <row r="2527" spans="2:2">
      <c r="B2527"/>
    </row>
    <row r="2528" spans="2:2">
      <c r="B2528"/>
    </row>
    <row r="2529" spans="2:2">
      <c r="B2529"/>
    </row>
    <row r="2530" spans="2:2">
      <c r="B2530"/>
    </row>
    <row r="2531" spans="2:2">
      <c r="B2531"/>
    </row>
    <row r="2532" spans="2:2">
      <c r="B2532"/>
    </row>
    <row r="2533" spans="2:2">
      <c r="B2533"/>
    </row>
    <row r="2534" spans="2:2">
      <c r="B2534"/>
    </row>
    <row r="2535" spans="2:2">
      <c r="B2535"/>
    </row>
    <row r="2536" spans="2:2">
      <c r="B2536"/>
    </row>
    <row r="2537" spans="2:2">
      <c r="B2537"/>
    </row>
    <row r="2538" spans="2:2">
      <c r="B2538"/>
    </row>
    <row r="2539" spans="2:2">
      <c r="B2539"/>
    </row>
    <row r="2540" spans="2:2">
      <c r="B2540"/>
    </row>
    <row r="2541" spans="2:2">
      <c r="B2541"/>
    </row>
    <row r="2542" spans="2:2">
      <c r="B2542"/>
    </row>
    <row r="2543" spans="2:2">
      <c r="B2543"/>
    </row>
    <row r="2544" spans="2:2">
      <c r="B2544"/>
    </row>
    <row r="2545" spans="2:2">
      <c r="B2545"/>
    </row>
    <row r="2546" spans="2:2">
      <c r="B2546"/>
    </row>
    <row r="2547" spans="2:2">
      <c r="B2547"/>
    </row>
    <row r="2548" spans="2:2">
      <c r="B2548"/>
    </row>
    <row r="2549" spans="2:2">
      <c r="B2549"/>
    </row>
    <row r="2550" spans="2:2">
      <c r="B2550"/>
    </row>
    <row r="2551" spans="2:2">
      <c r="B2551"/>
    </row>
    <row r="2552" spans="2:2">
      <c r="B2552"/>
    </row>
    <row r="2553" spans="2:2">
      <c r="B2553"/>
    </row>
    <row r="2554" spans="2:2">
      <c r="B2554"/>
    </row>
    <row r="2555" spans="2:2">
      <c r="B2555"/>
    </row>
    <row r="2556" spans="2:2">
      <c r="B2556"/>
    </row>
    <row r="2557" spans="2:2">
      <c r="B2557"/>
    </row>
    <row r="2558" spans="2:2">
      <c r="B2558"/>
    </row>
    <row r="2559" spans="2:2">
      <c r="B2559"/>
    </row>
    <row r="2560" spans="2:2">
      <c r="B2560"/>
    </row>
    <row r="2561" spans="2:2">
      <c r="B2561"/>
    </row>
    <row r="2562" spans="2:2">
      <c r="B2562"/>
    </row>
    <row r="2563" spans="2:2">
      <c r="B2563"/>
    </row>
    <row r="2564" spans="2:2">
      <c r="B2564"/>
    </row>
    <row r="2565" spans="2:2">
      <c r="B2565"/>
    </row>
    <row r="2566" spans="2:2">
      <c r="B2566"/>
    </row>
    <row r="2567" spans="2:2">
      <c r="B2567"/>
    </row>
    <row r="2568" spans="2:2">
      <c r="B2568"/>
    </row>
    <row r="2569" spans="2:2">
      <c r="B2569"/>
    </row>
    <row r="2570" spans="2:2">
      <c r="B2570"/>
    </row>
    <row r="2571" spans="2:2">
      <c r="B2571"/>
    </row>
    <row r="2572" spans="2:2">
      <c r="B2572"/>
    </row>
    <row r="2573" spans="2:2">
      <c r="B2573"/>
    </row>
    <row r="2574" spans="2:2">
      <c r="B2574"/>
    </row>
    <row r="2575" spans="2:2">
      <c r="B2575"/>
    </row>
    <row r="2576" spans="2:2">
      <c r="B2576"/>
    </row>
    <row r="2577" spans="2:2">
      <c r="B2577"/>
    </row>
    <row r="2578" spans="2:2">
      <c r="B2578"/>
    </row>
    <row r="2579" spans="2:2">
      <c r="B2579"/>
    </row>
    <row r="2580" spans="2:2">
      <c r="B2580"/>
    </row>
    <row r="2581" spans="2:2">
      <c r="B2581"/>
    </row>
    <row r="2582" spans="2:2">
      <c r="B2582"/>
    </row>
    <row r="2583" spans="2:2">
      <c r="B2583"/>
    </row>
    <row r="2584" spans="2:2">
      <c r="B2584"/>
    </row>
    <row r="2585" spans="2:2">
      <c r="B2585"/>
    </row>
    <row r="2586" spans="2:2">
      <c r="B2586"/>
    </row>
    <row r="2587" spans="2:2">
      <c r="B2587"/>
    </row>
    <row r="2588" spans="2:2">
      <c r="B2588"/>
    </row>
    <row r="2589" spans="2:2">
      <c r="B2589"/>
    </row>
    <row r="2590" spans="2:2">
      <c r="B2590"/>
    </row>
    <row r="2591" spans="2:2">
      <c r="B2591"/>
    </row>
    <row r="2592" spans="2:2">
      <c r="B2592"/>
    </row>
    <row r="2593" spans="2:2">
      <c r="B2593"/>
    </row>
    <row r="2594" spans="2:2">
      <c r="B2594"/>
    </row>
    <row r="2595" spans="2:2">
      <c r="B2595"/>
    </row>
    <row r="2596" spans="2:2">
      <c r="B2596"/>
    </row>
    <row r="2597" spans="2:2">
      <c r="B2597"/>
    </row>
    <row r="2598" spans="2:2">
      <c r="B2598"/>
    </row>
    <row r="2599" spans="2:2">
      <c r="B2599"/>
    </row>
    <row r="2600" spans="2:2">
      <c r="B2600"/>
    </row>
    <row r="2601" spans="2:2">
      <c r="B2601"/>
    </row>
    <row r="2602" spans="2:2">
      <c r="B2602"/>
    </row>
    <row r="2603" spans="2:2">
      <c r="B2603"/>
    </row>
    <row r="2604" spans="2:2">
      <c r="B2604"/>
    </row>
    <row r="2605" spans="2:2">
      <c r="B2605"/>
    </row>
    <row r="2606" spans="2:2">
      <c r="B2606"/>
    </row>
    <row r="2607" spans="2:2">
      <c r="B2607"/>
    </row>
    <row r="2608" spans="2:2">
      <c r="B2608"/>
    </row>
    <row r="2609" spans="2:2">
      <c r="B2609"/>
    </row>
    <row r="2610" spans="2:2">
      <c r="B2610"/>
    </row>
    <row r="2611" spans="2:2">
      <c r="B2611"/>
    </row>
    <row r="2612" spans="2:2">
      <c r="B2612"/>
    </row>
    <row r="2613" spans="2:2">
      <c r="B2613"/>
    </row>
    <row r="2614" spans="2:2">
      <c r="B2614"/>
    </row>
    <row r="2615" spans="2:2">
      <c r="B2615"/>
    </row>
    <row r="2616" spans="2:2">
      <c r="B2616"/>
    </row>
    <row r="2617" spans="2:2">
      <c r="B2617"/>
    </row>
    <row r="2618" spans="2:2">
      <c r="B2618"/>
    </row>
    <row r="2619" spans="2:2">
      <c r="B2619"/>
    </row>
    <row r="2620" spans="2:2">
      <c r="B2620"/>
    </row>
    <row r="2621" spans="2:2">
      <c r="B2621"/>
    </row>
    <row r="2622" spans="2:2">
      <c r="B2622"/>
    </row>
    <row r="2623" spans="2:2">
      <c r="B2623"/>
    </row>
    <row r="2624" spans="2:2">
      <c r="B2624"/>
    </row>
    <row r="2625" spans="2:2">
      <c r="B2625"/>
    </row>
    <row r="2626" spans="2:2">
      <c r="B2626"/>
    </row>
    <row r="2627" spans="2:2">
      <c r="B2627"/>
    </row>
    <row r="2628" spans="2:2">
      <c r="B2628"/>
    </row>
    <row r="2629" spans="2:2">
      <c r="B2629"/>
    </row>
    <row r="2630" spans="2:2">
      <c r="B2630"/>
    </row>
    <row r="2631" spans="2:2">
      <c r="B2631"/>
    </row>
    <row r="2632" spans="2:2">
      <c r="B2632"/>
    </row>
    <row r="2633" spans="2:2">
      <c r="B2633"/>
    </row>
    <row r="2634" spans="2:2">
      <c r="B2634"/>
    </row>
    <row r="2635" spans="2:2">
      <c r="B2635"/>
    </row>
    <row r="2636" spans="2:2">
      <c r="B2636"/>
    </row>
    <row r="2637" spans="2:2">
      <c r="B2637"/>
    </row>
    <row r="2638" spans="2:2">
      <c r="B2638"/>
    </row>
    <row r="2639" spans="2:2">
      <c r="B2639"/>
    </row>
    <row r="2640" spans="2:2">
      <c r="B2640"/>
    </row>
    <row r="2641" spans="2:2">
      <c r="B2641"/>
    </row>
    <row r="2642" spans="2:2">
      <c r="B2642"/>
    </row>
    <row r="2643" spans="2:2">
      <c r="B2643"/>
    </row>
    <row r="2644" spans="2:2">
      <c r="B2644"/>
    </row>
    <row r="2645" spans="2:2">
      <c r="B2645"/>
    </row>
    <row r="2646" spans="2:2">
      <c r="B2646"/>
    </row>
    <row r="2647" spans="2:2">
      <c r="B2647"/>
    </row>
    <row r="2648" spans="2:2">
      <c r="B2648"/>
    </row>
    <row r="2649" spans="2:2">
      <c r="B2649"/>
    </row>
    <row r="2650" spans="2:2">
      <c r="B2650"/>
    </row>
    <row r="2651" spans="2:2">
      <c r="B2651"/>
    </row>
    <row r="2652" spans="2:2">
      <c r="B2652"/>
    </row>
    <row r="2653" spans="2:2">
      <c r="B2653"/>
    </row>
    <row r="2654" spans="2:2">
      <c r="B2654"/>
    </row>
    <row r="2655" spans="2:2">
      <c r="B2655"/>
    </row>
    <row r="2656" spans="2:2">
      <c r="B2656"/>
    </row>
    <row r="2657" spans="2:2">
      <c r="B2657"/>
    </row>
    <row r="2658" spans="2:2">
      <c r="B2658"/>
    </row>
    <row r="2659" spans="2:2">
      <c r="B2659"/>
    </row>
    <row r="2660" spans="2:2">
      <c r="B2660"/>
    </row>
    <row r="2661" spans="2:2">
      <c r="B2661"/>
    </row>
    <row r="2662" spans="2:2">
      <c r="B2662"/>
    </row>
    <row r="2663" spans="2:2">
      <c r="B2663"/>
    </row>
    <row r="2664" spans="2:2">
      <c r="B2664"/>
    </row>
    <row r="2665" spans="2:2">
      <c r="B2665"/>
    </row>
    <row r="2666" spans="2:2">
      <c r="B2666"/>
    </row>
    <row r="2667" spans="2:2">
      <c r="B2667"/>
    </row>
    <row r="2668" spans="2:2">
      <c r="B2668"/>
    </row>
    <row r="2669" spans="2:2">
      <c r="B2669"/>
    </row>
    <row r="2670" spans="2:2">
      <c r="B2670"/>
    </row>
    <row r="2671" spans="2:2">
      <c r="B2671"/>
    </row>
    <row r="2672" spans="2:2">
      <c r="B2672"/>
    </row>
    <row r="2673" spans="2:2">
      <c r="B2673"/>
    </row>
    <row r="2674" spans="2:2">
      <c r="B2674"/>
    </row>
    <row r="2675" spans="2:2">
      <c r="B2675"/>
    </row>
    <row r="2676" spans="2:2">
      <c r="B2676"/>
    </row>
    <row r="2677" spans="2:2">
      <c r="B2677"/>
    </row>
    <row r="2678" spans="2:2">
      <c r="B2678"/>
    </row>
    <row r="2679" spans="2:2">
      <c r="B2679"/>
    </row>
    <row r="2680" spans="2:2">
      <c r="B2680"/>
    </row>
    <row r="2681" spans="2:2">
      <c r="B2681"/>
    </row>
    <row r="2682" spans="2:2">
      <c r="B2682"/>
    </row>
    <row r="2683" spans="2:2">
      <c r="B2683"/>
    </row>
    <row r="2684" spans="2:2">
      <c r="B2684"/>
    </row>
    <row r="2685" spans="2:2">
      <c r="B2685"/>
    </row>
    <row r="2686" spans="2:2">
      <c r="B2686"/>
    </row>
    <row r="2687" spans="2:2">
      <c r="B2687"/>
    </row>
    <row r="2688" spans="2:2">
      <c r="B2688"/>
    </row>
    <row r="2689" spans="2:2">
      <c r="B2689"/>
    </row>
    <row r="2690" spans="2:2">
      <c r="B2690"/>
    </row>
    <row r="2691" spans="2:2">
      <c r="B2691"/>
    </row>
    <row r="2692" spans="2:2">
      <c r="B2692"/>
    </row>
    <row r="2693" spans="2:2">
      <c r="B2693"/>
    </row>
    <row r="2694" spans="2:2">
      <c r="B2694"/>
    </row>
    <row r="2695" spans="2:2">
      <c r="B2695"/>
    </row>
    <row r="2696" spans="2:2">
      <c r="B2696"/>
    </row>
    <row r="2697" spans="2:2">
      <c r="B2697"/>
    </row>
    <row r="2698" spans="2:2">
      <c r="B2698"/>
    </row>
    <row r="2699" spans="2:2">
      <c r="B2699"/>
    </row>
    <row r="2700" spans="2:2">
      <c r="B2700"/>
    </row>
    <row r="2701" spans="2:2">
      <c r="B2701"/>
    </row>
    <row r="2702" spans="2:2">
      <c r="B2702"/>
    </row>
    <row r="2703" spans="2:2">
      <c r="B2703"/>
    </row>
    <row r="2704" spans="2:2">
      <c r="B2704"/>
    </row>
    <row r="2705" spans="2:2">
      <c r="B2705"/>
    </row>
    <row r="2706" spans="2:2">
      <c r="B2706"/>
    </row>
    <row r="2707" spans="2:2">
      <c r="B2707"/>
    </row>
    <row r="2708" spans="2:2">
      <c r="B2708"/>
    </row>
    <row r="2709" spans="2:2">
      <c r="B2709"/>
    </row>
    <row r="2710" spans="2:2">
      <c r="B2710"/>
    </row>
    <row r="2711" spans="2:2">
      <c r="B2711"/>
    </row>
    <row r="2712" spans="2:2">
      <c r="B2712"/>
    </row>
    <row r="2713" spans="2:2">
      <c r="B2713"/>
    </row>
    <row r="2714" spans="2:2">
      <c r="B2714"/>
    </row>
    <row r="2715" spans="2:2">
      <c r="B2715"/>
    </row>
    <row r="2716" spans="2:2">
      <c r="B2716"/>
    </row>
    <row r="2717" spans="2:2">
      <c r="B2717"/>
    </row>
    <row r="2718" spans="2:2">
      <c r="B2718"/>
    </row>
    <row r="2719" spans="2:2">
      <c r="B2719"/>
    </row>
    <row r="2720" spans="2:2">
      <c r="B2720"/>
    </row>
    <row r="2721" spans="2:2">
      <c r="B2721"/>
    </row>
    <row r="2722" spans="2:2">
      <c r="B2722"/>
    </row>
    <row r="2723" spans="2:2">
      <c r="B2723"/>
    </row>
    <row r="2724" spans="2:2">
      <c r="B2724"/>
    </row>
    <row r="2725" spans="2:2">
      <c r="B2725"/>
    </row>
    <row r="2726" spans="2:2">
      <c r="B2726"/>
    </row>
    <row r="2727" spans="2:2">
      <c r="B2727"/>
    </row>
    <row r="2728" spans="2:2">
      <c r="B2728"/>
    </row>
    <row r="2729" spans="2:2">
      <c r="B2729"/>
    </row>
    <row r="2730" spans="2:2">
      <c r="B2730"/>
    </row>
    <row r="2731" spans="2:2">
      <c r="B2731"/>
    </row>
    <row r="2732" spans="2:2">
      <c r="B2732"/>
    </row>
    <row r="2733" spans="2:2">
      <c r="B2733"/>
    </row>
    <row r="2734" spans="2:2">
      <c r="B2734"/>
    </row>
    <row r="2735" spans="2:2">
      <c r="B2735"/>
    </row>
    <row r="2736" spans="2:2">
      <c r="B2736"/>
    </row>
    <row r="2737" spans="2:2">
      <c r="B2737"/>
    </row>
    <row r="2738" spans="2:2">
      <c r="B2738"/>
    </row>
    <row r="2739" spans="2:2">
      <c r="B2739"/>
    </row>
    <row r="2740" spans="2:2">
      <c r="B2740"/>
    </row>
    <row r="2741" spans="2:2">
      <c r="B2741"/>
    </row>
    <row r="2742" spans="2:2">
      <c r="B2742"/>
    </row>
    <row r="2743" spans="2:2">
      <c r="B2743"/>
    </row>
    <row r="2744" spans="2:2">
      <c r="B2744"/>
    </row>
    <row r="2745" spans="2:2">
      <c r="B2745"/>
    </row>
    <row r="2746" spans="2:2">
      <c r="B2746"/>
    </row>
    <row r="2747" spans="2:2">
      <c r="B2747"/>
    </row>
    <row r="2748" spans="2:2">
      <c r="B2748"/>
    </row>
    <row r="2749" spans="2:2">
      <c r="B2749"/>
    </row>
    <row r="2750" spans="2:2">
      <c r="B2750"/>
    </row>
    <row r="2751" spans="2:2">
      <c r="B2751"/>
    </row>
    <row r="2752" spans="2:2">
      <c r="B2752"/>
    </row>
    <row r="2753" spans="2:2">
      <c r="B2753"/>
    </row>
    <row r="2754" spans="2:2">
      <c r="B2754"/>
    </row>
    <row r="2755" spans="2:2">
      <c r="B2755"/>
    </row>
    <row r="2756" spans="2:2">
      <c r="B2756"/>
    </row>
    <row r="2757" spans="2:2">
      <c r="B2757"/>
    </row>
    <row r="2758" spans="2:2">
      <c r="B2758"/>
    </row>
    <row r="2759" spans="2:2">
      <c r="B2759"/>
    </row>
    <row r="2760" spans="2:2">
      <c r="B2760"/>
    </row>
    <row r="2761" spans="2:2">
      <c r="B2761"/>
    </row>
    <row r="2762" spans="2:2">
      <c r="B2762"/>
    </row>
    <row r="2763" spans="2:2">
      <c r="B2763"/>
    </row>
    <row r="2764" spans="2:2">
      <c r="B2764"/>
    </row>
    <row r="2765" spans="2:2">
      <c r="B2765"/>
    </row>
    <row r="2766" spans="2:2">
      <c r="B2766"/>
    </row>
    <row r="2767" spans="2:2">
      <c r="B2767"/>
    </row>
    <row r="2768" spans="2:2">
      <c r="B2768"/>
    </row>
    <row r="2769" spans="2:2">
      <c r="B2769"/>
    </row>
    <row r="2770" spans="2:2">
      <c r="B2770"/>
    </row>
    <row r="2771" spans="2:2">
      <c r="B2771"/>
    </row>
    <row r="2772" spans="2:2">
      <c r="B2772"/>
    </row>
    <row r="2773" spans="2:2">
      <c r="B2773"/>
    </row>
    <row r="2774" spans="2:2">
      <c r="B2774"/>
    </row>
    <row r="2775" spans="2:2">
      <c r="B2775"/>
    </row>
    <row r="2776" spans="2:2">
      <c r="B2776"/>
    </row>
    <row r="2777" spans="2:2">
      <c r="B2777"/>
    </row>
    <row r="2778" spans="2:2">
      <c r="B2778"/>
    </row>
    <row r="2779" spans="2:2">
      <c r="B2779"/>
    </row>
    <row r="2780" spans="2:2">
      <c r="B2780"/>
    </row>
    <row r="2781" spans="2:2">
      <c r="B2781"/>
    </row>
    <row r="2782" spans="2:2">
      <c r="B2782"/>
    </row>
    <row r="2783" spans="2:2">
      <c r="B2783"/>
    </row>
    <row r="2784" spans="2:2">
      <c r="B2784"/>
    </row>
    <row r="2785" spans="2:2">
      <c r="B2785"/>
    </row>
    <row r="2786" spans="2:2">
      <c r="B2786"/>
    </row>
    <row r="2787" spans="2:2">
      <c r="B2787"/>
    </row>
    <row r="2788" spans="2:2">
      <c r="B2788"/>
    </row>
    <row r="2789" spans="2:2">
      <c r="B2789"/>
    </row>
    <row r="2790" spans="2:2">
      <c r="B2790"/>
    </row>
    <row r="2791" spans="2:2">
      <c r="B2791"/>
    </row>
    <row r="2792" spans="2:2">
      <c r="B2792"/>
    </row>
    <row r="2793" spans="2:2">
      <c r="B2793"/>
    </row>
    <row r="2794" spans="2:2">
      <c r="B2794"/>
    </row>
    <row r="2795" spans="2:2">
      <c r="B2795"/>
    </row>
    <row r="2796" spans="2:2">
      <c r="B2796"/>
    </row>
    <row r="2797" spans="2:2">
      <c r="B2797"/>
    </row>
    <row r="2798" spans="2:2">
      <c r="B2798"/>
    </row>
    <row r="2799" spans="2:2">
      <c r="B2799"/>
    </row>
    <row r="2800" spans="2:2">
      <c r="B2800"/>
    </row>
    <row r="2801" spans="2:2">
      <c r="B2801"/>
    </row>
    <row r="2802" spans="2:2">
      <c r="B2802"/>
    </row>
    <row r="2803" spans="2:2">
      <c r="B2803"/>
    </row>
    <row r="2804" spans="2:2">
      <c r="B2804"/>
    </row>
    <row r="2805" spans="2:2">
      <c r="B2805"/>
    </row>
    <row r="2806" spans="2:2">
      <c r="B2806"/>
    </row>
    <row r="2807" spans="2:2">
      <c r="B2807"/>
    </row>
    <row r="2808" spans="2:2">
      <c r="B2808"/>
    </row>
    <row r="2809" spans="2:2">
      <c r="B2809"/>
    </row>
    <row r="2810" spans="2:2">
      <c r="B2810"/>
    </row>
    <row r="2811" spans="2:2">
      <c r="B2811"/>
    </row>
    <row r="2812" spans="2:2">
      <c r="B2812"/>
    </row>
    <row r="2813" spans="2:2">
      <c r="B2813"/>
    </row>
    <row r="2814" spans="2:2">
      <c r="B2814"/>
    </row>
    <row r="2815" spans="2:2">
      <c r="B2815"/>
    </row>
    <row r="2816" spans="2:2">
      <c r="B2816"/>
    </row>
    <row r="2817" spans="2:2">
      <c r="B2817"/>
    </row>
    <row r="2818" spans="2:2">
      <c r="B2818"/>
    </row>
    <row r="2819" spans="2:2">
      <c r="B2819"/>
    </row>
    <row r="2820" spans="2:2">
      <c r="B2820"/>
    </row>
    <row r="2821" spans="2:2">
      <c r="B2821"/>
    </row>
    <row r="2822" spans="2:2">
      <c r="B2822"/>
    </row>
    <row r="2823" spans="2:2">
      <c r="B2823"/>
    </row>
    <row r="2824" spans="2:2">
      <c r="B2824"/>
    </row>
    <row r="2825" spans="2:2">
      <c r="B2825"/>
    </row>
    <row r="2826" spans="2:2">
      <c r="B2826"/>
    </row>
    <row r="2827" spans="2:2">
      <c r="B2827"/>
    </row>
    <row r="2828" spans="2:2">
      <c r="B2828"/>
    </row>
    <row r="2829" spans="2:2">
      <c r="B2829"/>
    </row>
    <row r="2830" spans="2:2">
      <c r="B2830"/>
    </row>
    <row r="2831" spans="2:2">
      <c r="B2831"/>
    </row>
    <row r="2832" spans="2:2">
      <c r="B2832"/>
    </row>
    <row r="2833" spans="2:2">
      <c r="B2833"/>
    </row>
    <row r="2834" spans="2:2">
      <c r="B2834"/>
    </row>
    <row r="2835" spans="2:2">
      <c r="B2835"/>
    </row>
    <row r="2836" spans="2:2">
      <c r="B2836"/>
    </row>
    <row r="2837" spans="2:2">
      <c r="B2837"/>
    </row>
    <row r="2838" spans="2:2">
      <c r="B2838"/>
    </row>
    <row r="2839" spans="2:2">
      <c r="B2839"/>
    </row>
    <row r="2840" spans="2:2">
      <c r="B2840"/>
    </row>
    <row r="2841" spans="2:2">
      <c r="B2841"/>
    </row>
    <row r="2842" spans="2:2">
      <c r="B2842"/>
    </row>
    <row r="2843" spans="2:2">
      <c r="B2843"/>
    </row>
    <row r="2844" spans="2:2">
      <c r="B2844"/>
    </row>
    <row r="2845" spans="2:2">
      <c r="B2845"/>
    </row>
    <row r="2846" spans="2:2">
      <c r="B2846"/>
    </row>
    <row r="2847" spans="2:2">
      <c r="B2847"/>
    </row>
    <row r="2848" spans="2:2">
      <c r="B2848"/>
    </row>
    <row r="2849" spans="2:2">
      <c r="B2849"/>
    </row>
    <row r="2850" spans="2:2">
      <c r="B2850"/>
    </row>
    <row r="2851" spans="2:2">
      <c r="B2851"/>
    </row>
    <row r="2852" spans="2:2">
      <c r="B2852"/>
    </row>
    <row r="2853" spans="2:2">
      <c r="B2853"/>
    </row>
    <row r="2854" spans="2:2">
      <c r="B2854"/>
    </row>
    <row r="2855" spans="2:2">
      <c r="B2855"/>
    </row>
    <row r="2856" spans="2:2">
      <c r="B2856"/>
    </row>
    <row r="2857" spans="2:2">
      <c r="B2857"/>
    </row>
    <row r="2858" spans="2:2">
      <c r="B2858"/>
    </row>
    <row r="2859" spans="2:2">
      <c r="B2859"/>
    </row>
    <row r="2860" spans="2:2">
      <c r="B2860"/>
    </row>
    <row r="2861" spans="2:2">
      <c r="B2861"/>
    </row>
    <row r="2862" spans="2:2">
      <c r="B2862"/>
    </row>
    <row r="2863" spans="2:2">
      <c r="B2863"/>
    </row>
    <row r="2864" spans="2:2">
      <c r="B2864"/>
    </row>
    <row r="2865" spans="2:2">
      <c r="B2865"/>
    </row>
    <row r="2866" spans="2:2">
      <c r="B2866"/>
    </row>
    <row r="2867" spans="2:2">
      <c r="B2867"/>
    </row>
    <row r="2868" spans="2:2">
      <c r="B2868"/>
    </row>
    <row r="2869" spans="2:2">
      <c r="B2869"/>
    </row>
    <row r="2870" spans="2:2">
      <c r="B2870"/>
    </row>
    <row r="2871" spans="2:2">
      <c r="B2871"/>
    </row>
    <row r="2872" spans="2:2">
      <c r="B2872"/>
    </row>
    <row r="2873" spans="2:2">
      <c r="B2873"/>
    </row>
    <row r="2874" spans="2:2">
      <c r="B2874"/>
    </row>
    <row r="2875" spans="2:2">
      <c r="B2875"/>
    </row>
    <row r="2876" spans="2:2">
      <c r="B2876"/>
    </row>
    <row r="2877" spans="2:2">
      <c r="B2877"/>
    </row>
    <row r="2878" spans="2:2">
      <c r="B2878"/>
    </row>
    <row r="2879" spans="2:2">
      <c r="B2879"/>
    </row>
    <row r="2880" spans="2:2">
      <c r="B2880"/>
    </row>
    <row r="2881" spans="2:2">
      <c r="B2881"/>
    </row>
    <row r="2882" spans="2:2">
      <c r="B2882"/>
    </row>
    <row r="2883" spans="2:2">
      <c r="B2883"/>
    </row>
    <row r="2884" spans="2:2">
      <c r="B2884"/>
    </row>
    <row r="2885" spans="2:2">
      <c r="B2885"/>
    </row>
    <row r="2886" spans="2:2">
      <c r="B2886"/>
    </row>
    <row r="2887" spans="2:2">
      <c r="B2887"/>
    </row>
    <row r="2888" spans="2:2">
      <c r="B2888"/>
    </row>
    <row r="2889" spans="2:2">
      <c r="B2889"/>
    </row>
    <row r="2890" spans="2:2">
      <c r="B2890"/>
    </row>
    <row r="2891" spans="2:2">
      <c r="B2891"/>
    </row>
    <row r="2892" spans="2:2">
      <c r="B2892"/>
    </row>
    <row r="2893" spans="2:2">
      <c r="B2893"/>
    </row>
    <row r="2894" spans="2:2">
      <c r="B2894"/>
    </row>
    <row r="2895" spans="2:2">
      <c r="B2895"/>
    </row>
    <row r="2896" spans="2:2">
      <c r="B2896"/>
    </row>
    <row r="2897" spans="2:2">
      <c r="B2897"/>
    </row>
    <row r="2898" spans="2:2">
      <c r="B2898"/>
    </row>
    <row r="2899" spans="2:2">
      <c r="B2899"/>
    </row>
    <row r="2900" spans="2:2">
      <c r="B2900"/>
    </row>
    <row r="2901" spans="2:2">
      <c r="B2901"/>
    </row>
    <row r="2902" spans="2:2">
      <c r="B2902"/>
    </row>
    <row r="2903" spans="2:2">
      <c r="B2903"/>
    </row>
    <row r="2904" spans="2:2">
      <c r="B2904"/>
    </row>
    <row r="2905" spans="2:2">
      <c r="B2905"/>
    </row>
    <row r="2906" spans="2:2">
      <c r="B2906"/>
    </row>
    <row r="2907" spans="2:2">
      <c r="B2907"/>
    </row>
    <row r="2908" spans="2:2">
      <c r="B2908"/>
    </row>
    <row r="2909" spans="2:2">
      <c r="B2909"/>
    </row>
    <row r="2910" spans="2:2">
      <c r="B2910"/>
    </row>
    <row r="2911" spans="2:2">
      <c r="B2911"/>
    </row>
    <row r="2912" spans="2:2">
      <c r="B2912"/>
    </row>
    <row r="2913" spans="2:2">
      <c r="B2913"/>
    </row>
    <row r="2914" spans="2:2">
      <c r="B2914"/>
    </row>
    <row r="2915" spans="2:2">
      <c r="B2915"/>
    </row>
    <row r="2916" spans="2:2">
      <c r="B2916"/>
    </row>
    <row r="2917" spans="2:2">
      <c r="B2917"/>
    </row>
    <row r="2918" spans="2:2">
      <c r="B2918"/>
    </row>
    <row r="2919" spans="2:2">
      <c r="B2919"/>
    </row>
    <row r="2920" spans="2:2">
      <c r="B2920"/>
    </row>
    <row r="2921" spans="2:2">
      <c r="B2921"/>
    </row>
    <row r="2922" spans="2:2">
      <c r="B2922"/>
    </row>
    <row r="2923" spans="2:2">
      <c r="B2923"/>
    </row>
    <row r="2924" spans="2:2">
      <c r="B2924"/>
    </row>
    <row r="2925" spans="2:2">
      <c r="B2925"/>
    </row>
    <row r="2926" spans="2:2">
      <c r="B2926"/>
    </row>
    <row r="2927" spans="2:2">
      <c r="B2927"/>
    </row>
    <row r="2928" spans="2:2">
      <c r="B2928"/>
    </row>
    <row r="2929" spans="2:2">
      <c r="B2929"/>
    </row>
    <row r="2930" spans="2:2">
      <c r="B2930"/>
    </row>
    <row r="2931" spans="2:2">
      <c r="B2931"/>
    </row>
    <row r="2932" spans="2:2">
      <c r="B2932"/>
    </row>
    <row r="2933" spans="2:2">
      <c r="B2933"/>
    </row>
    <row r="2934" spans="2:2">
      <c r="B2934"/>
    </row>
    <row r="2935" spans="2:2">
      <c r="B2935"/>
    </row>
    <row r="2936" spans="2:2">
      <c r="B2936"/>
    </row>
    <row r="2937" spans="2:2">
      <c r="B2937"/>
    </row>
    <row r="2938" spans="2:2">
      <c r="B2938"/>
    </row>
    <row r="2939" spans="2:2">
      <c r="B2939"/>
    </row>
    <row r="2940" spans="2:2">
      <c r="B2940"/>
    </row>
    <row r="2941" spans="2:2">
      <c r="B2941"/>
    </row>
    <row r="2942" spans="2:2">
      <c r="B2942"/>
    </row>
    <row r="2943" spans="2:2">
      <c r="B2943"/>
    </row>
    <row r="2944" spans="2:2">
      <c r="B2944"/>
    </row>
    <row r="2945" spans="2:2">
      <c r="B2945"/>
    </row>
    <row r="2946" spans="2:2">
      <c r="B2946"/>
    </row>
    <row r="2947" spans="2:2">
      <c r="B2947"/>
    </row>
    <row r="2948" spans="2:2">
      <c r="B2948"/>
    </row>
    <row r="2949" spans="2:2">
      <c r="B2949"/>
    </row>
    <row r="2950" spans="2:2">
      <c r="B2950"/>
    </row>
    <row r="2951" spans="2:2">
      <c r="B2951"/>
    </row>
    <row r="2952" spans="2:2">
      <c r="B2952"/>
    </row>
    <row r="2953" spans="2:2">
      <c r="B2953"/>
    </row>
    <row r="2954" spans="2:2">
      <c r="B2954"/>
    </row>
    <row r="2955" spans="2:2">
      <c r="B2955"/>
    </row>
    <row r="2956" spans="2:2">
      <c r="B2956"/>
    </row>
    <row r="2957" spans="2:2">
      <c r="B2957"/>
    </row>
    <row r="2958" spans="2:2">
      <c r="B2958"/>
    </row>
    <row r="2959" spans="2:2">
      <c r="B2959"/>
    </row>
    <row r="2960" spans="2:2">
      <c r="B2960"/>
    </row>
    <row r="2961" spans="2:2">
      <c r="B2961"/>
    </row>
    <row r="2962" spans="2:2">
      <c r="B2962"/>
    </row>
    <row r="2963" spans="2:2">
      <c r="B2963"/>
    </row>
    <row r="2964" spans="2:2">
      <c r="B2964"/>
    </row>
    <row r="2965" spans="2:2">
      <c r="B2965"/>
    </row>
    <row r="2966" spans="2:2">
      <c r="B2966"/>
    </row>
    <row r="2967" spans="2:2">
      <c r="B2967"/>
    </row>
    <row r="2968" spans="2:2">
      <c r="B2968"/>
    </row>
    <row r="2969" spans="2:2">
      <c r="B2969"/>
    </row>
    <row r="2970" spans="2:2">
      <c r="B2970"/>
    </row>
    <row r="2971" spans="2:2">
      <c r="B2971"/>
    </row>
    <row r="2972" spans="2:2">
      <c r="B2972"/>
    </row>
    <row r="2973" spans="2:2">
      <c r="B2973"/>
    </row>
    <row r="2974" spans="2:2">
      <c r="B2974"/>
    </row>
    <row r="2975" spans="2:2">
      <c r="B2975"/>
    </row>
    <row r="2976" spans="2:2">
      <c r="B2976"/>
    </row>
    <row r="2977" spans="2:2">
      <c r="B2977"/>
    </row>
    <row r="2978" spans="2:2">
      <c r="B2978"/>
    </row>
    <row r="2979" spans="2:2">
      <c r="B2979"/>
    </row>
    <row r="2980" spans="2:2">
      <c r="B2980"/>
    </row>
    <row r="2981" spans="2:2">
      <c r="B2981"/>
    </row>
    <row r="2982" spans="2:2">
      <c r="B2982"/>
    </row>
    <row r="2983" spans="2:2">
      <c r="B2983"/>
    </row>
    <row r="2984" spans="2:2">
      <c r="B2984"/>
    </row>
    <row r="2985" spans="2:2">
      <c r="B2985"/>
    </row>
    <row r="2986" spans="2:2">
      <c r="B2986"/>
    </row>
    <row r="2987" spans="2:2">
      <c r="B2987"/>
    </row>
    <row r="2988" spans="2:2">
      <c r="B2988"/>
    </row>
    <row r="2989" spans="2:2">
      <c r="B2989"/>
    </row>
    <row r="2990" spans="2:2">
      <c r="B2990"/>
    </row>
    <row r="2991" spans="2:2">
      <c r="B2991"/>
    </row>
    <row r="2992" spans="2:2">
      <c r="B2992"/>
    </row>
    <row r="2993" spans="2:2">
      <c r="B2993"/>
    </row>
    <row r="2994" spans="2:2">
      <c r="B2994"/>
    </row>
    <row r="2995" spans="2:2">
      <c r="B2995"/>
    </row>
    <row r="2996" spans="2:2">
      <c r="B2996"/>
    </row>
    <row r="2997" spans="2:2">
      <c r="B2997"/>
    </row>
    <row r="2998" spans="2:2">
      <c r="B2998"/>
    </row>
    <row r="2999" spans="2:2">
      <c r="B2999"/>
    </row>
    <row r="3000" spans="2:2">
      <c r="B3000"/>
    </row>
    <row r="3001" spans="2:2">
      <c r="B3001"/>
    </row>
    <row r="3002" spans="2:2">
      <c r="B3002"/>
    </row>
    <row r="3003" spans="2:2">
      <c r="B3003"/>
    </row>
    <row r="3004" spans="2:2">
      <c r="B3004"/>
    </row>
    <row r="3005" spans="2:2">
      <c r="B3005"/>
    </row>
    <row r="3006" spans="2:2">
      <c r="B3006"/>
    </row>
    <row r="3007" spans="2:2">
      <c r="B3007"/>
    </row>
    <row r="3008" spans="2:2">
      <c r="B3008"/>
    </row>
    <row r="3009" spans="2:2">
      <c r="B3009"/>
    </row>
    <row r="3010" spans="2:2">
      <c r="B3010"/>
    </row>
    <row r="3011" spans="2:2">
      <c r="B3011"/>
    </row>
    <row r="3012" spans="2:2">
      <c r="B3012"/>
    </row>
    <row r="3013" spans="2:2">
      <c r="B3013"/>
    </row>
    <row r="3014" spans="2:2">
      <c r="B3014"/>
    </row>
    <row r="3015" spans="2:2">
      <c r="B3015"/>
    </row>
    <row r="3016" spans="2:2">
      <c r="B3016"/>
    </row>
    <row r="3017" spans="2:2">
      <c r="B3017"/>
    </row>
    <row r="3018" spans="2:2">
      <c r="B3018"/>
    </row>
    <row r="3019" spans="2:2">
      <c r="B3019"/>
    </row>
    <row r="3020" spans="2:2">
      <c r="B3020"/>
    </row>
    <row r="3021" spans="2:2">
      <c r="B3021"/>
    </row>
    <row r="3022" spans="2:2">
      <c r="B3022"/>
    </row>
    <row r="3023" spans="2:2">
      <c r="B3023"/>
    </row>
    <row r="3024" spans="2:2">
      <c r="B3024"/>
    </row>
    <row r="3025" spans="2:2">
      <c r="B3025"/>
    </row>
    <row r="3026" spans="2:2">
      <c r="B3026"/>
    </row>
    <row r="3027" spans="2:2">
      <c r="B3027"/>
    </row>
    <row r="3028" spans="2:2">
      <c r="B3028"/>
    </row>
    <row r="3029" spans="2:2">
      <c r="B3029"/>
    </row>
    <row r="3030" spans="2:2">
      <c r="B3030"/>
    </row>
    <row r="3031" spans="2:2">
      <c r="B3031"/>
    </row>
    <row r="3032" spans="2:2">
      <c r="B3032"/>
    </row>
    <row r="3033" spans="2:2">
      <c r="B3033"/>
    </row>
    <row r="3034" spans="2:2">
      <c r="B3034"/>
    </row>
    <row r="3035" spans="2:2">
      <c r="B3035"/>
    </row>
    <row r="3036" spans="2:2">
      <c r="B3036"/>
    </row>
    <row r="3037" spans="2:2">
      <c r="B3037"/>
    </row>
    <row r="3038" spans="2:2">
      <c r="B3038"/>
    </row>
    <row r="3039" spans="2:2">
      <c r="B3039"/>
    </row>
    <row r="3040" spans="2:2">
      <c r="B3040"/>
    </row>
    <row r="3041" spans="2:2">
      <c r="B3041"/>
    </row>
    <row r="3042" spans="2:2">
      <c r="B3042"/>
    </row>
    <row r="3043" spans="2:2">
      <c r="B3043"/>
    </row>
    <row r="3044" spans="2:2">
      <c r="B3044"/>
    </row>
    <row r="3045" spans="2:2">
      <c r="B3045"/>
    </row>
    <row r="3046" spans="2:2">
      <c r="B3046"/>
    </row>
    <row r="3047" spans="2:2">
      <c r="B3047"/>
    </row>
    <row r="3048" spans="2:2">
      <c r="B3048"/>
    </row>
    <row r="3049" spans="2:2">
      <c r="B3049"/>
    </row>
    <row r="3050" spans="2:2">
      <c r="B3050"/>
    </row>
    <row r="3051" spans="2:2">
      <c r="B3051"/>
    </row>
    <row r="3052" spans="2:2">
      <c r="B3052"/>
    </row>
    <row r="3053" spans="2:2">
      <c r="B3053"/>
    </row>
    <row r="3054" spans="2:2">
      <c r="B3054"/>
    </row>
    <row r="3055" spans="2:2">
      <c r="B3055"/>
    </row>
    <row r="3056" spans="2:2">
      <c r="B3056"/>
    </row>
    <row r="3057" spans="2:2">
      <c r="B3057"/>
    </row>
    <row r="3058" spans="2:2">
      <c r="B3058"/>
    </row>
    <row r="3059" spans="2:2">
      <c r="B3059"/>
    </row>
    <row r="3060" spans="2:2">
      <c r="B3060"/>
    </row>
    <row r="3061" spans="2:2">
      <c r="B3061"/>
    </row>
    <row r="3062" spans="2:2">
      <c r="B3062"/>
    </row>
    <row r="3063" spans="2:2">
      <c r="B3063"/>
    </row>
    <row r="3064" spans="2:2">
      <c r="B3064"/>
    </row>
    <row r="3065" spans="2:2">
      <c r="B3065"/>
    </row>
    <row r="3066" spans="2:2">
      <c r="B3066"/>
    </row>
    <row r="3067" spans="2:2">
      <c r="B3067"/>
    </row>
    <row r="3068" spans="2:2">
      <c r="B3068"/>
    </row>
    <row r="3069" spans="2:2">
      <c r="B3069"/>
    </row>
    <row r="3070" spans="2:2">
      <c r="B3070"/>
    </row>
    <row r="3071" spans="2:2">
      <c r="B3071"/>
    </row>
    <row r="3072" spans="2:2">
      <c r="B3072"/>
    </row>
    <row r="3073" spans="2:2">
      <c r="B3073"/>
    </row>
    <row r="3074" spans="2:2">
      <c r="B3074"/>
    </row>
    <row r="3075" spans="2:2">
      <c r="B3075"/>
    </row>
    <row r="3076" spans="2:2">
      <c r="B3076"/>
    </row>
    <row r="3077" spans="2:2">
      <c r="B3077"/>
    </row>
    <row r="3078" spans="2:2">
      <c r="B3078"/>
    </row>
    <row r="3079" spans="2:2">
      <c r="B3079"/>
    </row>
    <row r="3080" spans="2:2">
      <c r="B3080"/>
    </row>
    <row r="3081" spans="2:2">
      <c r="B3081"/>
    </row>
    <row r="3082" spans="2:2">
      <c r="B3082"/>
    </row>
    <row r="3083" spans="2:2">
      <c r="B3083"/>
    </row>
    <row r="3084" spans="2:2">
      <c r="B3084"/>
    </row>
    <row r="3085" spans="2:2">
      <c r="B3085"/>
    </row>
    <row r="3086" spans="2:2">
      <c r="B3086"/>
    </row>
    <row r="3087" spans="2:2">
      <c r="B3087"/>
    </row>
    <row r="3088" spans="2:2">
      <c r="B3088"/>
    </row>
    <row r="3089" spans="2:2">
      <c r="B3089"/>
    </row>
    <row r="3090" spans="2:2">
      <c r="B3090"/>
    </row>
    <row r="3091" spans="2:2">
      <c r="B3091"/>
    </row>
    <row r="3092" spans="2:2">
      <c r="B3092"/>
    </row>
    <row r="3093" spans="2:2">
      <c r="B3093"/>
    </row>
    <row r="3094" spans="2:2">
      <c r="B3094"/>
    </row>
    <row r="3095" spans="2:2">
      <c r="B3095"/>
    </row>
    <row r="3096" spans="2:2">
      <c r="B3096"/>
    </row>
    <row r="3097" spans="2:2">
      <c r="B3097"/>
    </row>
    <row r="3098" spans="2:2">
      <c r="B3098"/>
    </row>
    <row r="3099" spans="2:2">
      <c r="B3099"/>
    </row>
    <row r="3100" spans="2:2">
      <c r="B3100"/>
    </row>
    <row r="3101" spans="2:2">
      <c r="B3101"/>
    </row>
    <row r="3102" spans="2:2">
      <c r="B3102"/>
    </row>
    <row r="3103" spans="2:2">
      <c r="B3103"/>
    </row>
    <row r="3104" spans="2:2">
      <c r="B3104"/>
    </row>
    <row r="3105" spans="2:2">
      <c r="B3105"/>
    </row>
    <row r="3106" spans="2:2">
      <c r="B3106"/>
    </row>
    <row r="3107" spans="2:2">
      <c r="B3107"/>
    </row>
    <row r="3108" spans="2:2">
      <c r="B3108"/>
    </row>
    <row r="3109" spans="2:2">
      <c r="B3109"/>
    </row>
    <row r="3110" spans="2:2">
      <c r="B3110"/>
    </row>
    <row r="3111" spans="2:2">
      <c r="B3111"/>
    </row>
    <row r="3112" spans="2:2">
      <c r="B3112"/>
    </row>
    <row r="3113" spans="2:2">
      <c r="B3113"/>
    </row>
    <row r="3114" spans="2:2">
      <c r="B3114"/>
    </row>
    <row r="3115" spans="2:2">
      <c r="B3115"/>
    </row>
    <row r="3116" spans="2:2">
      <c r="B3116"/>
    </row>
    <row r="3117" spans="2:2">
      <c r="B3117"/>
    </row>
    <row r="3118" spans="2:2">
      <c r="B3118"/>
    </row>
    <row r="3119" spans="2:2">
      <c r="B3119"/>
    </row>
    <row r="3120" spans="2:2">
      <c r="B3120"/>
    </row>
    <row r="3121" spans="2:2">
      <c r="B3121"/>
    </row>
    <row r="3122" spans="2:2">
      <c r="B3122"/>
    </row>
    <row r="3123" spans="2:2">
      <c r="B3123"/>
    </row>
    <row r="3124" spans="2:2">
      <c r="B3124"/>
    </row>
    <row r="3125" spans="2:2">
      <c r="B3125"/>
    </row>
    <row r="3126" spans="2:2">
      <c r="B3126"/>
    </row>
    <row r="3127" spans="2:2">
      <c r="B3127"/>
    </row>
    <row r="3128" spans="2:2">
      <c r="B3128"/>
    </row>
    <row r="3129" spans="2:2">
      <c r="B3129"/>
    </row>
    <row r="3130" spans="2:2">
      <c r="B3130"/>
    </row>
    <row r="3131" spans="2:2">
      <c r="B3131"/>
    </row>
    <row r="3132" spans="2:2">
      <c r="B3132"/>
    </row>
    <row r="3133" spans="2:2">
      <c r="B3133"/>
    </row>
    <row r="3134" spans="2:2">
      <c r="B3134"/>
    </row>
    <row r="3135" spans="2:2">
      <c r="B3135"/>
    </row>
    <row r="3136" spans="2:2">
      <c r="B3136"/>
    </row>
    <row r="3137" spans="2:2">
      <c r="B3137"/>
    </row>
    <row r="3138" spans="2:2">
      <c r="B3138"/>
    </row>
    <row r="3139" spans="2:2">
      <c r="B3139"/>
    </row>
    <row r="3140" spans="2:2">
      <c r="B3140"/>
    </row>
    <row r="3141" spans="2:2">
      <c r="B3141"/>
    </row>
    <row r="3142" spans="2:2">
      <c r="B3142"/>
    </row>
    <row r="3143" spans="2:2">
      <c r="B3143"/>
    </row>
    <row r="3144" spans="2:2">
      <c r="B3144"/>
    </row>
    <row r="3145" spans="2:2">
      <c r="B3145"/>
    </row>
    <row r="3146" spans="2:2">
      <c r="B3146"/>
    </row>
    <row r="3147" spans="2:2">
      <c r="B3147"/>
    </row>
    <row r="3148" spans="2:2">
      <c r="B3148"/>
    </row>
    <row r="3149" spans="2:2">
      <c r="B3149"/>
    </row>
    <row r="3150" spans="2:2">
      <c r="B3150"/>
    </row>
    <row r="3151" spans="2:2">
      <c r="B3151"/>
    </row>
    <row r="3152" spans="2:2">
      <c r="B3152"/>
    </row>
    <row r="3153" spans="2:2">
      <c r="B3153"/>
    </row>
    <row r="3154" spans="2:2">
      <c r="B3154"/>
    </row>
    <row r="3155" spans="2:2">
      <c r="B3155"/>
    </row>
    <row r="3156" spans="2:2">
      <c r="B3156"/>
    </row>
    <row r="3157" spans="2:2">
      <c r="B3157"/>
    </row>
    <row r="3158" spans="2:2">
      <c r="B3158"/>
    </row>
    <row r="3159" spans="2:2">
      <c r="B3159"/>
    </row>
    <row r="3160" spans="2:2">
      <c r="B3160"/>
    </row>
    <row r="3161" spans="2:2">
      <c r="B3161"/>
    </row>
    <row r="3162" spans="2:2">
      <c r="B3162"/>
    </row>
    <row r="3163" spans="2:2">
      <c r="B3163"/>
    </row>
    <row r="3164" spans="2:2">
      <c r="B3164"/>
    </row>
    <row r="3165" spans="2:2">
      <c r="B3165"/>
    </row>
    <row r="3166" spans="2:2">
      <c r="B3166"/>
    </row>
    <row r="3167" spans="2:2">
      <c r="B3167"/>
    </row>
    <row r="3168" spans="2:2">
      <c r="B3168"/>
    </row>
    <row r="3169" spans="2:2">
      <c r="B3169"/>
    </row>
    <row r="3170" spans="2:2">
      <c r="B3170"/>
    </row>
    <row r="3171" spans="2:2">
      <c r="B3171"/>
    </row>
    <row r="3172" spans="2:2">
      <c r="B3172"/>
    </row>
    <row r="3173" spans="2:2">
      <c r="B3173"/>
    </row>
    <row r="3174" spans="2:2">
      <c r="B3174"/>
    </row>
    <row r="3175" spans="2:2">
      <c r="B3175"/>
    </row>
    <row r="3176" spans="2:2">
      <c r="B3176"/>
    </row>
    <row r="3177" spans="2:2">
      <c r="B3177"/>
    </row>
    <row r="3178" spans="2:2">
      <c r="B3178"/>
    </row>
    <row r="3179" spans="2:2">
      <c r="B3179"/>
    </row>
    <row r="3180" spans="2:2">
      <c r="B3180"/>
    </row>
    <row r="3181" spans="2:2">
      <c r="B3181"/>
    </row>
    <row r="3182" spans="2:2">
      <c r="B3182"/>
    </row>
    <row r="3183" spans="2:2">
      <c r="B3183"/>
    </row>
    <row r="3184" spans="2:2">
      <c r="B3184"/>
    </row>
    <row r="3185" spans="2:2">
      <c r="B3185"/>
    </row>
    <row r="3186" spans="2:2">
      <c r="B3186"/>
    </row>
    <row r="3187" spans="2:2">
      <c r="B3187"/>
    </row>
    <row r="3188" spans="2:2">
      <c r="B3188"/>
    </row>
    <row r="3189" spans="2:2">
      <c r="B3189"/>
    </row>
    <row r="3190" spans="2:2">
      <c r="B3190"/>
    </row>
    <row r="3191" spans="2:2">
      <c r="B3191"/>
    </row>
    <row r="3192" spans="2:2">
      <c r="B3192"/>
    </row>
    <row r="3193" spans="2:2">
      <c r="B3193"/>
    </row>
    <row r="3194" spans="2:2">
      <c r="B3194"/>
    </row>
    <row r="3195" spans="2:2">
      <c r="B3195"/>
    </row>
    <row r="3196" spans="2:2">
      <c r="B3196"/>
    </row>
    <row r="3197" spans="2:2">
      <c r="B3197"/>
    </row>
    <row r="3198" spans="2:2">
      <c r="B3198"/>
    </row>
    <row r="3199" spans="2:2">
      <c r="B3199"/>
    </row>
    <row r="3200" spans="2:2">
      <c r="B3200"/>
    </row>
    <row r="3201" spans="2:2">
      <c r="B3201"/>
    </row>
    <row r="3202" spans="2:2">
      <c r="B3202"/>
    </row>
    <row r="3203" spans="2:2">
      <c r="B3203"/>
    </row>
    <row r="3204" spans="2:2">
      <c r="B3204"/>
    </row>
    <row r="3205" spans="2:2">
      <c r="B3205"/>
    </row>
    <row r="3206" spans="2:2">
      <c r="B3206"/>
    </row>
    <row r="3207" spans="2:2">
      <c r="B3207"/>
    </row>
    <row r="3208" spans="2:2">
      <c r="B3208"/>
    </row>
    <row r="3209" spans="2:2">
      <c r="B3209"/>
    </row>
    <row r="3210" spans="2:2">
      <c r="B3210"/>
    </row>
    <row r="3211" spans="2:2">
      <c r="B3211"/>
    </row>
    <row r="3212" spans="2:2">
      <c r="B3212"/>
    </row>
    <row r="3213" spans="2:2">
      <c r="B3213"/>
    </row>
    <row r="3214" spans="2:2">
      <c r="B3214"/>
    </row>
    <row r="3215" spans="2:2">
      <c r="B3215"/>
    </row>
    <row r="3216" spans="2:2">
      <c r="B3216"/>
    </row>
    <row r="3217" spans="2:2">
      <c r="B3217"/>
    </row>
    <row r="3218" spans="2:2">
      <c r="B3218"/>
    </row>
    <row r="3219" spans="2:2">
      <c r="B3219"/>
    </row>
    <row r="3220" spans="2:2">
      <c r="B3220"/>
    </row>
    <row r="3221" spans="2:2">
      <c r="B3221"/>
    </row>
    <row r="3222" spans="2:2">
      <c r="B3222"/>
    </row>
    <row r="3223" spans="2:2">
      <c r="B3223"/>
    </row>
    <row r="3224" spans="2:2">
      <c r="B3224"/>
    </row>
    <row r="3225" spans="2:2">
      <c r="B3225"/>
    </row>
    <row r="3226" spans="2:2">
      <c r="B3226"/>
    </row>
    <row r="3227" spans="2:2">
      <c r="B3227"/>
    </row>
    <row r="3228" spans="2:2">
      <c r="B3228"/>
    </row>
    <row r="3229" spans="2:2">
      <c r="B3229"/>
    </row>
    <row r="3230" spans="2:2">
      <c r="B3230"/>
    </row>
    <row r="3231" spans="2:2">
      <c r="B3231"/>
    </row>
    <row r="3232" spans="2:2">
      <c r="B3232"/>
    </row>
    <row r="3233" spans="2:2">
      <c r="B3233"/>
    </row>
    <row r="3234" spans="2:2">
      <c r="B3234"/>
    </row>
    <row r="3235" spans="2:2">
      <c r="B3235"/>
    </row>
    <row r="3236" spans="2:2">
      <c r="B3236"/>
    </row>
    <row r="3237" spans="2:2">
      <c r="B3237"/>
    </row>
    <row r="3238" spans="2:2">
      <c r="B3238"/>
    </row>
    <row r="3239" spans="2:2">
      <c r="B3239"/>
    </row>
    <row r="3240" spans="2:2">
      <c r="B3240"/>
    </row>
    <row r="3241" spans="2:2">
      <c r="B3241"/>
    </row>
    <row r="3242" spans="2:2">
      <c r="B3242"/>
    </row>
    <row r="3243" spans="2:2">
      <c r="B3243"/>
    </row>
    <row r="3244" spans="2:2">
      <c r="B3244"/>
    </row>
    <row r="3245" spans="2:2">
      <c r="B3245"/>
    </row>
    <row r="3246" spans="2:2">
      <c r="B3246"/>
    </row>
    <row r="3247" spans="2:2">
      <c r="B3247"/>
    </row>
    <row r="3248" spans="2:2">
      <c r="B3248"/>
    </row>
    <row r="3249" spans="2:2">
      <c r="B3249"/>
    </row>
    <row r="3250" spans="2:2">
      <c r="B3250"/>
    </row>
    <row r="3251" spans="2:2">
      <c r="B3251"/>
    </row>
    <row r="3252" spans="2:2">
      <c r="B3252"/>
    </row>
    <row r="3253" spans="2:2">
      <c r="B3253"/>
    </row>
    <row r="3254" spans="2:2">
      <c r="B3254"/>
    </row>
    <row r="3255" spans="2:2">
      <c r="B3255"/>
    </row>
    <row r="3256" spans="2:2">
      <c r="B3256"/>
    </row>
    <row r="3257" spans="2:2">
      <c r="B3257"/>
    </row>
    <row r="3258" spans="2:2">
      <c r="B3258"/>
    </row>
    <row r="3259" spans="2:2">
      <c r="B3259"/>
    </row>
    <row r="3260" spans="2:2">
      <c r="B3260"/>
    </row>
    <row r="3261" spans="2:2">
      <c r="B3261"/>
    </row>
    <row r="3262" spans="2:2">
      <c r="B3262"/>
    </row>
    <row r="3263" spans="2:2">
      <c r="B3263"/>
    </row>
    <row r="3264" spans="2:2">
      <c r="B3264"/>
    </row>
    <row r="3265" spans="2:2">
      <c r="B3265"/>
    </row>
    <row r="3266" spans="2:2">
      <c r="B3266"/>
    </row>
    <row r="3267" spans="2:2">
      <c r="B3267"/>
    </row>
    <row r="3268" spans="2:2">
      <c r="B3268"/>
    </row>
    <row r="3269" spans="2:2">
      <c r="B3269"/>
    </row>
    <row r="3270" spans="2:2">
      <c r="B3270"/>
    </row>
    <row r="3271" spans="2:2">
      <c r="B3271"/>
    </row>
    <row r="3272" spans="2:2">
      <c r="B3272"/>
    </row>
    <row r="3273" spans="2:2">
      <c r="B3273"/>
    </row>
    <row r="3274" spans="2:2">
      <c r="B3274"/>
    </row>
    <row r="3275" spans="2:2">
      <c r="B3275"/>
    </row>
    <row r="3276" spans="2:2">
      <c r="B3276"/>
    </row>
    <row r="3277" spans="2:2">
      <c r="B3277"/>
    </row>
    <row r="3278" spans="2:2">
      <c r="B3278"/>
    </row>
    <row r="3279" spans="2:2">
      <c r="B3279"/>
    </row>
    <row r="3280" spans="2:2">
      <c r="B3280"/>
    </row>
    <row r="3281" spans="2:2">
      <c r="B3281"/>
    </row>
    <row r="3282" spans="2:2">
      <c r="B3282"/>
    </row>
    <row r="3283" spans="2:2">
      <c r="B3283"/>
    </row>
    <row r="3284" spans="2:2">
      <c r="B3284"/>
    </row>
    <row r="3285" spans="2:2">
      <c r="B3285"/>
    </row>
    <row r="3286" spans="2:2">
      <c r="B3286"/>
    </row>
    <row r="3287" spans="2:2">
      <c r="B3287"/>
    </row>
    <row r="3288" spans="2:2">
      <c r="B3288"/>
    </row>
    <row r="3289" spans="2:2">
      <c r="B3289"/>
    </row>
    <row r="3290" spans="2:2">
      <c r="B3290"/>
    </row>
    <row r="3291" spans="2:2">
      <c r="B3291"/>
    </row>
    <row r="3292" spans="2:2">
      <c r="B3292"/>
    </row>
    <row r="3293" spans="2:2">
      <c r="B3293"/>
    </row>
    <row r="3294" spans="2:2">
      <c r="B3294"/>
    </row>
    <row r="3295" spans="2:2">
      <c r="B3295"/>
    </row>
    <row r="3296" spans="2:2">
      <c r="B3296"/>
    </row>
    <row r="3297" spans="2:2">
      <c r="B3297"/>
    </row>
    <row r="3298" spans="2:2">
      <c r="B3298"/>
    </row>
    <row r="3299" spans="2:2">
      <c r="B3299"/>
    </row>
    <row r="3300" spans="2:2">
      <c r="B3300"/>
    </row>
    <row r="3301" spans="2:2">
      <c r="B3301"/>
    </row>
    <row r="3302" spans="2:2">
      <c r="B3302"/>
    </row>
    <row r="3303" spans="2:2">
      <c r="B3303"/>
    </row>
    <row r="3304" spans="2:2">
      <c r="B3304"/>
    </row>
    <row r="3305" spans="2:2">
      <c r="B3305"/>
    </row>
    <row r="3306" spans="2:2">
      <c r="B3306"/>
    </row>
    <row r="3307" spans="2:2">
      <c r="B3307"/>
    </row>
    <row r="3308" spans="2:2">
      <c r="B3308"/>
    </row>
    <row r="3309" spans="2:2">
      <c r="B3309"/>
    </row>
    <row r="3310" spans="2:2">
      <c r="B3310"/>
    </row>
    <row r="3311" spans="2:2">
      <c r="B3311"/>
    </row>
    <row r="3312" spans="2:2">
      <c r="B3312"/>
    </row>
    <row r="3313" spans="2:2">
      <c r="B3313"/>
    </row>
    <row r="3314" spans="2:2">
      <c r="B3314"/>
    </row>
    <row r="3315" spans="2:2">
      <c r="B3315"/>
    </row>
    <row r="3316" spans="2:2">
      <c r="B3316"/>
    </row>
    <row r="3317" spans="2:2">
      <c r="B3317"/>
    </row>
    <row r="3318" spans="2:2">
      <c r="B3318"/>
    </row>
    <row r="3319" spans="2:2">
      <c r="B3319"/>
    </row>
    <row r="3320" spans="2:2">
      <c r="B3320"/>
    </row>
    <row r="3321" spans="2:2">
      <c r="B3321"/>
    </row>
    <row r="3322" spans="2:2">
      <c r="B3322"/>
    </row>
    <row r="3323" spans="2:2">
      <c r="B3323"/>
    </row>
    <row r="3324" spans="2:2">
      <c r="B3324"/>
    </row>
    <row r="3325" spans="2:2">
      <c r="B3325"/>
    </row>
    <row r="3326" spans="2:2">
      <c r="B3326"/>
    </row>
    <row r="3327" spans="2:2">
      <c r="B3327"/>
    </row>
    <row r="3328" spans="2:2">
      <c r="B3328"/>
    </row>
    <row r="3329" spans="2:2">
      <c r="B3329"/>
    </row>
    <row r="3330" spans="2:2">
      <c r="B3330"/>
    </row>
    <row r="3331" spans="2:2">
      <c r="B3331"/>
    </row>
    <row r="3332" spans="2:2">
      <c r="B3332"/>
    </row>
    <row r="3333" spans="2:2">
      <c r="B3333"/>
    </row>
    <row r="3334" spans="2:2">
      <c r="B3334"/>
    </row>
    <row r="3335" spans="2:2">
      <c r="B3335"/>
    </row>
    <row r="3336" spans="2:2">
      <c r="B3336"/>
    </row>
    <row r="3337" spans="2:2">
      <c r="B3337"/>
    </row>
    <row r="3338" spans="2:2">
      <c r="B3338"/>
    </row>
    <row r="3339" spans="2:2">
      <c r="B3339"/>
    </row>
    <row r="3340" spans="2:2">
      <c r="B3340"/>
    </row>
    <row r="3341" spans="2:2">
      <c r="B3341"/>
    </row>
    <row r="3342" spans="2:2">
      <c r="B3342"/>
    </row>
    <row r="3343" spans="2:2">
      <c r="B3343"/>
    </row>
    <row r="3344" spans="2:2">
      <c r="B3344"/>
    </row>
    <row r="3345" spans="2:2">
      <c r="B3345"/>
    </row>
    <row r="3346" spans="2:2">
      <c r="B3346"/>
    </row>
    <row r="3347" spans="2:2">
      <c r="B3347"/>
    </row>
    <row r="3348" spans="2:2">
      <c r="B3348"/>
    </row>
    <row r="3349" spans="2:2">
      <c r="B3349"/>
    </row>
    <row r="3350" spans="2:2">
      <c r="B3350"/>
    </row>
    <row r="3351" spans="2:2">
      <c r="B3351"/>
    </row>
    <row r="3352" spans="2:2">
      <c r="B3352"/>
    </row>
    <row r="3353" spans="2:2">
      <c r="B3353"/>
    </row>
    <row r="3354" spans="2:2">
      <c r="B3354"/>
    </row>
    <row r="3355" spans="2:2">
      <c r="B3355"/>
    </row>
    <row r="3356" spans="2:2">
      <c r="B3356"/>
    </row>
    <row r="3357" spans="2:2">
      <c r="B3357"/>
    </row>
    <row r="3358" spans="2:2">
      <c r="B3358"/>
    </row>
    <row r="3359" spans="2:2">
      <c r="B3359"/>
    </row>
    <row r="3360" spans="2:2">
      <c r="B3360"/>
    </row>
    <row r="3361" spans="2:2">
      <c r="B3361"/>
    </row>
    <row r="3362" spans="2:2">
      <c r="B3362"/>
    </row>
    <row r="3363" spans="2:2">
      <c r="B3363"/>
    </row>
    <row r="3364" spans="2:2">
      <c r="B3364"/>
    </row>
    <row r="3365" spans="2:2">
      <c r="B3365"/>
    </row>
    <row r="3366" spans="2:2">
      <c r="B3366"/>
    </row>
    <row r="3367" spans="2:2">
      <c r="B3367"/>
    </row>
    <row r="3368" spans="2:2">
      <c r="B3368"/>
    </row>
    <row r="3369" spans="2:2">
      <c r="B3369"/>
    </row>
    <row r="3370" spans="2:2">
      <c r="B3370"/>
    </row>
    <row r="3371" spans="2:2">
      <c r="B3371"/>
    </row>
    <row r="3372" spans="2:2">
      <c r="B3372"/>
    </row>
    <row r="3373" spans="2:2">
      <c r="B3373"/>
    </row>
    <row r="3374" spans="2:2">
      <c r="B3374"/>
    </row>
    <row r="3375" spans="2:2">
      <c r="B3375"/>
    </row>
    <row r="3376" spans="2:2">
      <c r="B3376"/>
    </row>
    <row r="3377" spans="2:2">
      <c r="B3377"/>
    </row>
    <row r="3378" spans="2:2">
      <c r="B3378"/>
    </row>
    <row r="3379" spans="2:2">
      <c r="B3379"/>
    </row>
    <row r="3380" spans="2:2">
      <c r="B3380"/>
    </row>
    <row r="3381" spans="2:2">
      <c r="B3381"/>
    </row>
    <row r="3382" spans="2:2">
      <c r="B3382"/>
    </row>
    <row r="3383" spans="2:2">
      <c r="B3383"/>
    </row>
    <row r="3384" spans="2:2">
      <c r="B3384"/>
    </row>
    <row r="3385" spans="2:2">
      <c r="B3385"/>
    </row>
    <row r="3386" spans="2:2">
      <c r="B3386"/>
    </row>
    <row r="3387" spans="2:2">
      <c r="B3387"/>
    </row>
    <row r="3388" spans="2:2">
      <c r="B3388"/>
    </row>
    <row r="3389" spans="2:2">
      <c r="B3389"/>
    </row>
    <row r="3390" spans="2:2">
      <c r="B3390"/>
    </row>
    <row r="3391" spans="2:2">
      <c r="B3391"/>
    </row>
    <row r="3392" spans="2:2">
      <c r="B3392"/>
    </row>
    <row r="3393" spans="2:2">
      <c r="B3393"/>
    </row>
    <row r="3394" spans="2:2">
      <c r="B3394"/>
    </row>
    <row r="3395" spans="2:2">
      <c r="B3395"/>
    </row>
    <row r="3396" spans="2:2">
      <c r="B3396"/>
    </row>
    <row r="3397" spans="2:2">
      <c r="B3397"/>
    </row>
    <row r="3398" spans="2:2">
      <c r="B3398"/>
    </row>
    <row r="3399" spans="2:2">
      <c r="B3399"/>
    </row>
    <row r="3400" spans="2:2">
      <c r="B3400"/>
    </row>
    <row r="3401" spans="2:2">
      <c r="B3401"/>
    </row>
    <row r="3402" spans="2:2">
      <c r="B3402"/>
    </row>
    <row r="3403" spans="2:2">
      <c r="B3403"/>
    </row>
    <row r="3404" spans="2:2">
      <c r="B3404"/>
    </row>
    <row r="3405" spans="2:2">
      <c r="B3405"/>
    </row>
    <row r="3406" spans="2:2">
      <c r="B3406"/>
    </row>
    <row r="3407" spans="2:2">
      <c r="B3407"/>
    </row>
    <row r="3408" spans="2:2">
      <c r="B3408"/>
    </row>
    <row r="3409" spans="2:2">
      <c r="B3409"/>
    </row>
    <row r="3410" spans="2:2">
      <c r="B3410"/>
    </row>
    <row r="3411" spans="2:2">
      <c r="B3411"/>
    </row>
    <row r="3412" spans="2:2">
      <c r="B3412"/>
    </row>
    <row r="3413" spans="2:2">
      <c r="B3413"/>
    </row>
    <row r="3414" spans="2:2">
      <c r="B3414"/>
    </row>
    <row r="3415" spans="2:2">
      <c r="B3415"/>
    </row>
    <row r="3416" spans="2:2">
      <c r="B3416"/>
    </row>
    <row r="3417" spans="2:2">
      <c r="B3417"/>
    </row>
    <row r="3418" spans="2:2">
      <c r="B3418"/>
    </row>
    <row r="3419" spans="2:2">
      <c r="B3419"/>
    </row>
    <row r="3420" spans="2:2">
      <c r="B3420"/>
    </row>
    <row r="3421" spans="2:2">
      <c r="B3421"/>
    </row>
    <row r="3422" spans="2:2">
      <c r="B3422"/>
    </row>
    <row r="3423" spans="2:2">
      <c r="B3423"/>
    </row>
    <row r="3424" spans="2:2">
      <c r="B3424"/>
    </row>
    <row r="3425" spans="2:2">
      <c r="B3425"/>
    </row>
    <row r="3426" spans="2:2">
      <c r="B3426"/>
    </row>
    <row r="3427" spans="2:2">
      <c r="B3427"/>
    </row>
    <row r="3428" spans="2:2">
      <c r="B3428"/>
    </row>
    <row r="3429" spans="2:2">
      <c r="B3429"/>
    </row>
    <row r="3430" spans="2:2">
      <c r="B3430"/>
    </row>
    <row r="3431" spans="2:2">
      <c r="B3431"/>
    </row>
    <row r="3432" spans="2:2">
      <c r="B3432"/>
    </row>
    <row r="3433" spans="2:2">
      <c r="B3433"/>
    </row>
    <row r="3434" spans="2:2">
      <c r="B3434"/>
    </row>
    <row r="3435" spans="2:2">
      <c r="B3435"/>
    </row>
    <row r="3436" spans="2:2">
      <c r="B3436"/>
    </row>
    <row r="3437" spans="2:2">
      <c r="B3437"/>
    </row>
    <row r="3438" spans="2:2">
      <c r="B3438"/>
    </row>
    <row r="3439" spans="2:2">
      <c r="B3439"/>
    </row>
    <row r="3440" spans="2:2">
      <c r="B3440"/>
    </row>
    <row r="3441" spans="2:2">
      <c r="B3441"/>
    </row>
    <row r="3442" spans="2:2">
      <c r="B3442"/>
    </row>
    <row r="3443" spans="2:2">
      <c r="B3443"/>
    </row>
    <row r="3444" spans="2:2">
      <c r="B3444"/>
    </row>
    <row r="3445" spans="2:2">
      <c r="B3445"/>
    </row>
    <row r="3446" spans="2:2">
      <c r="B3446"/>
    </row>
    <row r="3447" spans="2:2">
      <c r="B3447"/>
    </row>
    <row r="3448" spans="2:2">
      <c r="B3448"/>
    </row>
    <row r="3449" spans="2:2">
      <c r="B3449"/>
    </row>
    <row r="3450" spans="2:2">
      <c r="B3450"/>
    </row>
    <row r="3451" spans="2:2">
      <c r="B3451"/>
    </row>
    <row r="3452" spans="2:2">
      <c r="B3452"/>
    </row>
    <row r="3453" spans="2:2">
      <c r="B3453"/>
    </row>
    <row r="3454" spans="2:2">
      <c r="B3454"/>
    </row>
    <row r="3455" spans="2:2">
      <c r="B3455"/>
    </row>
    <row r="3456" spans="2:2">
      <c r="B3456"/>
    </row>
    <row r="3457" spans="2:2">
      <c r="B3457"/>
    </row>
    <row r="3458" spans="2:2">
      <c r="B3458"/>
    </row>
    <row r="3459" spans="2:2">
      <c r="B3459"/>
    </row>
    <row r="3460" spans="2:2">
      <c r="B3460"/>
    </row>
    <row r="3461" spans="2:2">
      <c r="B3461"/>
    </row>
    <row r="3462" spans="2:2">
      <c r="B3462"/>
    </row>
    <row r="3463" spans="2:2">
      <c r="B3463"/>
    </row>
    <row r="3464" spans="2:2">
      <c r="B3464"/>
    </row>
    <row r="3465" spans="2:2">
      <c r="B3465"/>
    </row>
    <row r="3466" spans="2:2">
      <c r="B3466"/>
    </row>
    <row r="3467" spans="2:2">
      <c r="B3467"/>
    </row>
    <row r="3468" spans="2:2">
      <c r="B3468"/>
    </row>
    <row r="3469" spans="2:2">
      <c r="B3469"/>
    </row>
    <row r="3470" spans="2:2">
      <c r="B3470"/>
    </row>
    <row r="3471" spans="2:2">
      <c r="B3471"/>
    </row>
    <row r="3472" spans="2:2">
      <c r="B3472"/>
    </row>
    <row r="3473" spans="2:2">
      <c r="B3473"/>
    </row>
    <row r="3474" spans="2:2">
      <c r="B3474"/>
    </row>
    <row r="3475" spans="2:2">
      <c r="B3475"/>
    </row>
    <row r="3476" spans="2:2">
      <c r="B3476"/>
    </row>
    <row r="3477" spans="2:2">
      <c r="B3477"/>
    </row>
    <row r="3478" spans="2:2">
      <c r="B3478"/>
    </row>
    <row r="3479" spans="2:2">
      <c r="B3479"/>
    </row>
    <row r="3480" spans="2:2">
      <c r="B3480"/>
    </row>
    <row r="3481" spans="2:2">
      <c r="B3481"/>
    </row>
    <row r="3482" spans="2:2">
      <c r="B3482"/>
    </row>
    <row r="3483" spans="2:2">
      <c r="B3483"/>
    </row>
    <row r="3484" spans="2:2">
      <c r="B3484"/>
    </row>
    <row r="3485" spans="2:2">
      <c r="B3485"/>
    </row>
    <row r="3486" spans="2:2">
      <c r="B3486"/>
    </row>
    <row r="3487" spans="2:2">
      <c r="B3487"/>
    </row>
    <row r="3488" spans="2:2">
      <c r="B3488"/>
    </row>
    <row r="3489" spans="2:2">
      <c r="B3489"/>
    </row>
    <row r="3490" spans="2:2">
      <c r="B3490"/>
    </row>
    <row r="3491" spans="2:2">
      <c r="B3491"/>
    </row>
    <row r="3492" spans="2:2">
      <c r="B3492"/>
    </row>
    <row r="3493" spans="2:2">
      <c r="B3493"/>
    </row>
    <row r="3494" spans="2:2">
      <c r="B3494"/>
    </row>
    <row r="3495" spans="2:2">
      <c r="B3495"/>
    </row>
    <row r="3496" spans="2:2">
      <c r="B3496"/>
    </row>
    <row r="3497" spans="2:2">
      <c r="B3497"/>
    </row>
    <row r="3498" spans="2:2">
      <c r="B3498"/>
    </row>
    <row r="3499" spans="2:2">
      <c r="B3499"/>
    </row>
    <row r="3500" spans="2:2">
      <c r="B3500"/>
    </row>
    <row r="3501" spans="2:2">
      <c r="B3501"/>
    </row>
    <row r="3502" spans="2:2">
      <c r="B3502"/>
    </row>
    <row r="3503" spans="2:2">
      <c r="B3503"/>
    </row>
    <row r="3504" spans="2:2">
      <c r="B3504"/>
    </row>
    <row r="3505" spans="2:2">
      <c r="B3505"/>
    </row>
    <row r="3506" spans="2:2">
      <c r="B3506"/>
    </row>
    <row r="3507" spans="2:2">
      <c r="B3507"/>
    </row>
    <row r="3508" spans="2:2">
      <c r="B3508"/>
    </row>
    <row r="3509" spans="2:2">
      <c r="B3509"/>
    </row>
    <row r="3510" spans="2:2">
      <c r="B3510"/>
    </row>
    <row r="3511" spans="2:2">
      <c r="B3511"/>
    </row>
    <row r="3512" spans="2:2">
      <c r="B3512"/>
    </row>
    <row r="3513" spans="2:2">
      <c r="B3513"/>
    </row>
    <row r="3514" spans="2:2">
      <c r="B3514"/>
    </row>
    <row r="3515" spans="2:2">
      <c r="B3515"/>
    </row>
    <row r="3516" spans="2:2">
      <c r="B3516"/>
    </row>
    <row r="3517" spans="2:2">
      <c r="B3517"/>
    </row>
    <row r="3518" spans="2:2">
      <c r="B3518"/>
    </row>
    <row r="3519" spans="2:2">
      <c r="B3519"/>
    </row>
    <row r="3520" spans="2:2">
      <c r="B3520"/>
    </row>
    <row r="3521" spans="2:2">
      <c r="B3521"/>
    </row>
    <row r="3522" spans="2:2">
      <c r="B3522"/>
    </row>
    <row r="3523" spans="2:2">
      <c r="B3523"/>
    </row>
    <row r="3524" spans="2:2">
      <c r="B3524"/>
    </row>
    <row r="3525" spans="2:2">
      <c r="B3525"/>
    </row>
    <row r="3526" spans="2:2">
      <c r="B3526"/>
    </row>
    <row r="3527" spans="2:2">
      <c r="B3527"/>
    </row>
    <row r="3528" spans="2:2">
      <c r="B3528"/>
    </row>
    <row r="3529" spans="2:2">
      <c r="B3529"/>
    </row>
    <row r="3530" spans="2:2">
      <c r="B3530"/>
    </row>
    <row r="3531" spans="2:2">
      <c r="B3531"/>
    </row>
    <row r="3532" spans="2:2">
      <c r="B3532"/>
    </row>
    <row r="3533" spans="2:2">
      <c r="B3533"/>
    </row>
    <row r="3534" spans="2:2">
      <c r="B3534"/>
    </row>
    <row r="3535" spans="2:2">
      <c r="B3535"/>
    </row>
    <row r="3536" spans="2:2">
      <c r="B3536"/>
    </row>
    <row r="3537" spans="2:2">
      <c r="B3537"/>
    </row>
    <row r="3538" spans="2:2">
      <c r="B3538"/>
    </row>
    <row r="3539" spans="2:2">
      <c r="B3539"/>
    </row>
    <row r="3540" spans="2:2">
      <c r="B3540"/>
    </row>
    <row r="3541" spans="2:2">
      <c r="B3541"/>
    </row>
    <row r="3542" spans="2:2">
      <c r="B3542"/>
    </row>
    <row r="3543" spans="2:2">
      <c r="B3543"/>
    </row>
    <row r="3544" spans="2:2">
      <c r="B3544"/>
    </row>
    <row r="3545" spans="2:2">
      <c r="B3545"/>
    </row>
    <row r="3546" spans="2:2">
      <c r="B3546"/>
    </row>
    <row r="3547" spans="2:2">
      <c r="B3547"/>
    </row>
    <row r="3548" spans="2:2">
      <c r="B3548"/>
    </row>
    <row r="3549" spans="2:2">
      <c r="B3549"/>
    </row>
    <row r="3550" spans="2:2">
      <c r="B3550"/>
    </row>
    <row r="3551" spans="2:2">
      <c r="B3551"/>
    </row>
    <row r="3552" spans="2:2">
      <c r="B3552"/>
    </row>
    <row r="3553" spans="2:2">
      <c r="B3553"/>
    </row>
    <row r="3554" spans="2:2">
      <c r="B3554"/>
    </row>
    <row r="3555" spans="2:2">
      <c r="B3555"/>
    </row>
    <row r="3556" spans="2:2">
      <c r="B3556"/>
    </row>
    <row r="3557" spans="2:2">
      <c r="B3557"/>
    </row>
    <row r="3558" spans="2:2">
      <c r="B3558"/>
    </row>
    <row r="3559" spans="2:2">
      <c r="B3559"/>
    </row>
    <row r="3560" spans="2:2">
      <c r="B3560"/>
    </row>
    <row r="3561" spans="2:2">
      <c r="B3561"/>
    </row>
    <row r="3562" spans="2:2">
      <c r="B3562"/>
    </row>
    <row r="3563" spans="2:2">
      <c r="B3563"/>
    </row>
    <row r="3564" spans="2:2">
      <c r="B3564"/>
    </row>
    <row r="3565" spans="2:2">
      <c r="B3565"/>
    </row>
    <row r="3566" spans="2:2">
      <c r="B3566"/>
    </row>
    <row r="3567" spans="2:2">
      <c r="B3567"/>
    </row>
    <row r="3568" spans="2:2">
      <c r="B3568"/>
    </row>
    <row r="3569" spans="2:2">
      <c r="B3569"/>
    </row>
    <row r="3570" spans="2:2">
      <c r="B3570"/>
    </row>
    <row r="3571" spans="2:2">
      <c r="B3571"/>
    </row>
    <row r="3572" spans="2:2">
      <c r="B3572"/>
    </row>
    <row r="3573" spans="2:2">
      <c r="B3573"/>
    </row>
    <row r="3574" spans="2:2">
      <c r="B3574"/>
    </row>
    <row r="3575" spans="2:2">
      <c r="B3575"/>
    </row>
    <row r="3576" spans="2:2">
      <c r="B3576"/>
    </row>
    <row r="3577" spans="2:2">
      <c r="B3577"/>
    </row>
    <row r="3578" spans="2:2">
      <c r="B3578"/>
    </row>
    <row r="3579" spans="2:2">
      <c r="B3579"/>
    </row>
    <row r="3580" spans="2:2">
      <c r="B3580"/>
    </row>
    <row r="3581" spans="2:2">
      <c r="B3581"/>
    </row>
    <row r="3582" spans="2:2">
      <c r="B3582"/>
    </row>
    <row r="3583" spans="2:2">
      <c r="B3583"/>
    </row>
    <row r="3584" spans="2:2">
      <c r="B3584"/>
    </row>
    <row r="3585" spans="2:2">
      <c r="B3585"/>
    </row>
    <row r="3586" spans="2:2">
      <c r="B3586"/>
    </row>
    <row r="3587" spans="2:2">
      <c r="B3587"/>
    </row>
    <row r="3588" spans="2:2">
      <c r="B3588"/>
    </row>
    <row r="3589" spans="2:2">
      <c r="B3589"/>
    </row>
    <row r="3590" spans="2:2">
      <c r="B3590"/>
    </row>
    <row r="3591" spans="2:2">
      <c r="B3591"/>
    </row>
    <row r="3592" spans="2:2">
      <c r="B3592"/>
    </row>
    <row r="3593" spans="2:2">
      <c r="B3593"/>
    </row>
    <row r="3594" spans="2:2">
      <c r="B3594"/>
    </row>
    <row r="3595" spans="2:2">
      <c r="B3595"/>
    </row>
    <row r="3596" spans="2:2">
      <c r="B3596"/>
    </row>
    <row r="3597" spans="2:2">
      <c r="B3597"/>
    </row>
    <row r="3598" spans="2:2">
      <c r="B3598"/>
    </row>
    <row r="3599" spans="2:2">
      <c r="B3599"/>
    </row>
    <row r="3600" spans="2:2">
      <c r="B3600"/>
    </row>
    <row r="3601" spans="2:2">
      <c r="B3601"/>
    </row>
    <row r="3602" spans="2:2">
      <c r="B3602"/>
    </row>
    <row r="3603" spans="2:2">
      <c r="B3603"/>
    </row>
    <row r="3604" spans="2:2">
      <c r="B3604"/>
    </row>
    <row r="3605" spans="2:2">
      <c r="B3605"/>
    </row>
    <row r="3606" spans="2:2">
      <c r="B3606"/>
    </row>
    <row r="3607" spans="2:2">
      <c r="B3607"/>
    </row>
    <row r="3608" spans="2:2">
      <c r="B3608"/>
    </row>
    <row r="3609" spans="2:2">
      <c r="B3609"/>
    </row>
    <row r="3610" spans="2:2">
      <c r="B3610"/>
    </row>
    <row r="3611" spans="2:2">
      <c r="B3611"/>
    </row>
    <row r="3612" spans="2:2">
      <c r="B3612"/>
    </row>
    <row r="3613" spans="2:2">
      <c r="B3613"/>
    </row>
    <row r="3614" spans="2:2">
      <c r="B3614"/>
    </row>
    <row r="3615" spans="2:2">
      <c r="B3615"/>
    </row>
    <row r="3616" spans="2:2">
      <c r="B3616"/>
    </row>
    <row r="3617" spans="2:2">
      <c r="B3617"/>
    </row>
    <row r="3618" spans="2:2">
      <c r="B3618"/>
    </row>
    <row r="3619" spans="2:2">
      <c r="B3619"/>
    </row>
    <row r="3620" spans="2:2">
      <c r="B3620"/>
    </row>
    <row r="3621" spans="2:2">
      <c r="B3621"/>
    </row>
    <row r="3622" spans="2:2">
      <c r="B3622"/>
    </row>
    <row r="3623" spans="2:2">
      <c r="B3623"/>
    </row>
    <row r="3624" spans="2:2">
      <c r="B3624"/>
    </row>
    <row r="3625" spans="2:2">
      <c r="B3625"/>
    </row>
    <row r="3626" spans="2:2">
      <c r="B3626"/>
    </row>
    <row r="3627" spans="2:2">
      <c r="B3627"/>
    </row>
    <row r="3628" spans="2:2">
      <c r="B3628"/>
    </row>
    <row r="3629" spans="2:2">
      <c r="B3629"/>
    </row>
    <row r="3630" spans="2:2">
      <c r="B3630"/>
    </row>
    <row r="3631" spans="2:2">
      <c r="B3631"/>
    </row>
    <row r="3632" spans="2:2">
      <c r="B3632"/>
    </row>
    <row r="3633" spans="2:2">
      <c r="B3633"/>
    </row>
    <row r="3634" spans="2:2">
      <c r="B3634"/>
    </row>
    <row r="3635" spans="2:2">
      <c r="B3635"/>
    </row>
    <row r="3636" spans="2:2">
      <c r="B3636"/>
    </row>
    <row r="3637" spans="2:2">
      <c r="B3637"/>
    </row>
    <row r="3638" spans="2:2">
      <c r="B3638"/>
    </row>
    <row r="3639" spans="2:2">
      <c r="B3639"/>
    </row>
    <row r="3640" spans="2:2">
      <c r="B3640"/>
    </row>
    <row r="3641" spans="2:2">
      <c r="B3641"/>
    </row>
    <row r="3642" spans="2:2">
      <c r="B3642"/>
    </row>
    <row r="3643" spans="2:2">
      <c r="B3643"/>
    </row>
    <row r="3644" spans="2:2">
      <c r="B3644"/>
    </row>
    <row r="3645" spans="2:2">
      <c r="B3645"/>
    </row>
    <row r="3646" spans="2:2">
      <c r="B3646"/>
    </row>
    <row r="3647" spans="2:2">
      <c r="B3647"/>
    </row>
    <row r="3648" spans="2:2">
      <c r="B3648"/>
    </row>
    <row r="3649" spans="2:2">
      <c r="B3649"/>
    </row>
    <row r="3650" spans="2:2">
      <c r="B3650"/>
    </row>
    <row r="3651" spans="2:2">
      <c r="B3651"/>
    </row>
    <row r="3652" spans="2:2">
      <c r="B3652"/>
    </row>
    <row r="3653" spans="2:2">
      <c r="B3653"/>
    </row>
    <row r="3654" spans="2:2">
      <c r="B3654"/>
    </row>
    <row r="3655" spans="2:2">
      <c r="B3655"/>
    </row>
    <row r="3656" spans="2:2">
      <c r="B3656"/>
    </row>
    <row r="3657" spans="2:2">
      <c r="B3657"/>
    </row>
    <row r="3658" spans="2:2">
      <c r="B3658"/>
    </row>
    <row r="3659" spans="2:2">
      <c r="B3659"/>
    </row>
    <row r="3660" spans="2:2">
      <c r="B3660"/>
    </row>
    <row r="3661" spans="2:2">
      <c r="B3661"/>
    </row>
    <row r="3662" spans="2:2">
      <c r="B3662"/>
    </row>
    <row r="3663" spans="2:2">
      <c r="B3663"/>
    </row>
    <row r="3664" spans="2:2">
      <c r="B3664"/>
    </row>
    <row r="3665" spans="2:2">
      <c r="B3665"/>
    </row>
    <row r="3666" spans="2:2">
      <c r="B3666"/>
    </row>
    <row r="3667" spans="2:2">
      <c r="B3667"/>
    </row>
    <row r="3668" spans="2:2">
      <c r="B3668"/>
    </row>
    <row r="3669" spans="2:2">
      <c r="B3669"/>
    </row>
    <row r="3670" spans="2:2">
      <c r="B3670"/>
    </row>
    <row r="3671" spans="2:2">
      <c r="B3671"/>
    </row>
    <row r="3672" spans="2:2">
      <c r="B3672"/>
    </row>
    <row r="3673" spans="2:2">
      <c r="B3673"/>
    </row>
    <row r="3674" spans="2:2">
      <c r="B3674"/>
    </row>
    <row r="3675" spans="2:2">
      <c r="B3675"/>
    </row>
    <row r="3676" spans="2:2">
      <c r="B3676"/>
    </row>
    <row r="3677" spans="2:2">
      <c r="B3677"/>
    </row>
    <row r="3678" spans="2:2">
      <c r="B3678"/>
    </row>
    <row r="3679" spans="2:2">
      <c r="B3679"/>
    </row>
    <row r="3680" spans="2:2">
      <c r="B3680"/>
    </row>
    <row r="3681" spans="2:2">
      <c r="B3681"/>
    </row>
    <row r="3682" spans="2:2">
      <c r="B3682"/>
    </row>
    <row r="3683" spans="2:2">
      <c r="B3683"/>
    </row>
    <row r="3684" spans="2:2">
      <c r="B3684"/>
    </row>
    <row r="3685" spans="2:2">
      <c r="B3685"/>
    </row>
    <row r="3686" spans="2:2">
      <c r="B3686"/>
    </row>
    <row r="3687" spans="2:2">
      <c r="B3687"/>
    </row>
    <row r="3688" spans="2:2">
      <c r="B3688"/>
    </row>
    <row r="3689" spans="2:2">
      <c r="B3689"/>
    </row>
    <row r="3690" spans="2:2">
      <c r="B3690"/>
    </row>
    <row r="3691" spans="2:2">
      <c r="B3691"/>
    </row>
    <row r="3692" spans="2:2">
      <c r="B3692"/>
    </row>
    <row r="3693" spans="2:2">
      <c r="B3693"/>
    </row>
    <row r="3694" spans="2:2">
      <c r="B3694"/>
    </row>
    <row r="3695" spans="2:2">
      <c r="B3695"/>
    </row>
    <row r="3696" spans="2:2">
      <c r="B3696"/>
    </row>
    <row r="3697" spans="2:2">
      <c r="B3697"/>
    </row>
    <row r="3698" spans="2:2">
      <c r="B3698"/>
    </row>
    <row r="3699" spans="2:2">
      <c r="B3699"/>
    </row>
    <row r="3700" spans="2:2">
      <c r="B3700"/>
    </row>
    <row r="3701" spans="2:2">
      <c r="B3701"/>
    </row>
    <row r="3702" spans="2:2">
      <c r="B3702"/>
    </row>
    <row r="3703" spans="2:2">
      <c r="B3703"/>
    </row>
    <row r="3704" spans="2:2">
      <c r="B3704"/>
    </row>
    <row r="3705" spans="2:2">
      <c r="B3705"/>
    </row>
    <row r="3706" spans="2:2">
      <c r="B3706"/>
    </row>
    <row r="3707" spans="2:2">
      <c r="B3707"/>
    </row>
    <row r="3708" spans="2:2">
      <c r="B3708"/>
    </row>
    <row r="3709" spans="2:2">
      <c r="B3709"/>
    </row>
    <row r="3710" spans="2:2">
      <c r="B3710"/>
    </row>
    <row r="3711" spans="2:2">
      <c r="B3711"/>
    </row>
    <row r="3712" spans="2:2">
      <c r="B3712"/>
    </row>
    <row r="3713" spans="2:2">
      <c r="B3713"/>
    </row>
    <row r="3714" spans="2:2">
      <c r="B3714"/>
    </row>
    <row r="3715" spans="2:2">
      <c r="B3715"/>
    </row>
    <row r="3716" spans="2:2">
      <c r="B3716"/>
    </row>
    <row r="3717" spans="2:2">
      <c r="B3717"/>
    </row>
    <row r="3718" spans="2:2">
      <c r="B3718"/>
    </row>
    <row r="3719" spans="2:2">
      <c r="B3719"/>
    </row>
    <row r="3720" spans="2:2">
      <c r="B3720"/>
    </row>
    <row r="3721" spans="2:2">
      <c r="B3721"/>
    </row>
    <row r="3722" spans="2:2">
      <c r="B3722"/>
    </row>
    <row r="3723" spans="2:2">
      <c r="B3723"/>
    </row>
    <row r="3724" spans="2:2">
      <c r="B3724"/>
    </row>
    <row r="3725" spans="2:2">
      <c r="B3725"/>
    </row>
    <row r="3726" spans="2:2">
      <c r="B3726"/>
    </row>
    <row r="3727" spans="2:2">
      <c r="B3727"/>
    </row>
    <row r="3728" spans="2:2">
      <c r="B3728"/>
    </row>
    <row r="3729" spans="2:2">
      <c r="B3729"/>
    </row>
    <row r="3730" spans="2:2">
      <c r="B3730"/>
    </row>
    <row r="3731" spans="2:2">
      <c r="B3731"/>
    </row>
    <row r="3732" spans="2:2">
      <c r="B3732"/>
    </row>
    <row r="3733" spans="2:2">
      <c r="B3733"/>
    </row>
    <row r="3734" spans="2:2">
      <c r="B3734"/>
    </row>
    <row r="3735" spans="2:2">
      <c r="B3735"/>
    </row>
    <row r="3736" spans="2:2">
      <c r="B3736"/>
    </row>
    <row r="3737" spans="2:2">
      <c r="B3737"/>
    </row>
    <row r="3738" spans="2:2">
      <c r="B3738"/>
    </row>
    <row r="3739" spans="2:2">
      <c r="B3739"/>
    </row>
    <row r="3740" spans="2:2">
      <c r="B3740"/>
    </row>
    <row r="3741" spans="2:2">
      <c r="B3741"/>
    </row>
    <row r="3742" spans="2:2">
      <c r="B3742"/>
    </row>
    <row r="3743" spans="2:2">
      <c r="B3743"/>
    </row>
    <row r="3744" spans="2:2">
      <c r="B3744"/>
    </row>
    <row r="3745" spans="2:2">
      <c r="B3745"/>
    </row>
    <row r="3746" spans="2:2">
      <c r="B3746"/>
    </row>
    <row r="3747" spans="2:2">
      <c r="B3747"/>
    </row>
    <row r="3748" spans="2:2">
      <c r="B3748"/>
    </row>
    <row r="3749" spans="2:2">
      <c r="B3749"/>
    </row>
    <row r="3750" spans="2:2">
      <c r="B3750"/>
    </row>
    <row r="3751" spans="2:2">
      <c r="B3751"/>
    </row>
    <row r="3752" spans="2:2">
      <c r="B3752"/>
    </row>
    <row r="3753" spans="2:2">
      <c r="B3753"/>
    </row>
    <row r="3754" spans="2:2">
      <c r="B3754"/>
    </row>
    <row r="3755" spans="2:2">
      <c r="B3755"/>
    </row>
    <row r="3756" spans="2:2">
      <c r="B3756"/>
    </row>
    <row r="3757" spans="2:2">
      <c r="B3757"/>
    </row>
    <row r="3758" spans="2:2">
      <c r="B3758"/>
    </row>
    <row r="3759" spans="2:2">
      <c r="B3759"/>
    </row>
    <row r="3760" spans="2:2">
      <c r="B3760"/>
    </row>
    <row r="3761" spans="2:2">
      <c r="B3761"/>
    </row>
    <row r="3762" spans="2:2">
      <c r="B3762"/>
    </row>
    <row r="3763" spans="2:2">
      <c r="B3763"/>
    </row>
    <row r="3764" spans="2:2">
      <c r="B3764"/>
    </row>
    <row r="3765" spans="2:2">
      <c r="B3765"/>
    </row>
    <row r="3766" spans="2:2">
      <c r="B3766"/>
    </row>
    <row r="3767" spans="2:2">
      <c r="B3767"/>
    </row>
    <row r="3768" spans="2:2">
      <c r="B3768"/>
    </row>
    <row r="3769" spans="2:2">
      <c r="B3769"/>
    </row>
    <row r="3770" spans="2:2">
      <c r="B3770"/>
    </row>
    <row r="3771" spans="2:2">
      <c r="B3771"/>
    </row>
    <row r="3772" spans="2:2">
      <c r="B3772"/>
    </row>
    <row r="3773" spans="2:2">
      <c r="B3773"/>
    </row>
    <row r="3774" spans="2:2">
      <c r="B3774"/>
    </row>
    <row r="3775" spans="2:2">
      <c r="B3775"/>
    </row>
    <row r="3776" spans="2:2">
      <c r="B3776"/>
    </row>
    <row r="3777" spans="2:2">
      <c r="B3777"/>
    </row>
    <row r="3778" spans="2:2">
      <c r="B3778"/>
    </row>
    <row r="3779" spans="2:2">
      <c r="B3779"/>
    </row>
    <row r="3780" spans="2:2">
      <c r="B3780"/>
    </row>
    <row r="3781" spans="2:2">
      <c r="B3781"/>
    </row>
    <row r="3782" spans="2:2">
      <c r="B3782"/>
    </row>
    <row r="3783" spans="2:2">
      <c r="B3783"/>
    </row>
    <row r="3784" spans="2:2">
      <c r="B3784"/>
    </row>
    <row r="3785" spans="2:2">
      <c r="B3785"/>
    </row>
    <row r="3786" spans="2:2">
      <c r="B3786"/>
    </row>
    <row r="3787" spans="2:2">
      <c r="B3787"/>
    </row>
    <row r="3788" spans="2:2">
      <c r="B3788"/>
    </row>
    <row r="3789" spans="2:2">
      <c r="B3789"/>
    </row>
    <row r="3790" spans="2:2">
      <c r="B3790"/>
    </row>
    <row r="3791" spans="2:2">
      <c r="B3791"/>
    </row>
    <row r="3792" spans="2:2">
      <c r="B3792"/>
    </row>
    <row r="3793" spans="2:2">
      <c r="B3793"/>
    </row>
    <row r="3794" spans="2:2">
      <c r="B3794"/>
    </row>
    <row r="3795" spans="2:2">
      <c r="B3795"/>
    </row>
    <row r="3796" spans="2:2">
      <c r="B3796"/>
    </row>
    <row r="3797" spans="2:2">
      <c r="B3797"/>
    </row>
    <row r="3798" spans="2:2">
      <c r="B3798"/>
    </row>
    <row r="3799" spans="2:2">
      <c r="B3799"/>
    </row>
    <row r="3800" spans="2:2">
      <c r="B3800"/>
    </row>
    <row r="3801" spans="2:2">
      <c r="B3801"/>
    </row>
    <row r="3802" spans="2:2">
      <c r="B3802"/>
    </row>
    <row r="3803" spans="2:2">
      <c r="B3803"/>
    </row>
    <row r="3804" spans="2:2">
      <c r="B3804"/>
    </row>
    <row r="3805" spans="2:2">
      <c r="B3805"/>
    </row>
    <row r="3806" spans="2:2">
      <c r="B3806"/>
    </row>
    <row r="3807" spans="2:2">
      <c r="B3807"/>
    </row>
    <row r="3808" spans="2:2">
      <c r="B3808"/>
    </row>
    <row r="3809" spans="2:2">
      <c r="B3809"/>
    </row>
    <row r="3810" spans="2:2">
      <c r="B3810"/>
    </row>
    <row r="3811" spans="2:2">
      <c r="B3811"/>
    </row>
    <row r="3812" spans="2:2">
      <c r="B3812"/>
    </row>
    <row r="3813" spans="2:2">
      <c r="B3813"/>
    </row>
    <row r="3814" spans="2:2">
      <c r="B3814"/>
    </row>
    <row r="3815" spans="2:2">
      <c r="B3815"/>
    </row>
    <row r="3816" spans="2:2">
      <c r="B3816"/>
    </row>
    <row r="3817" spans="2:2">
      <c r="B3817"/>
    </row>
    <row r="3818" spans="2:2">
      <c r="B3818"/>
    </row>
    <row r="3819" spans="2:2">
      <c r="B3819"/>
    </row>
    <row r="3820" spans="2:2">
      <c r="B3820"/>
    </row>
    <row r="3821" spans="2:2">
      <c r="B3821"/>
    </row>
    <row r="3822" spans="2:2">
      <c r="B3822"/>
    </row>
    <row r="3823" spans="2:2">
      <c r="B3823"/>
    </row>
    <row r="3824" spans="2:2">
      <c r="B3824"/>
    </row>
    <row r="3825" spans="2:2">
      <c r="B3825"/>
    </row>
    <row r="3826" spans="2:2">
      <c r="B3826"/>
    </row>
    <row r="3827" spans="2:2">
      <c r="B3827"/>
    </row>
    <row r="3828" spans="2:2">
      <c r="B3828"/>
    </row>
    <row r="3829" spans="2:2">
      <c r="B3829"/>
    </row>
    <row r="3830" spans="2:2">
      <c r="B3830"/>
    </row>
    <row r="3831" spans="2:2">
      <c r="B3831"/>
    </row>
    <row r="3832" spans="2:2">
      <c r="B3832"/>
    </row>
    <row r="3833" spans="2:2">
      <c r="B3833"/>
    </row>
    <row r="3834" spans="2:2">
      <c r="B3834"/>
    </row>
    <row r="3835" spans="2:2">
      <c r="B3835"/>
    </row>
    <row r="3836" spans="2:2">
      <c r="B3836"/>
    </row>
    <row r="3837" spans="2:2">
      <c r="B3837"/>
    </row>
    <row r="3838" spans="2:2">
      <c r="B3838"/>
    </row>
    <row r="3839" spans="2:2">
      <c r="B3839"/>
    </row>
    <row r="3840" spans="2:2">
      <c r="B3840"/>
    </row>
    <row r="3841" spans="2:2">
      <c r="B3841"/>
    </row>
    <row r="3842" spans="2:2">
      <c r="B3842"/>
    </row>
    <row r="3843" spans="2:2">
      <c r="B3843"/>
    </row>
    <row r="3844" spans="2:2">
      <c r="B3844"/>
    </row>
    <row r="3845" spans="2:2">
      <c r="B3845"/>
    </row>
    <row r="3846" spans="2:2">
      <c r="B3846"/>
    </row>
    <row r="3847" spans="2:2">
      <c r="B3847"/>
    </row>
    <row r="3848" spans="2:2">
      <c r="B3848"/>
    </row>
    <row r="3849" spans="2:2">
      <c r="B3849"/>
    </row>
    <row r="3850" spans="2:2">
      <c r="B3850"/>
    </row>
    <row r="3851" spans="2:2">
      <c r="B3851"/>
    </row>
    <row r="3852" spans="2:2">
      <c r="B3852"/>
    </row>
    <row r="3853" spans="2:2">
      <c r="B3853"/>
    </row>
    <row r="3854" spans="2:2">
      <c r="B3854"/>
    </row>
    <row r="3855" spans="2:2">
      <c r="B3855"/>
    </row>
    <row r="3856" spans="2:2">
      <c r="B3856"/>
    </row>
    <row r="3857" spans="2:2">
      <c r="B3857"/>
    </row>
    <row r="3858" spans="2:2">
      <c r="B3858"/>
    </row>
    <row r="3859" spans="2:2">
      <c r="B3859"/>
    </row>
    <row r="3860" spans="2:2">
      <c r="B3860"/>
    </row>
    <row r="3861" spans="2:2">
      <c r="B3861"/>
    </row>
    <row r="3862" spans="2:2">
      <c r="B3862"/>
    </row>
    <row r="3863" spans="2:2">
      <c r="B3863"/>
    </row>
    <row r="3864" spans="2:2">
      <c r="B3864"/>
    </row>
    <row r="3865" spans="2:2">
      <c r="B3865"/>
    </row>
    <row r="3866" spans="2:2">
      <c r="B3866"/>
    </row>
    <row r="3867" spans="2:2">
      <c r="B3867"/>
    </row>
    <row r="3868" spans="2:2">
      <c r="B3868"/>
    </row>
    <row r="3869" spans="2:2">
      <c r="B3869"/>
    </row>
    <row r="3870" spans="2:2">
      <c r="B3870"/>
    </row>
    <row r="3871" spans="2:2">
      <c r="B3871"/>
    </row>
    <row r="3872" spans="2:2">
      <c r="B3872"/>
    </row>
    <row r="3873" spans="2:2">
      <c r="B3873"/>
    </row>
    <row r="3874" spans="2:2">
      <c r="B3874"/>
    </row>
    <row r="3875" spans="2:2">
      <c r="B3875"/>
    </row>
    <row r="3876" spans="2:2">
      <c r="B3876"/>
    </row>
    <row r="3877" spans="2:2">
      <c r="B3877"/>
    </row>
    <row r="3878" spans="2:2">
      <c r="B3878"/>
    </row>
    <row r="3879" spans="2:2">
      <c r="B3879"/>
    </row>
    <row r="3880" spans="2:2">
      <c r="B3880"/>
    </row>
    <row r="3881" spans="2:2">
      <c r="B3881"/>
    </row>
    <row r="3882" spans="2:2">
      <c r="B3882"/>
    </row>
    <row r="3883" spans="2:2">
      <c r="B3883"/>
    </row>
    <row r="3884" spans="2:2">
      <c r="B3884"/>
    </row>
    <row r="3885" spans="2:2">
      <c r="B3885"/>
    </row>
    <row r="3886" spans="2:2">
      <c r="B3886"/>
    </row>
    <row r="3887" spans="2:2">
      <c r="B3887"/>
    </row>
    <row r="3888" spans="2:2">
      <c r="B3888"/>
    </row>
    <row r="3889" spans="2:2">
      <c r="B3889"/>
    </row>
    <row r="3890" spans="2:2">
      <c r="B3890"/>
    </row>
    <row r="3891" spans="2:2">
      <c r="B3891"/>
    </row>
    <row r="3892" spans="2:2">
      <c r="B3892"/>
    </row>
    <row r="3893" spans="2:2">
      <c r="B3893"/>
    </row>
    <row r="3894" spans="2:2">
      <c r="B3894"/>
    </row>
    <row r="3895" spans="2:2">
      <c r="B3895"/>
    </row>
    <row r="3896" spans="2:2">
      <c r="B3896"/>
    </row>
    <row r="3897" spans="2:2">
      <c r="B3897"/>
    </row>
    <row r="3898" spans="2:2">
      <c r="B3898"/>
    </row>
    <row r="3899" spans="2:2">
      <c r="B3899"/>
    </row>
    <row r="3900" spans="2:2">
      <c r="B3900"/>
    </row>
    <row r="3901" spans="2:2">
      <c r="B3901"/>
    </row>
    <row r="3902" spans="2:2">
      <c r="B3902"/>
    </row>
    <row r="3903" spans="2:2">
      <c r="B3903"/>
    </row>
    <row r="3904" spans="2:2">
      <c r="B3904"/>
    </row>
    <row r="3905" spans="2:2">
      <c r="B3905"/>
    </row>
    <row r="3906" spans="2:2">
      <c r="B3906"/>
    </row>
    <row r="3907" spans="2:2">
      <c r="B3907"/>
    </row>
    <row r="3908" spans="2:2">
      <c r="B3908"/>
    </row>
    <row r="3909" spans="2:2">
      <c r="B3909"/>
    </row>
    <row r="3910" spans="2:2">
      <c r="B3910"/>
    </row>
    <row r="3911" spans="2:2">
      <c r="B3911"/>
    </row>
    <row r="3912" spans="2:2">
      <c r="B3912"/>
    </row>
    <row r="3913" spans="2:2">
      <c r="B3913"/>
    </row>
    <row r="3914" spans="2:2">
      <c r="B3914"/>
    </row>
    <row r="3915" spans="2:2">
      <c r="B3915"/>
    </row>
    <row r="3916" spans="2:2">
      <c r="B3916"/>
    </row>
    <row r="3917" spans="2:2">
      <c r="B3917"/>
    </row>
    <row r="3918" spans="2:2">
      <c r="B3918"/>
    </row>
    <row r="3919" spans="2:2">
      <c r="B3919"/>
    </row>
    <row r="3920" spans="2:2">
      <c r="B3920"/>
    </row>
    <row r="3921" spans="2:2">
      <c r="B3921"/>
    </row>
    <row r="3922" spans="2:2">
      <c r="B3922"/>
    </row>
    <row r="3923" spans="2:2">
      <c r="B3923"/>
    </row>
    <row r="3924" spans="2:2">
      <c r="B3924"/>
    </row>
    <row r="3925" spans="2:2">
      <c r="B3925"/>
    </row>
    <row r="3926" spans="2:2">
      <c r="B3926"/>
    </row>
    <row r="3927" spans="2:2">
      <c r="B3927"/>
    </row>
    <row r="3928" spans="2:2">
      <c r="B3928"/>
    </row>
    <row r="3929" spans="2:2">
      <c r="B3929"/>
    </row>
    <row r="3930" spans="2:2">
      <c r="B3930"/>
    </row>
    <row r="3931" spans="2:2">
      <c r="B3931"/>
    </row>
    <row r="3932" spans="2:2">
      <c r="B3932"/>
    </row>
    <row r="3933" spans="2:2">
      <c r="B3933"/>
    </row>
    <row r="3934" spans="2:2">
      <c r="B3934"/>
    </row>
    <row r="3935" spans="2:2">
      <c r="B3935"/>
    </row>
    <row r="3936" spans="2:2">
      <c r="B3936"/>
    </row>
    <row r="3937" spans="2:2">
      <c r="B3937"/>
    </row>
    <row r="3938" spans="2:2">
      <c r="B3938"/>
    </row>
    <row r="3939" spans="2:2">
      <c r="B3939"/>
    </row>
    <row r="3940" spans="2:2">
      <c r="B3940"/>
    </row>
    <row r="3941" spans="2:2">
      <c r="B3941"/>
    </row>
    <row r="3942" spans="2:2">
      <c r="B3942"/>
    </row>
    <row r="3943" spans="2:2">
      <c r="B3943"/>
    </row>
    <row r="3944" spans="2:2">
      <c r="B3944"/>
    </row>
    <row r="3945" spans="2:2">
      <c r="B3945"/>
    </row>
    <row r="3946" spans="2:2">
      <c r="B3946"/>
    </row>
    <row r="3947" spans="2:2">
      <c r="B3947"/>
    </row>
    <row r="3948" spans="2:2">
      <c r="B3948"/>
    </row>
    <row r="3949" spans="2:2">
      <c r="B3949"/>
    </row>
    <row r="3950" spans="2:2">
      <c r="B3950"/>
    </row>
    <row r="3951" spans="2:2">
      <c r="B3951"/>
    </row>
    <row r="3952" spans="2:2">
      <c r="B3952"/>
    </row>
    <row r="3953" spans="2:2">
      <c r="B3953"/>
    </row>
    <row r="3954" spans="2:2">
      <c r="B3954"/>
    </row>
    <row r="3955" spans="2:2">
      <c r="B3955"/>
    </row>
    <row r="3956" spans="2:2">
      <c r="B3956"/>
    </row>
    <row r="3957" spans="2:2">
      <c r="B3957"/>
    </row>
    <row r="3958" spans="2:2">
      <c r="B3958"/>
    </row>
    <row r="3959" spans="2:2">
      <c r="B3959"/>
    </row>
    <row r="3960" spans="2:2">
      <c r="B3960"/>
    </row>
    <row r="3961" spans="2:2">
      <c r="B3961"/>
    </row>
    <row r="3962" spans="2:2">
      <c r="B3962"/>
    </row>
    <row r="3963" spans="2:2">
      <c r="B3963"/>
    </row>
    <row r="3964" spans="2:2">
      <c r="B3964"/>
    </row>
    <row r="3965" spans="2:2">
      <c r="B3965"/>
    </row>
    <row r="3966" spans="2:2">
      <c r="B3966"/>
    </row>
    <row r="3967" spans="2:2">
      <c r="B3967"/>
    </row>
    <row r="3968" spans="2:2">
      <c r="B3968"/>
    </row>
    <row r="3969" spans="2:2">
      <c r="B3969"/>
    </row>
    <row r="3970" spans="2:2">
      <c r="B3970"/>
    </row>
    <row r="3971" spans="2:2">
      <c r="B3971"/>
    </row>
    <row r="3972" spans="2:2">
      <c r="B3972"/>
    </row>
    <row r="3973" spans="2:2">
      <c r="B3973"/>
    </row>
    <row r="3974" spans="2:2">
      <c r="B3974"/>
    </row>
    <row r="3975" spans="2:2">
      <c r="B3975"/>
    </row>
    <row r="3976" spans="2:2">
      <c r="B3976"/>
    </row>
    <row r="3977" spans="2:2">
      <c r="B3977"/>
    </row>
    <row r="3978" spans="2:2">
      <c r="B3978"/>
    </row>
    <row r="3979" spans="2:2">
      <c r="B3979"/>
    </row>
    <row r="3980" spans="2:2">
      <c r="B3980"/>
    </row>
    <row r="3981" spans="2:2">
      <c r="B3981"/>
    </row>
    <row r="3982" spans="2:2">
      <c r="B3982"/>
    </row>
    <row r="3983" spans="2:2">
      <c r="B3983"/>
    </row>
    <row r="3984" spans="2:2">
      <c r="B3984"/>
    </row>
    <row r="3985" spans="2:2">
      <c r="B3985"/>
    </row>
    <row r="3986" spans="2:2">
      <c r="B3986"/>
    </row>
    <row r="3987" spans="2:2">
      <c r="B3987"/>
    </row>
    <row r="3988" spans="2:2">
      <c r="B3988"/>
    </row>
    <row r="3989" spans="2:2">
      <c r="B3989"/>
    </row>
    <row r="3990" spans="2:2">
      <c r="B3990"/>
    </row>
    <row r="3991" spans="2:2">
      <c r="B3991"/>
    </row>
    <row r="3992" spans="2:2">
      <c r="B3992"/>
    </row>
    <row r="3993" spans="2:2">
      <c r="B3993"/>
    </row>
    <row r="3994" spans="2:2">
      <c r="B3994"/>
    </row>
    <row r="3995" spans="2:2">
      <c r="B3995"/>
    </row>
    <row r="3996" spans="2:2">
      <c r="B3996"/>
    </row>
    <row r="3997" spans="2:2">
      <c r="B3997"/>
    </row>
    <row r="3998" spans="2:2">
      <c r="B3998"/>
    </row>
    <row r="3999" spans="2:2">
      <c r="B3999"/>
    </row>
    <row r="4000" spans="2:2">
      <c r="B4000"/>
    </row>
    <row r="4001" spans="2:2">
      <c r="B4001"/>
    </row>
    <row r="4002" spans="2:2">
      <c r="B4002"/>
    </row>
    <row r="4003" spans="2:2">
      <c r="B4003"/>
    </row>
    <row r="4004" spans="2:2">
      <c r="B4004"/>
    </row>
    <row r="4005" spans="2:2">
      <c r="B4005"/>
    </row>
    <row r="4006" spans="2:2">
      <c r="B4006"/>
    </row>
    <row r="4007" spans="2:2">
      <c r="B4007"/>
    </row>
    <row r="4008" spans="2:2">
      <c r="B4008"/>
    </row>
    <row r="4009" spans="2:2">
      <c r="B4009"/>
    </row>
    <row r="4010" spans="2:2">
      <c r="B4010"/>
    </row>
    <row r="4011" spans="2:2">
      <c r="B4011"/>
    </row>
    <row r="4012" spans="2:2">
      <c r="B4012"/>
    </row>
    <row r="4013" spans="2:2">
      <c r="B4013"/>
    </row>
    <row r="4014" spans="2:2">
      <c r="B4014"/>
    </row>
    <row r="4015" spans="2:2">
      <c r="B4015"/>
    </row>
    <row r="4016" spans="2:2">
      <c r="B4016"/>
    </row>
    <row r="4017" spans="2:2">
      <c r="B4017"/>
    </row>
    <row r="4018" spans="2:2">
      <c r="B4018"/>
    </row>
    <row r="4019" spans="2:2">
      <c r="B4019"/>
    </row>
    <row r="4020" spans="2:2">
      <c r="B4020"/>
    </row>
    <row r="4021" spans="2:2">
      <c r="B4021"/>
    </row>
    <row r="4022" spans="2:2">
      <c r="B4022"/>
    </row>
    <row r="4023" spans="2:2">
      <c r="B4023"/>
    </row>
    <row r="4024" spans="2:2">
      <c r="B4024"/>
    </row>
    <row r="4025" spans="2:2">
      <c r="B4025"/>
    </row>
    <row r="4026" spans="2:2">
      <c r="B4026"/>
    </row>
    <row r="4027" spans="2:2">
      <c r="B4027"/>
    </row>
    <row r="4028" spans="2:2">
      <c r="B4028"/>
    </row>
    <row r="4029" spans="2:2">
      <c r="B4029"/>
    </row>
    <row r="4030" spans="2:2">
      <c r="B4030"/>
    </row>
    <row r="4031" spans="2:2">
      <c r="B4031"/>
    </row>
    <row r="4032" spans="2:2">
      <c r="B4032"/>
    </row>
    <row r="4033" spans="2:2">
      <c r="B4033"/>
    </row>
    <row r="4034" spans="2:2">
      <c r="B4034"/>
    </row>
    <row r="4035" spans="2:2">
      <c r="B4035"/>
    </row>
    <row r="4036" spans="2:2">
      <c r="B4036"/>
    </row>
    <row r="4037" spans="2:2">
      <c r="B4037"/>
    </row>
    <row r="4038" spans="2:2">
      <c r="B4038"/>
    </row>
    <row r="4039" spans="2:2">
      <c r="B4039"/>
    </row>
    <row r="4040" spans="2:2">
      <c r="B4040"/>
    </row>
    <row r="4041" spans="2:2">
      <c r="B4041"/>
    </row>
    <row r="4042" spans="2:2">
      <c r="B4042"/>
    </row>
    <row r="4043" spans="2:2">
      <c r="B4043"/>
    </row>
    <row r="4044" spans="2:2">
      <c r="B4044"/>
    </row>
    <row r="4045" spans="2:2">
      <c r="B4045"/>
    </row>
    <row r="4046" spans="2:2">
      <c r="B4046"/>
    </row>
    <row r="4047" spans="2:2">
      <c r="B4047"/>
    </row>
    <row r="4048" spans="2:2">
      <c r="B4048"/>
    </row>
    <row r="4049" spans="2:2">
      <c r="B4049"/>
    </row>
    <row r="4050" spans="2:2">
      <c r="B4050"/>
    </row>
    <row r="4051" spans="2:2">
      <c r="B4051"/>
    </row>
    <row r="4052" spans="2:2">
      <c r="B4052"/>
    </row>
    <row r="4053" spans="2:2">
      <c r="B4053"/>
    </row>
    <row r="4054" spans="2:2">
      <c r="B4054"/>
    </row>
    <row r="4055" spans="2:2">
      <c r="B4055"/>
    </row>
    <row r="4056" spans="2:2">
      <c r="B4056"/>
    </row>
    <row r="4057" spans="2:2">
      <c r="B4057"/>
    </row>
    <row r="4058" spans="2:2">
      <c r="B4058"/>
    </row>
    <row r="4059" spans="2:2">
      <c r="B4059"/>
    </row>
    <row r="4060" spans="2:2">
      <c r="B4060"/>
    </row>
    <row r="4061" spans="2:2">
      <c r="B4061"/>
    </row>
    <row r="4062" spans="2:2">
      <c r="B4062"/>
    </row>
    <row r="4063" spans="2:2">
      <c r="B4063"/>
    </row>
    <row r="4064" spans="2:2">
      <c r="B4064"/>
    </row>
    <row r="4065" spans="2:2">
      <c r="B4065"/>
    </row>
    <row r="4066" spans="2:2">
      <c r="B4066"/>
    </row>
    <row r="4067" spans="2:2">
      <c r="B4067"/>
    </row>
    <row r="4068" spans="2:2">
      <c r="B4068"/>
    </row>
    <row r="4069" spans="2:2">
      <c r="B4069"/>
    </row>
    <row r="4070" spans="2:2">
      <c r="B4070"/>
    </row>
    <row r="4071" spans="2:2">
      <c r="B4071"/>
    </row>
    <row r="4072" spans="2:2">
      <c r="B4072"/>
    </row>
    <row r="4073" spans="2:2">
      <c r="B4073"/>
    </row>
    <row r="4074" spans="2:2">
      <c r="B4074"/>
    </row>
    <row r="4075" spans="2:2">
      <c r="B4075"/>
    </row>
    <row r="4076" spans="2:2">
      <c r="B4076"/>
    </row>
    <row r="4077" spans="2:2">
      <c r="B4077"/>
    </row>
    <row r="4078" spans="2:2">
      <c r="B4078"/>
    </row>
    <row r="4079" spans="2:2">
      <c r="B4079"/>
    </row>
    <row r="4080" spans="2:2">
      <c r="B4080"/>
    </row>
    <row r="4081" spans="2:2">
      <c r="B4081"/>
    </row>
    <row r="4082" spans="2:2">
      <c r="B4082"/>
    </row>
    <row r="4083" spans="2:2">
      <c r="B4083"/>
    </row>
    <row r="4084" spans="2:2">
      <c r="B4084"/>
    </row>
    <row r="4085" spans="2:2">
      <c r="B4085"/>
    </row>
    <row r="4086" spans="2:2">
      <c r="B4086"/>
    </row>
    <row r="4087" spans="2:2">
      <c r="B4087"/>
    </row>
    <row r="4088" spans="2:2">
      <c r="B4088"/>
    </row>
    <row r="4089" spans="2:2">
      <c r="B4089"/>
    </row>
    <row r="4090" spans="2:2">
      <c r="B4090"/>
    </row>
    <row r="4091" spans="2:2">
      <c r="B4091"/>
    </row>
    <row r="4092" spans="2:2">
      <c r="B4092"/>
    </row>
    <row r="4093" spans="2:2">
      <c r="B4093"/>
    </row>
    <row r="4094" spans="2:2">
      <c r="B4094"/>
    </row>
    <row r="4095" spans="2:2">
      <c r="B4095"/>
    </row>
    <row r="4096" spans="2:2">
      <c r="B4096"/>
    </row>
    <row r="4097" spans="2:2">
      <c r="B4097"/>
    </row>
    <row r="4098" spans="2:2">
      <c r="B4098"/>
    </row>
    <row r="4099" spans="2:2">
      <c r="B4099"/>
    </row>
    <row r="4100" spans="2:2">
      <c r="B4100"/>
    </row>
    <row r="4101" spans="2:2">
      <c r="B4101"/>
    </row>
    <row r="4102" spans="2:2">
      <c r="B4102"/>
    </row>
    <row r="4103" spans="2:2">
      <c r="B4103"/>
    </row>
    <row r="4104" spans="2:2">
      <c r="B4104"/>
    </row>
    <row r="4105" spans="2:2">
      <c r="B4105"/>
    </row>
    <row r="4106" spans="2:2">
      <c r="B4106"/>
    </row>
    <row r="4107" spans="2:2">
      <c r="B4107"/>
    </row>
    <row r="4108" spans="2:2">
      <c r="B4108"/>
    </row>
    <row r="4109" spans="2:2">
      <c r="B4109"/>
    </row>
    <row r="4110" spans="2:2">
      <c r="B4110"/>
    </row>
    <row r="4111" spans="2:2">
      <c r="B4111"/>
    </row>
    <row r="4112" spans="2:2">
      <c r="B4112"/>
    </row>
    <row r="4113" spans="2:2">
      <c r="B4113"/>
    </row>
    <row r="4114" spans="2:2">
      <c r="B4114"/>
    </row>
    <row r="4115" spans="2:2">
      <c r="B4115"/>
    </row>
    <row r="4116" spans="2:2">
      <c r="B4116"/>
    </row>
    <row r="4117" spans="2:2">
      <c r="B4117"/>
    </row>
    <row r="4118" spans="2:2">
      <c r="B4118"/>
    </row>
    <row r="4119" spans="2:2">
      <c r="B4119"/>
    </row>
    <row r="4120" spans="2:2">
      <c r="B4120"/>
    </row>
    <row r="4121" spans="2:2">
      <c r="B4121"/>
    </row>
    <row r="4122" spans="2:2">
      <c r="B4122"/>
    </row>
    <row r="4123" spans="2:2">
      <c r="B4123"/>
    </row>
    <row r="4124" spans="2:2">
      <c r="B4124"/>
    </row>
    <row r="4125" spans="2:2">
      <c r="B4125"/>
    </row>
    <row r="4126" spans="2:2">
      <c r="B4126"/>
    </row>
    <row r="4127" spans="2:2">
      <c r="B4127"/>
    </row>
    <row r="4128" spans="2:2">
      <c r="B4128"/>
    </row>
    <row r="4129" spans="2:2">
      <c r="B4129"/>
    </row>
    <row r="4130" spans="2:2">
      <c r="B4130"/>
    </row>
    <row r="4131" spans="2:2">
      <c r="B4131"/>
    </row>
    <row r="4132" spans="2:2">
      <c r="B4132"/>
    </row>
    <row r="4133" spans="2:2">
      <c r="B4133"/>
    </row>
    <row r="4134" spans="2:2">
      <c r="B4134"/>
    </row>
    <row r="4135" spans="2:2">
      <c r="B4135"/>
    </row>
    <row r="4136" spans="2:2">
      <c r="B4136"/>
    </row>
    <row r="4137" spans="2:2">
      <c r="B4137"/>
    </row>
    <row r="4138" spans="2:2">
      <c r="B4138"/>
    </row>
    <row r="4139" spans="2:2">
      <c r="B4139"/>
    </row>
    <row r="4140" spans="2:2">
      <c r="B4140"/>
    </row>
    <row r="4141" spans="2:2">
      <c r="B4141"/>
    </row>
    <row r="4142" spans="2:2">
      <c r="B4142"/>
    </row>
    <row r="4143" spans="2:2">
      <c r="B4143"/>
    </row>
    <row r="4144" spans="2:2">
      <c r="B4144"/>
    </row>
    <row r="4145" spans="2:2">
      <c r="B4145"/>
    </row>
    <row r="4146" spans="2:2">
      <c r="B4146"/>
    </row>
    <row r="4147" spans="2:2">
      <c r="B4147"/>
    </row>
    <row r="4148" spans="2:2">
      <c r="B4148"/>
    </row>
    <row r="4149" spans="2:2">
      <c r="B4149"/>
    </row>
    <row r="4150" spans="2:2">
      <c r="B4150"/>
    </row>
    <row r="4151" spans="2:2">
      <c r="B4151"/>
    </row>
    <row r="4152" spans="2:2">
      <c r="B4152"/>
    </row>
    <row r="4153" spans="2:2">
      <c r="B4153"/>
    </row>
    <row r="4154" spans="2:2">
      <c r="B4154"/>
    </row>
    <row r="4155" spans="2:2">
      <c r="B4155"/>
    </row>
    <row r="4156" spans="2:2">
      <c r="B4156"/>
    </row>
    <row r="4157" spans="2:2">
      <c r="B4157"/>
    </row>
    <row r="4158" spans="2:2">
      <c r="B4158"/>
    </row>
    <row r="4159" spans="2:2">
      <c r="B4159"/>
    </row>
    <row r="4160" spans="2:2">
      <c r="B4160"/>
    </row>
    <row r="4161" spans="2:2">
      <c r="B4161"/>
    </row>
    <row r="4162" spans="2:2">
      <c r="B4162"/>
    </row>
    <row r="4163" spans="2:2">
      <c r="B4163"/>
    </row>
    <row r="4164" spans="2:2">
      <c r="B4164"/>
    </row>
    <row r="4165" spans="2:2">
      <c r="B4165"/>
    </row>
    <row r="4166" spans="2:2">
      <c r="B4166"/>
    </row>
    <row r="4167" spans="2:2">
      <c r="B4167"/>
    </row>
    <row r="4168" spans="2:2">
      <c r="B4168"/>
    </row>
    <row r="4169" spans="2:2">
      <c r="B4169"/>
    </row>
    <row r="4170" spans="2:2">
      <c r="B4170"/>
    </row>
    <row r="4171" spans="2:2">
      <c r="B4171"/>
    </row>
    <row r="4172" spans="2:2">
      <c r="B4172"/>
    </row>
    <row r="4173" spans="2:2">
      <c r="B4173"/>
    </row>
    <row r="4174" spans="2:2">
      <c r="B4174"/>
    </row>
    <row r="4175" spans="2:2">
      <c r="B4175"/>
    </row>
    <row r="4176" spans="2:2">
      <c r="B4176"/>
    </row>
    <row r="4177" spans="2:2">
      <c r="B4177"/>
    </row>
    <row r="4178" spans="2:2">
      <c r="B4178"/>
    </row>
    <row r="4179" spans="2:2">
      <c r="B4179"/>
    </row>
    <row r="4180" spans="2:2">
      <c r="B4180"/>
    </row>
    <row r="4181" spans="2:2">
      <c r="B4181"/>
    </row>
    <row r="4182" spans="2:2">
      <c r="B4182"/>
    </row>
    <row r="4183" spans="2:2">
      <c r="B4183"/>
    </row>
    <row r="4184" spans="2:2">
      <c r="B4184"/>
    </row>
    <row r="4185" spans="2:2">
      <c r="B4185"/>
    </row>
    <row r="4186" spans="2:2">
      <c r="B4186"/>
    </row>
    <row r="4187" spans="2:2">
      <c r="B4187"/>
    </row>
    <row r="4188" spans="2:2">
      <c r="B4188"/>
    </row>
    <row r="4189" spans="2:2">
      <c r="B4189"/>
    </row>
    <row r="4190" spans="2:2">
      <c r="B4190"/>
    </row>
    <row r="4191" spans="2:2">
      <c r="B4191"/>
    </row>
    <row r="4192" spans="2:2">
      <c r="B4192"/>
    </row>
    <row r="4193" spans="2:2">
      <c r="B4193"/>
    </row>
    <row r="4194" spans="2:2">
      <c r="B4194"/>
    </row>
    <row r="4195" spans="2:2">
      <c r="B4195"/>
    </row>
    <row r="4196" spans="2:2">
      <c r="B4196"/>
    </row>
    <row r="4197" spans="2:2">
      <c r="B4197"/>
    </row>
    <row r="4198" spans="2:2">
      <c r="B4198"/>
    </row>
    <row r="4199" spans="2:2">
      <c r="B4199"/>
    </row>
    <row r="4200" spans="2:2">
      <c r="B4200"/>
    </row>
    <row r="4201" spans="2:2">
      <c r="B4201"/>
    </row>
    <row r="4202" spans="2:2">
      <c r="B4202"/>
    </row>
    <row r="4203" spans="2:2">
      <c r="B4203"/>
    </row>
    <row r="4204" spans="2:2">
      <c r="B4204"/>
    </row>
    <row r="4205" spans="2:2">
      <c r="B4205"/>
    </row>
    <row r="4206" spans="2:2">
      <c r="B4206"/>
    </row>
    <row r="4207" spans="2:2">
      <c r="B4207"/>
    </row>
    <row r="4208" spans="2:2">
      <c r="B4208"/>
    </row>
    <row r="4209" spans="2:2">
      <c r="B4209"/>
    </row>
    <row r="4210" spans="2:2">
      <c r="B4210"/>
    </row>
    <row r="4211" spans="2:2">
      <c r="B4211"/>
    </row>
    <row r="4212" spans="2:2">
      <c r="B4212"/>
    </row>
    <row r="4213" spans="2:2">
      <c r="B4213"/>
    </row>
    <row r="4214" spans="2:2">
      <c r="B4214"/>
    </row>
    <row r="4215" spans="2:2">
      <c r="B4215"/>
    </row>
    <row r="4216" spans="2:2">
      <c r="B4216"/>
    </row>
    <row r="4217" spans="2:2">
      <c r="B4217"/>
    </row>
    <row r="4218" spans="2:2">
      <c r="B4218"/>
    </row>
    <row r="4219" spans="2:2">
      <c r="B4219"/>
    </row>
    <row r="4220" spans="2:2">
      <c r="B4220"/>
    </row>
    <row r="4221" spans="2:2">
      <c r="B4221"/>
    </row>
    <row r="4222" spans="2:2">
      <c r="B4222"/>
    </row>
    <row r="4223" spans="2:2">
      <c r="B4223"/>
    </row>
    <row r="4224" spans="2:2">
      <c r="B4224"/>
    </row>
    <row r="4225" spans="2:2">
      <c r="B4225"/>
    </row>
    <row r="4226" spans="2:2">
      <c r="B4226"/>
    </row>
    <row r="4227" spans="2:2">
      <c r="B4227"/>
    </row>
    <row r="4228" spans="2:2">
      <c r="B4228"/>
    </row>
    <row r="4229" spans="2:2">
      <c r="B4229"/>
    </row>
    <row r="4230" spans="2:2">
      <c r="B4230"/>
    </row>
    <row r="4231" spans="2:2">
      <c r="B4231"/>
    </row>
    <row r="4232" spans="2:2">
      <c r="B4232"/>
    </row>
    <row r="4233" spans="2:2">
      <c r="B4233"/>
    </row>
    <row r="4234" spans="2:2">
      <c r="B4234"/>
    </row>
    <row r="4235" spans="2:2">
      <c r="B4235"/>
    </row>
    <row r="4236" spans="2:2">
      <c r="B4236"/>
    </row>
    <row r="4237" spans="2:2">
      <c r="B4237"/>
    </row>
    <row r="4238" spans="2:2">
      <c r="B4238"/>
    </row>
    <row r="4239" spans="2:2">
      <c r="B4239"/>
    </row>
    <row r="4240" spans="2:2">
      <c r="B4240"/>
    </row>
    <row r="4241" spans="2:2">
      <c r="B4241"/>
    </row>
    <row r="4242" spans="2:2">
      <c r="B4242"/>
    </row>
    <row r="4243" spans="2:2">
      <c r="B4243"/>
    </row>
    <row r="4244" spans="2:2">
      <c r="B4244"/>
    </row>
    <row r="4245" spans="2:2">
      <c r="B4245"/>
    </row>
    <row r="4246" spans="2:2">
      <c r="B4246"/>
    </row>
    <row r="4247" spans="2:2">
      <c r="B4247"/>
    </row>
    <row r="4248" spans="2:2">
      <c r="B4248"/>
    </row>
    <row r="4249" spans="2:2">
      <c r="B4249"/>
    </row>
    <row r="4250" spans="2:2">
      <c r="B4250"/>
    </row>
    <row r="4251" spans="2:2">
      <c r="B4251"/>
    </row>
    <row r="4252" spans="2:2">
      <c r="B4252"/>
    </row>
    <row r="4253" spans="2:2">
      <c r="B4253"/>
    </row>
    <row r="4254" spans="2:2">
      <c r="B4254"/>
    </row>
    <row r="4255" spans="2:2">
      <c r="B4255"/>
    </row>
    <row r="4256" spans="2:2">
      <c r="B4256"/>
    </row>
    <row r="4257" spans="2:2">
      <c r="B4257"/>
    </row>
    <row r="4258" spans="2:2">
      <c r="B4258"/>
    </row>
    <row r="4259" spans="2:2">
      <c r="B4259"/>
    </row>
    <row r="4260" spans="2:2">
      <c r="B4260"/>
    </row>
    <row r="4261" spans="2:2">
      <c r="B4261"/>
    </row>
    <row r="4262" spans="2:2">
      <c r="B4262"/>
    </row>
    <row r="4263" spans="2:2">
      <c r="B4263"/>
    </row>
    <row r="4264" spans="2:2">
      <c r="B4264"/>
    </row>
    <row r="4265" spans="2:2">
      <c r="B4265"/>
    </row>
    <row r="4266" spans="2:2">
      <c r="B4266"/>
    </row>
    <row r="4267" spans="2:2">
      <c r="B4267"/>
    </row>
    <row r="4268" spans="2:2">
      <c r="B4268"/>
    </row>
    <row r="4269" spans="2:2">
      <c r="B4269"/>
    </row>
    <row r="4270" spans="2:2">
      <c r="B4270"/>
    </row>
    <row r="4271" spans="2:2">
      <c r="B4271"/>
    </row>
    <row r="4272" spans="2:2">
      <c r="B4272"/>
    </row>
    <row r="4273" spans="2:2">
      <c r="B4273"/>
    </row>
    <row r="4274" spans="2:2">
      <c r="B4274"/>
    </row>
    <row r="4275" spans="2:2">
      <c r="B4275"/>
    </row>
    <row r="4276" spans="2:2">
      <c r="B4276"/>
    </row>
    <row r="4277" spans="2:2">
      <c r="B4277"/>
    </row>
    <row r="4278" spans="2:2">
      <c r="B4278"/>
    </row>
    <row r="4279" spans="2:2">
      <c r="B4279"/>
    </row>
    <row r="4280" spans="2:2">
      <c r="B4280"/>
    </row>
    <row r="4281" spans="2:2">
      <c r="B4281"/>
    </row>
    <row r="4282" spans="2:2">
      <c r="B4282"/>
    </row>
    <row r="4283" spans="2:2">
      <c r="B4283"/>
    </row>
    <row r="4284" spans="2:2">
      <c r="B4284"/>
    </row>
    <row r="4285" spans="2:2">
      <c r="B4285"/>
    </row>
    <row r="4286" spans="2:2">
      <c r="B4286"/>
    </row>
    <row r="4287" spans="2:2">
      <c r="B4287"/>
    </row>
    <row r="4288" spans="2:2">
      <c r="B4288"/>
    </row>
    <row r="4289" spans="2:2">
      <c r="B4289"/>
    </row>
    <row r="4290" spans="2:2">
      <c r="B4290"/>
    </row>
    <row r="4291" spans="2:2">
      <c r="B4291"/>
    </row>
    <row r="4292" spans="2:2">
      <c r="B4292"/>
    </row>
    <row r="4293" spans="2:2">
      <c r="B4293"/>
    </row>
    <row r="4294" spans="2:2">
      <c r="B4294"/>
    </row>
    <row r="4295" spans="2:2">
      <c r="B4295"/>
    </row>
    <row r="4296" spans="2:2">
      <c r="B4296"/>
    </row>
    <row r="4297" spans="2:2">
      <c r="B4297"/>
    </row>
    <row r="4298" spans="2:2">
      <c r="B4298"/>
    </row>
    <row r="4299" spans="2:2">
      <c r="B4299"/>
    </row>
    <row r="4300" spans="2:2">
      <c r="B4300"/>
    </row>
    <row r="4301" spans="2:2">
      <c r="B4301"/>
    </row>
    <row r="4302" spans="2:2">
      <c r="B4302"/>
    </row>
    <row r="4303" spans="2:2">
      <c r="B4303"/>
    </row>
    <row r="4304" spans="2:2">
      <c r="B4304"/>
    </row>
    <row r="4305" spans="2:2">
      <c r="B4305"/>
    </row>
    <row r="4306" spans="2:2">
      <c r="B4306"/>
    </row>
    <row r="4307" spans="2:2">
      <c r="B4307"/>
    </row>
    <row r="4308" spans="2:2">
      <c r="B4308"/>
    </row>
    <row r="4309" spans="2:2">
      <c r="B4309"/>
    </row>
    <row r="4310" spans="2:2">
      <c r="B4310"/>
    </row>
    <row r="4311" spans="2:2">
      <c r="B4311"/>
    </row>
    <row r="4312" spans="2:2">
      <c r="B4312"/>
    </row>
    <row r="4313" spans="2:2">
      <c r="B4313"/>
    </row>
    <row r="4314" spans="2:2">
      <c r="B4314"/>
    </row>
    <row r="4315" spans="2:2">
      <c r="B4315"/>
    </row>
    <row r="4316" spans="2:2">
      <c r="B4316"/>
    </row>
    <row r="4317" spans="2:2">
      <c r="B4317"/>
    </row>
    <row r="4318" spans="2:2">
      <c r="B4318"/>
    </row>
    <row r="4319" spans="2:2">
      <c r="B4319"/>
    </row>
    <row r="4320" spans="2:2">
      <c r="B4320"/>
    </row>
    <row r="4321" spans="2:2">
      <c r="B4321"/>
    </row>
    <row r="4322" spans="2:2">
      <c r="B4322"/>
    </row>
    <row r="4323" spans="2:2">
      <c r="B4323"/>
    </row>
    <row r="4324" spans="2:2">
      <c r="B4324"/>
    </row>
    <row r="4325" spans="2:2">
      <c r="B4325"/>
    </row>
    <row r="4326" spans="2:2">
      <c r="B4326"/>
    </row>
    <row r="4327" spans="2:2">
      <c r="B4327"/>
    </row>
    <row r="4328" spans="2:2">
      <c r="B4328"/>
    </row>
    <row r="4329" spans="2:2">
      <c r="B4329"/>
    </row>
    <row r="4330" spans="2:2">
      <c r="B4330"/>
    </row>
    <row r="4331" spans="2:2">
      <c r="B4331"/>
    </row>
    <row r="4332" spans="2:2">
      <c r="B4332"/>
    </row>
    <row r="4333" spans="2:2">
      <c r="B4333"/>
    </row>
    <row r="4334" spans="2:2">
      <c r="B4334"/>
    </row>
    <row r="4335" spans="2:2">
      <c r="B4335"/>
    </row>
    <row r="4336" spans="2:2">
      <c r="B4336"/>
    </row>
    <row r="4337" spans="2:2">
      <c r="B4337"/>
    </row>
    <row r="4338" spans="2:2">
      <c r="B4338"/>
    </row>
    <row r="4339" spans="2:2">
      <c r="B4339"/>
    </row>
    <row r="4340" spans="2:2">
      <c r="B4340"/>
    </row>
    <row r="4341" spans="2:2">
      <c r="B4341"/>
    </row>
    <row r="4342" spans="2:2">
      <c r="B4342"/>
    </row>
    <row r="4343" spans="2:2">
      <c r="B4343"/>
    </row>
    <row r="4344" spans="2:2">
      <c r="B4344"/>
    </row>
    <row r="4345" spans="2:2">
      <c r="B4345"/>
    </row>
    <row r="4346" spans="2:2">
      <c r="B4346"/>
    </row>
    <row r="4347" spans="2:2">
      <c r="B4347"/>
    </row>
    <row r="4348" spans="2:2">
      <c r="B4348"/>
    </row>
    <row r="4349" spans="2:2">
      <c r="B4349"/>
    </row>
    <row r="4350" spans="2:2">
      <c r="B4350"/>
    </row>
    <row r="4351" spans="2:2">
      <c r="B4351"/>
    </row>
    <row r="4352" spans="2:2">
      <c r="B4352"/>
    </row>
    <row r="4353" spans="2:2">
      <c r="B4353"/>
    </row>
    <row r="4354" spans="2:2">
      <c r="B4354"/>
    </row>
    <row r="4355" spans="2:2">
      <c r="B4355"/>
    </row>
    <row r="4356" spans="2:2">
      <c r="B4356"/>
    </row>
    <row r="4357" spans="2:2">
      <c r="B4357"/>
    </row>
    <row r="4358" spans="2:2">
      <c r="B4358"/>
    </row>
    <row r="4359" spans="2:2">
      <c r="B4359"/>
    </row>
    <row r="4360" spans="2:2">
      <c r="B4360"/>
    </row>
    <row r="4361" spans="2:2">
      <c r="B4361"/>
    </row>
    <row r="4362" spans="2:2">
      <c r="B4362"/>
    </row>
    <row r="4363" spans="2:2">
      <c r="B4363"/>
    </row>
    <row r="4364" spans="2:2">
      <c r="B4364"/>
    </row>
    <row r="4365" spans="2:2">
      <c r="B4365"/>
    </row>
    <row r="4366" spans="2:2">
      <c r="B4366"/>
    </row>
    <row r="4367" spans="2:2">
      <c r="B4367"/>
    </row>
    <row r="4368" spans="2:2">
      <c r="B4368"/>
    </row>
    <row r="4369" spans="2:2">
      <c r="B4369"/>
    </row>
    <row r="4370" spans="2:2">
      <c r="B4370"/>
    </row>
    <row r="4371" spans="2:2">
      <c r="B4371"/>
    </row>
    <row r="4372" spans="2:2">
      <c r="B4372"/>
    </row>
    <row r="4373" spans="2:2">
      <c r="B4373"/>
    </row>
    <row r="4374" spans="2:2">
      <c r="B4374"/>
    </row>
    <row r="4375" spans="2:2">
      <c r="B4375"/>
    </row>
    <row r="4376" spans="2:2">
      <c r="B4376"/>
    </row>
    <row r="4377" spans="2:2">
      <c r="B4377"/>
    </row>
    <row r="4378" spans="2:2">
      <c r="B4378"/>
    </row>
    <row r="4379" spans="2:2">
      <c r="B4379"/>
    </row>
    <row r="4380" spans="2:2">
      <c r="B4380"/>
    </row>
    <row r="4381" spans="2:2">
      <c r="B4381"/>
    </row>
    <row r="4382" spans="2:2">
      <c r="B4382"/>
    </row>
    <row r="4383" spans="2:2">
      <c r="B4383"/>
    </row>
    <row r="4384" spans="2:2">
      <c r="B4384"/>
    </row>
    <row r="4385" spans="2:2">
      <c r="B4385"/>
    </row>
    <row r="4386" spans="2:2">
      <c r="B4386"/>
    </row>
    <row r="4387" spans="2:2">
      <c r="B4387"/>
    </row>
    <row r="4388" spans="2:2">
      <c r="B4388"/>
    </row>
    <row r="4389" spans="2:2">
      <c r="B4389"/>
    </row>
    <row r="4390" spans="2:2">
      <c r="B4390"/>
    </row>
    <row r="4391" spans="2:2">
      <c r="B4391"/>
    </row>
    <row r="4392" spans="2:2">
      <c r="B4392"/>
    </row>
    <row r="4393" spans="2:2">
      <c r="B4393"/>
    </row>
    <row r="4394" spans="2:2">
      <c r="B4394"/>
    </row>
    <row r="4395" spans="2:2">
      <c r="B4395"/>
    </row>
    <row r="4396" spans="2:2">
      <c r="B4396"/>
    </row>
    <row r="4397" spans="2:2">
      <c r="B4397"/>
    </row>
    <row r="4398" spans="2:2">
      <c r="B4398"/>
    </row>
    <row r="4399" spans="2:2">
      <c r="B4399"/>
    </row>
    <row r="4400" spans="2:2">
      <c r="B4400"/>
    </row>
    <row r="4401" spans="2:2">
      <c r="B4401"/>
    </row>
    <row r="4402" spans="2:2">
      <c r="B4402"/>
    </row>
    <row r="4403" spans="2:2">
      <c r="B4403"/>
    </row>
    <row r="4404" spans="2:2">
      <c r="B4404"/>
    </row>
    <row r="4405" spans="2:2">
      <c r="B4405"/>
    </row>
    <row r="4406" spans="2:2">
      <c r="B4406"/>
    </row>
    <row r="4407" spans="2:2">
      <c r="B4407"/>
    </row>
    <row r="4408" spans="2:2">
      <c r="B4408"/>
    </row>
    <row r="4409" spans="2:2">
      <c r="B4409"/>
    </row>
    <row r="4410" spans="2:2">
      <c r="B4410"/>
    </row>
    <row r="4411" spans="2:2">
      <c r="B4411"/>
    </row>
    <row r="4412" spans="2:2">
      <c r="B4412"/>
    </row>
    <row r="4413" spans="2:2">
      <c r="B4413"/>
    </row>
    <row r="4414" spans="2:2">
      <c r="B4414"/>
    </row>
    <row r="4415" spans="2:2">
      <c r="B4415"/>
    </row>
    <row r="4416" spans="2:2">
      <c r="B4416"/>
    </row>
    <row r="4417" spans="2:2">
      <c r="B4417"/>
    </row>
    <row r="4418" spans="2:2">
      <c r="B4418"/>
    </row>
    <row r="4419" spans="2:2">
      <c r="B4419"/>
    </row>
    <row r="4420" spans="2:2">
      <c r="B4420"/>
    </row>
    <row r="4421" spans="2:2">
      <c r="B4421"/>
    </row>
    <row r="4422" spans="2:2">
      <c r="B4422"/>
    </row>
    <row r="4423" spans="2:2">
      <c r="B4423"/>
    </row>
    <row r="4424" spans="2:2">
      <c r="B4424"/>
    </row>
    <row r="4425" spans="2:2">
      <c r="B4425"/>
    </row>
    <row r="4426" spans="2:2">
      <c r="B4426"/>
    </row>
    <row r="4427" spans="2:2">
      <c r="B4427"/>
    </row>
    <row r="4428" spans="2:2">
      <c r="B4428"/>
    </row>
    <row r="4429" spans="2:2">
      <c r="B4429"/>
    </row>
    <row r="4430" spans="2:2">
      <c r="B4430"/>
    </row>
    <row r="4431" spans="2:2">
      <c r="B4431"/>
    </row>
    <row r="4432" spans="2:2">
      <c r="B4432"/>
    </row>
    <row r="4433" spans="2:2">
      <c r="B4433"/>
    </row>
    <row r="4434" spans="2:2">
      <c r="B4434"/>
    </row>
    <row r="4435" spans="2:2">
      <c r="B4435"/>
    </row>
    <row r="4436" spans="2:2">
      <c r="B4436"/>
    </row>
    <row r="4437" spans="2:2">
      <c r="B4437"/>
    </row>
    <row r="4438" spans="2:2">
      <c r="B4438"/>
    </row>
    <row r="4439" spans="2:2">
      <c r="B4439"/>
    </row>
    <row r="4440" spans="2:2">
      <c r="B4440"/>
    </row>
    <row r="4441" spans="2:2">
      <c r="B4441"/>
    </row>
    <row r="4442" spans="2:2">
      <c r="B4442"/>
    </row>
    <row r="4443" spans="2:2">
      <c r="B4443"/>
    </row>
    <row r="4444" spans="2:2">
      <c r="B4444"/>
    </row>
    <row r="4445" spans="2:2">
      <c r="B4445"/>
    </row>
    <row r="4446" spans="2:2">
      <c r="B4446"/>
    </row>
    <row r="4447" spans="2:2">
      <c r="B4447"/>
    </row>
    <row r="4448" spans="2:2">
      <c r="B4448"/>
    </row>
    <row r="4449" spans="2:2">
      <c r="B4449"/>
    </row>
    <row r="4450" spans="2:2">
      <c r="B4450"/>
    </row>
    <row r="4451" spans="2:2">
      <c r="B4451"/>
    </row>
    <row r="4452" spans="2:2">
      <c r="B4452"/>
    </row>
    <row r="4453" spans="2:2">
      <c r="B4453"/>
    </row>
    <row r="4454" spans="2:2">
      <c r="B4454"/>
    </row>
    <row r="4455" spans="2:2">
      <c r="B4455"/>
    </row>
    <row r="4456" spans="2:2">
      <c r="B4456"/>
    </row>
    <row r="4457" spans="2:2">
      <c r="B4457"/>
    </row>
    <row r="4458" spans="2:2">
      <c r="B4458"/>
    </row>
    <row r="4459" spans="2:2">
      <c r="B4459"/>
    </row>
    <row r="4460" spans="2:2">
      <c r="B4460"/>
    </row>
    <row r="4461" spans="2:2">
      <c r="B4461"/>
    </row>
    <row r="4462" spans="2:2">
      <c r="B4462"/>
    </row>
    <row r="4463" spans="2:2">
      <c r="B4463"/>
    </row>
    <row r="4464" spans="2:2">
      <c r="B4464"/>
    </row>
    <row r="4465" spans="2:2">
      <c r="B4465"/>
    </row>
    <row r="4466" spans="2:2">
      <c r="B4466"/>
    </row>
    <row r="4467" spans="2:2">
      <c r="B4467"/>
    </row>
    <row r="4468" spans="2:2">
      <c r="B4468"/>
    </row>
    <row r="4469" spans="2:2">
      <c r="B4469"/>
    </row>
    <row r="4470" spans="2:2">
      <c r="B4470"/>
    </row>
    <row r="4471" spans="2:2">
      <c r="B4471"/>
    </row>
    <row r="4472" spans="2:2">
      <c r="B4472"/>
    </row>
    <row r="4473" spans="2:2">
      <c r="B4473"/>
    </row>
    <row r="4474" spans="2:2">
      <c r="B4474"/>
    </row>
    <row r="4475" spans="2:2">
      <c r="B4475"/>
    </row>
    <row r="4476" spans="2:2">
      <c r="B4476"/>
    </row>
    <row r="4477" spans="2:2">
      <c r="B4477"/>
    </row>
    <row r="4478" spans="2:2">
      <c r="B4478"/>
    </row>
    <row r="4479" spans="2:2">
      <c r="B4479"/>
    </row>
    <row r="4480" spans="2:2">
      <c r="B4480"/>
    </row>
    <row r="4481" spans="2:2">
      <c r="B4481"/>
    </row>
    <row r="4482" spans="2:2">
      <c r="B4482"/>
    </row>
    <row r="4483" spans="2:2">
      <c r="B4483"/>
    </row>
    <row r="4484" spans="2:2">
      <c r="B4484"/>
    </row>
    <row r="4485" spans="2:2">
      <c r="B4485"/>
    </row>
    <row r="4486" spans="2:2">
      <c r="B4486"/>
    </row>
    <row r="4487" spans="2:2">
      <c r="B4487"/>
    </row>
    <row r="4488" spans="2:2">
      <c r="B4488"/>
    </row>
    <row r="4489" spans="2:2">
      <c r="B4489"/>
    </row>
    <row r="4490" spans="2:2">
      <c r="B4490"/>
    </row>
    <row r="4491" spans="2:2">
      <c r="B4491"/>
    </row>
    <row r="4492" spans="2:2">
      <c r="B4492"/>
    </row>
    <row r="4493" spans="2:2">
      <c r="B4493"/>
    </row>
    <row r="4494" spans="2:2">
      <c r="B4494"/>
    </row>
    <row r="4495" spans="2:2">
      <c r="B4495"/>
    </row>
    <row r="4496" spans="2:2">
      <c r="B4496"/>
    </row>
    <row r="4497" spans="2:2">
      <c r="B4497"/>
    </row>
    <row r="4498" spans="2:2">
      <c r="B4498"/>
    </row>
    <row r="4499" spans="2:2">
      <c r="B4499"/>
    </row>
    <row r="4500" spans="2:2">
      <c r="B4500"/>
    </row>
    <row r="4501" spans="2:2">
      <c r="B4501"/>
    </row>
    <row r="4502" spans="2:2">
      <c r="B4502"/>
    </row>
    <row r="4503" spans="2:2">
      <c r="B4503"/>
    </row>
    <row r="4504" spans="2:2">
      <c r="B4504"/>
    </row>
    <row r="4505" spans="2:2">
      <c r="B4505"/>
    </row>
    <row r="4506" spans="2:2">
      <c r="B4506"/>
    </row>
    <row r="4507" spans="2:2">
      <c r="B4507"/>
    </row>
    <row r="4508" spans="2:2">
      <c r="B4508"/>
    </row>
    <row r="4509" spans="2:2">
      <c r="B4509"/>
    </row>
    <row r="4510" spans="2:2">
      <c r="B4510"/>
    </row>
    <row r="4511" spans="2:2">
      <c r="B4511"/>
    </row>
    <row r="4512" spans="2:2">
      <c r="B4512"/>
    </row>
    <row r="4513" spans="2:2">
      <c r="B4513"/>
    </row>
    <row r="4514" spans="2:2">
      <c r="B4514"/>
    </row>
    <row r="4515" spans="2:2">
      <c r="B4515"/>
    </row>
    <row r="4516" spans="2:2">
      <c r="B4516"/>
    </row>
    <row r="4517" spans="2:2">
      <c r="B4517"/>
    </row>
    <row r="4518" spans="2:2">
      <c r="B4518"/>
    </row>
    <row r="4519" spans="2:2">
      <c r="B4519"/>
    </row>
    <row r="4520" spans="2:2">
      <c r="B4520"/>
    </row>
    <row r="4521" spans="2:2">
      <c r="B4521"/>
    </row>
    <row r="4522" spans="2:2">
      <c r="B4522"/>
    </row>
    <row r="4523" spans="2:2">
      <c r="B4523"/>
    </row>
    <row r="4524" spans="2:2">
      <c r="B4524"/>
    </row>
    <row r="4525" spans="2:2">
      <c r="B4525"/>
    </row>
    <row r="4526" spans="2:2">
      <c r="B4526"/>
    </row>
    <row r="4527" spans="2:2">
      <c r="B4527"/>
    </row>
    <row r="4528" spans="2:2">
      <c r="B4528"/>
    </row>
    <row r="4529" spans="2:2">
      <c r="B4529"/>
    </row>
    <row r="4530" spans="2:2">
      <c r="B4530"/>
    </row>
    <row r="4531" spans="2:2">
      <c r="B4531"/>
    </row>
    <row r="4532" spans="2:2">
      <c r="B4532"/>
    </row>
    <row r="4533" spans="2:2">
      <c r="B4533"/>
    </row>
    <row r="4534" spans="2:2">
      <c r="B4534"/>
    </row>
    <row r="4535" spans="2:2">
      <c r="B4535"/>
    </row>
    <row r="4536" spans="2:2">
      <c r="B4536"/>
    </row>
    <row r="4537" spans="2:2">
      <c r="B4537"/>
    </row>
    <row r="4538" spans="2:2">
      <c r="B4538"/>
    </row>
    <row r="4539" spans="2:2">
      <c r="B4539"/>
    </row>
    <row r="4540" spans="2:2">
      <c r="B4540"/>
    </row>
    <row r="4541" spans="2:2">
      <c r="B4541"/>
    </row>
    <row r="4542" spans="2:2">
      <c r="B4542"/>
    </row>
    <row r="4543" spans="2:2">
      <c r="B4543"/>
    </row>
    <row r="4544" spans="2:2">
      <c r="B4544"/>
    </row>
    <row r="4545" spans="2:2">
      <c r="B4545"/>
    </row>
    <row r="4546" spans="2:2">
      <c r="B4546"/>
    </row>
    <row r="4547" spans="2:2">
      <c r="B4547"/>
    </row>
    <row r="4548" spans="2:2">
      <c r="B4548"/>
    </row>
    <row r="4549" spans="2:2">
      <c r="B4549"/>
    </row>
    <row r="4550" spans="2:2">
      <c r="B4550"/>
    </row>
    <row r="4551" spans="2:2">
      <c r="B4551"/>
    </row>
    <row r="4552" spans="2:2">
      <c r="B4552"/>
    </row>
    <row r="4553" spans="2:2">
      <c r="B4553"/>
    </row>
    <row r="4554" spans="2:2">
      <c r="B4554"/>
    </row>
    <row r="4555" spans="2:2">
      <c r="B4555"/>
    </row>
    <row r="4556" spans="2:2">
      <c r="B4556"/>
    </row>
    <row r="4557" spans="2:2">
      <c r="B4557"/>
    </row>
    <row r="4558" spans="2:2">
      <c r="B4558"/>
    </row>
    <row r="4559" spans="2:2">
      <c r="B4559"/>
    </row>
    <row r="4560" spans="2:2">
      <c r="B4560"/>
    </row>
    <row r="4561" spans="2:2">
      <c r="B4561"/>
    </row>
    <row r="4562" spans="2:2">
      <c r="B4562"/>
    </row>
    <row r="4563" spans="2:2">
      <c r="B4563"/>
    </row>
    <row r="4564" spans="2:2">
      <c r="B4564"/>
    </row>
    <row r="4565" spans="2:2">
      <c r="B4565"/>
    </row>
    <row r="4566" spans="2:2">
      <c r="B4566"/>
    </row>
    <row r="4567" spans="2:2">
      <c r="B4567"/>
    </row>
    <row r="4568" spans="2:2">
      <c r="B4568"/>
    </row>
    <row r="4569" spans="2:2">
      <c r="B4569"/>
    </row>
    <row r="4570" spans="2:2">
      <c r="B4570"/>
    </row>
    <row r="4571" spans="2:2">
      <c r="B4571"/>
    </row>
    <row r="4572" spans="2:2">
      <c r="B4572"/>
    </row>
    <row r="4573" spans="2:2">
      <c r="B4573"/>
    </row>
    <row r="4574" spans="2:2">
      <c r="B4574"/>
    </row>
    <row r="4575" spans="2:2">
      <c r="B4575"/>
    </row>
    <row r="4576" spans="2:2">
      <c r="B4576"/>
    </row>
    <row r="4577" spans="2:2">
      <c r="B4577"/>
    </row>
    <row r="4578" spans="2:2">
      <c r="B4578"/>
    </row>
    <row r="4579" spans="2:2">
      <c r="B4579"/>
    </row>
    <row r="4580" spans="2:2">
      <c r="B4580"/>
    </row>
    <row r="4581" spans="2:2">
      <c r="B4581"/>
    </row>
    <row r="4582" spans="2:2">
      <c r="B4582"/>
    </row>
    <row r="4583" spans="2:2">
      <c r="B4583"/>
    </row>
    <row r="4584" spans="2:2">
      <c r="B4584"/>
    </row>
    <row r="4585" spans="2:2">
      <c r="B4585"/>
    </row>
    <row r="4586" spans="2:2">
      <c r="B4586"/>
    </row>
    <row r="4587" spans="2:2">
      <c r="B4587"/>
    </row>
    <row r="4588" spans="2:2">
      <c r="B4588"/>
    </row>
    <row r="4589" spans="2:2">
      <c r="B4589"/>
    </row>
    <row r="4590" spans="2:2">
      <c r="B4590"/>
    </row>
    <row r="4591" spans="2:2">
      <c r="B4591"/>
    </row>
    <row r="4592" spans="2:2">
      <c r="B4592"/>
    </row>
    <row r="4593" spans="2:2">
      <c r="B4593"/>
    </row>
    <row r="4594" spans="2:2">
      <c r="B4594"/>
    </row>
    <row r="4595" spans="2:2">
      <c r="B4595"/>
    </row>
    <row r="4596" spans="2:2">
      <c r="B4596"/>
    </row>
    <row r="4597" spans="2:2">
      <c r="B4597"/>
    </row>
    <row r="4598" spans="2:2">
      <c r="B4598"/>
    </row>
    <row r="4599" spans="2:2">
      <c r="B4599"/>
    </row>
    <row r="4600" spans="2:2">
      <c r="B4600"/>
    </row>
    <row r="4601" spans="2:2">
      <c r="B4601"/>
    </row>
    <row r="4602" spans="2:2">
      <c r="B4602"/>
    </row>
    <row r="4603" spans="2:2">
      <c r="B4603"/>
    </row>
    <row r="4604" spans="2:2">
      <c r="B4604"/>
    </row>
    <row r="4605" spans="2:2">
      <c r="B4605"/>
    </row>
    <row r="4606" spans="2:2">
      <c r="B4606"/>
    </row>
    <row r="4607" spans="2:2">
      <c r="B4607"/>
    </row>
    <row r="4608" spans="2:2">
      <c r="B4608"/>
    </row>
    <row r="4609" spans="2:2">
      <c r="B4609"/>
    </row>
    <row r="4610" spans="2:2">
      <c r="B4610"/>
    </row>
    <row r="4611" spans="2:2">
      <c r="B4611"/>
    </row>
    <row r="4612" spans="2:2">
      <c r="B4612"/>
    </row>
    <row r="4613" spans="2:2">
      <c r="B4613"/>
    </row>
    <row r="4614" spans="2:2">
      <c r="B4614"/>
    </row>
    <row r="4615" spans="2:2">
      <c r="B4615"/>
    </row>
    <row r="4616" spans="2:2">
      <c r="B4616"/>
    </row>
    <row r="4617" spans="2:2">
      <c r="B4617"/>
    </row>
    <row r="4618" spans="2:2">
      <c r="B4618"/>
    </row>
    <row r="4619" spans="2:2">
      <c r="B4619"/>
    </row>
    <row r="4620" spans="2:2">
      <c r="B4620"/>
    </row>
    <row r="4621" spans="2:2">
      <c r="B4621"/>
    </row>
    <row r="4622" spans="2:2">
      <c r="B4622"/>
    </row>
    <row r="4623" spans="2:2">
      <c r="B4623"/>
    </row>
    <row r="4624" spans="2:2">
      <c r="B4624"/>
    </row>
    <row r="4625" spans="2:2">
      <c r="B4625"/>
    </row>
    <row r="4626" spans="2:2">
      <c r="B4626"/>
    </row>
    <row r="4627" spans="2:2">
      <c r="B4627"/>
    </row>
    <row r="4628" spans="2:2">
      <c r="B4628"/>
    </row>
    <row r="4629" spans="2:2">
      <c r="B4629"/>
    </row>
    <row r="4630" spans="2:2">
      <c r="B4630"/>
    </row>
    <row r="4631" spans="2:2">
      <c r="B4631"/>
    </row>
    <row r="4632" spans="2:2">
      <c r="B4632"/>
    </row>
    <row r="4633" spans="2:2">
      <c r="B4633"/>
    </row>
    <row r="4634" spans="2:2">
      <c r="B4634"/>
    </row>
    <row r="4635" spans="2:2">
      <c r="B4635"/>
    </row>
    <row r="4636" spans="2:2">
      <c r="B4636"/>
    </row>
    <row r="4637" spans="2:2">
      <c r="B4637"/>
    </row>
    <row r="4638" spans="2:2">
      <c r="B4638"/>
    </row>
    <row r="4639" spans="2:2">
      <c r="B4639"/>
    </row>
    <row r="4640" spans="2:2">
      <c r="B4640"/>
    </row>
    <row r="4641" spans="2:2">
      <c r="B4641"/>
    </row>
    <row r="4642" spans="2:2">
      <c r="B4642"/>
    </row>
    <row r="4643" spans="2:2">
      <c r="B4643"/>
    </row>
    <row r="4644" spans="2:2">
      <c r="B4644"/>
    </row>
    <row r="4645" spans="2:2">
      <c r="B4645"/>
    </row>
    <row r="4646" spans="2:2">
      <c r="B4646"/>
    </row>
    <row r="4647" spans="2:2">
      <c r="B4647"/>
    </row>
    <row r="4648" spans="2:2">
      <c r="B4648"/>
    </row>
    <row r="4649" spans="2:2">
      <c r="B4649"/>
    </row>
    <row r="4650" spans="2:2">
      <c r="B4650"/>
    </row>
    <row r="4651" spans="2:2">
      <c r="B4651"/>
    </row>
    <row r="4652" spans="2:2">
      <c r="B4652"/>
    </row>
    <row r="4653" spans="2:2">
      <c r="B4653"/>
    </row>
    <row r="4654" spans="2:2">
      <c r="B4654"/>
    </row>
    <row r="4655" spans="2:2">
      <c r="B4655"/>
    </row>
    <row r="4656" spans="2:2">
      <c r="B4656"/>
    </row>
    <row r="4657" spans="2:2">
      <c r="B4657"/>
    </row>
    <row r="4658" spans="2:2">
      <c r="B4658"/>
    </row>
    <row r="4659" spans="2:2">
      <c r="B4659"/>
    </row>
    <row r="4660" spans="2:2">
      <c r="B4660"/>
    </row>
    <row r="4661" spans="2:2">
      <c r="B4661"/>
    </row>
    <row r="4662" spans="2:2">
      <c r="B4662"/>
    </row>
    <row r="4663" spans="2:2">
      <c r="B4663"/>
    </row>
    <row r="4664" spans="2:2">
      <c r="B4664"/>
    </row>
    <row r="4665" spans="2:2">
      <c r="B4665"/>
    </row>
    <row r="4666" spans="2:2">
      <c r="B4666"/>
    </row>
    <row r="4667" spans="2:2">
      <c r="B4667"/>
    </row>
    <row r="4668" spans="2:2">
      <c r="B4668"/>
    </row>
    <row r="4669" spans="2:2">
      <c r="B4669"/>
    </row>
    <row r="4670" spans="2:2">
      <c r="B4670"/>
    </row>
    <row r="4671" spans="2:2">
      <c r="B4671"/>
    </row>
    <row r="4672" spans="2:2">
      <c r="B4672"/>
    </row>
    <row r="4673" spans="2:2">
      <c r="B4673"/>
    </row>
    <row r="4674" spans="2:2">
      <c r="B4674"/>
    </row>
    <row r="4675" spans="2:2">
      <c r="B4675"/>
    </row>
    <row r="4676" spans="2:2">
      <c r="B4676"/>
    </row>
    <row r="4677" spans="2:2">
      <c r="B4677"/>
    </row>
    <row r="4678" spans="2:2">
      <c r="B4678"/>
    </row>
    <row r="4679" spans="2:2">
      <c r="B4679"/>
    </row>
    <row r="4680" spans="2:2">
      <c r="B4680"/>
    </row>
    <row r="4681" spans="2:2">
      <c r="B4681"/>
    </row>
    <row r="4682" spans="2:2">
      <c r="B4682"/>
    </row>
    <row r="4683" spans="2:2">
      <c r="B4683"/>
    </row>
    <row r="4684" spans="2:2">
      <c r="B4684"/>
    </row>
    <row r="4685" spans="2:2">
      <c r="B4685"/>
    </row>
    <row r="4686" spans="2:2">
      <c r="B4686"/>
    </row>
    <row r="4687" spans="2:2">
      <c r="B4687"/>
    </row>
    <row r="4688" spans="2:2">
      <c r="B4688"/>
    </row>
    <row r="4689" spans="2:2">
      <c r="B4689"/>
    </row>
    <row r="4690" spans="2:2">
      <c r="B4690"/>
    </row>
    <row r="4691" spans="2:2">
      <c r="B4691"/>
    </row>
    <row r="4692" spans="2:2">
      <c r="B4692"/>
    </row>
    <row r="4693" spans="2:2">
      <c r="B4693"/>
    </row>
    <row r="4694" spans="2:2">
      <c r="B4694"/>
    </row>
    <row r="4695" spans="2:2">
      <c r="B4695"/>
    </row>
    <row r="4696" spans="2:2">
      <c r="B4696"/>
    </row>
    <row r="4697" spans="2:2">
      <c r="B4697"/>
    </row>
    <row r="4698" spans="2:2">
      <c r="B4698"/>
    </row>
    <row r="4699" spans="2:2">
      <c r="B4699"/>
    </row>
    <row r="4700" spans="2:2">
      <c r="B4700"/>
    </row>
    <row r="4701" spans="2:2">
      <c r="B4701"/>
    </row>
    <row r="4702" spans="2:2">
      <c r="B4702"/>
    </row>
    <row r="4703" spans="2:2">
      <c r="B4703"/>
    </row>
    <row r="4704" spans="2:2">
      <c r="B4704"/>
    </row>
    <row r="4705" spans="2:2">
      <c r="B4705"/>
    </row>
    <row r="4706" spans="2:2">
      <c r="B4706"/>
    </row>
    <row r="4707" spans="2:2">
      <c r="B4707"/>
    </row>
    <row r="4708" spans="2:2">
      <c r="B4708"/>
    </row>
    <row r="4709" spans="2:2">
      <c r="B4709"/>
    </row>
    <row r="4710" spans="2:2">
      <c r="B4710"/>
    </row>
    <row r="4711" spans="2:2">
      <c r="B4711"/>
    </row>
    <row r="4712" spans="2:2">
      <c r="B4712"/>
    </row>
    <row r="4713" spans="2:2">
      <c r="B4713"/>
    </row>
    <row r="4714" spans="2:2">
      <c r="B4714"/>
    </row>
    <row r="4715" spans="2:2">
      <c r="B4715"/>
    </row>
    <row r="4716" spans="2:2">
      <c r="B4716"/>
    </row>
    <row r="4717" spans="2:2">
      <c r="B4717"/>
    </row>
    <row r="4718" spans="2:2">
      <c r="B4718"/>
    </row>
    <row r="4719" spans="2:2">
      <c r="B4719"/>
    </row>
    <row r="4720" spans="2:2">
      <c r="B4720"/>
    </row>
    <row r="4721" spans="2:2">
      <c r="B4721"/>
    </row>
    <row r="4722" spans="2:2">
      <c r="B4722"/>
    </row>
    <row r="4723" spans="2:2">
      <c r="B4723"/>
    </row>
    <row r="4724" spans="2:2">
      <c r="B4724"/>
    </row>
    <row r="4725" spans="2:2">
      <c r="B4725"/>
    </row>
    <row r="4726" spans="2:2">
      <c r="B4726"/>
    </row>
    <row r="4727" spans="2:2">
      <c r="B4727"/>
    </row>
    <row r="4728" spans="2:2">
      <c r="B4728"/>
    </row>
    <row r="4729" spans="2:2">
      <c r="B4729"/>
    </row>
    <row r="4730" spans="2:2">
      <c r="B4730"/>
    </row>
    <row r="4731" spans="2:2">
      <c r="B4731"/>
    </row>
    <row r="4732" spans="2:2">
      <c r="B4732"/>
    </row>
    <row r="4733" spans="2:2">
      <c r="B4733"/>
    </row>
    <row r="4734" spans="2:2">
      <c r="B4734"/>
    </row>
    <row r="4735" spans="2:2">
      <c r="B4735"/>
    </row>
    <row r="4736" spans="2:2">
      <c r="B4736"/>
    </row>
    <row r="4737" spans="2:2">
      <c r="B4737"/>
    </row>
    <row r="4738" spans="2:2">
      <c r="B4738"/>
    </row>
    <row r="4739" spans="2:2">
      <c r="B4739"/>
    </row>
    <row r="4740" spans="2:2">
      <c r="B4740"/>
    </row>
    <row r="4741" spans="2:2">
      <c r="B4741"/>
    </row>
    <row r="4742" spans="2:2">
      <c r="B4742"/>
    </row>
    <row r="4743" spans="2:2">
      <c r="B4743"/>
    </row>
    <row r="4744" spans="2:2">
      <c r="B4744"/>
    </row>
    <row r="4745" spans="2:2">
      <c r="B4745"/>
    </row>
    <row r="4746" spans="2:2">
      <c r="B4746"/>
    </row>
    <row r="4747" spans="2:2">
      <c r="B4747"/>
    </row>
    <row r="4748" spans="2:2">
      <c r="B4748"/>
    </row>
    <row r="4749" spans="2:2">
      <c r="B4749"/>
    </row>
    <row r="4750" spans="2:2">
      <c r="B4750"/>
    </row>
    <row r="4751" spans="2:2">
      <c r="B4751"/>
    </row>
    <row r="4752" spans="2:2">
      <c r="B4752"/>
    </row>
    <row r="4753" spans="2:2">
      <c r="B4753"/>
    </row>
    <row r="4754" spans="2:2">
      <c r="B4754"/>
    </row>
    <row r="4755" spans="2:2">
      <c r="B4755"/>
    </row>
    <row r="4756" spans="2:2">
      <c r="B4756"/>
    </row>
    <row r="4757" spans="2:2">
      <c r="B4757"/>
    </row>
    <row r="4758" spans="2:2">
      <c r="B4758"/>
    </row>
    <row r="4759" spans="2:2">
      <c r="B4759"/>
    </row>
    <row r="4760" spans="2:2">
      <c r="B4760"/>
    </row>
    <row r="4761" spans="2:2">
      <c r="B4761"/>
    </row>
    <row r="4762" spans="2:2">
      <c r="B4762"/>
    </row>
    <row r="4763" spans="2:2">
      <c r="B4763"/>
    </row>
    <row r="4764" spans="2:2">
      <c r="B4764"/>
    </row>
    <row r="4765" spans="2:2">
      <c r="B4765"/>
    </row>
    <row r="4766" spans="2:2">
      <c r="B4766"/>
    </row>
    <row r="4767" spans="2:2">
      <c r="B4767"/>
    </row>
    <row r="4768" spans="2:2">
      <c r="B4768"/>
    </row>
    <row r="4769" spans="2:2">
      <c r="B4769"/>
    </row>
    <row r="4770" spans="2:2">
      <c r="B4770"/>
    </row>
    <row r="4771" spans="2:2">
      <c r="B4771"/>
    </row>
    <row r="4772" spans="2:2">
      <c r="B4772"/>
    </row>
    <row r="4773" spans="2:2">
      <c r="B4773"/>
    </row>
    <row r="4774" spans="2:2">
      <c r="B4774"/>
    </row>
    <row r="4775" spans="2:2">
      <c r="B4775"/>
    </row>
    <row r="4776" spans="2:2">
      <c r="B4776"/>
    </row>
    <row r="4777" spans="2:2">
      <c r="B4777"/>
    </row>
    <row r="4778" spans="2:2">
      <c r="B4778"/>
    </row>
    <row r="4779" spans="2:2">
      <c r="B4779"/>
    </row>
    <row r="4780" spans="2:2">
      <c r="B4780"/>
    </row>
    <row r="4781" spans="2:2">
      <c r="B4781"/>
    </row>
    <row r="4782" spans="2:2">
      <c r="B4782"/>
    </row>
    <row r="4783" spans="2:2">
      <c r="B4783"/>
    </row>
    <row r="4784" spans="2:2">
      <c r="B4784"/>
    </row>
    <row r="4785" spans="2:2">
      <c r="B4785"/>
    </row>
    <row r="4786" spans="2:2">
      <c r="B4786"/>
    </row>
    <row r="4787" spans="2:2">
      <c r="B4787"/>
    </row>
    <row r="4788" spans="2:2">
      <c r="B4788"/>
    </row>
    <row r="4789" spans="2:2">
      <c r="B4789"/>
    </row>
    <row r="4790" spans="2:2">
      <c r="B4790"/>
    </row>
    <row r="4791" spans="2:2">
      <c r="B4791"/>
    </row>
    <row r="4792" spans="2:2">
      <c r="B4792"/>
    </row>
    <row r="4793" spans="2:2">
      <c r="B4793"/>
    </row>
    <row r="4794" spans="2:2">
      <c r="B4794"/>
    </row>
    <row r="4795" spans="2:2">
      <c r="B4795"/>
    </row>
    <row r="4796" spans="2:2">
      <c r="B4796"/>
    </row>
    <row r="4797" spans="2:2">
      <c r="B4797"/>
    </row>
    <row r="4798" spans="2:2">
      <c r="B4798"/>
    </row>
    <row r="4799" spans="2:2">
      <c r="B4799"/>
    </row>
    <row r="4800" spans="2:2">
      <c r="B4800"/>
    </row>
    <row r="4801" spans="2:2">
      <c r="B4801"/>
    </row>
    <row r="4802" spans="2:2">
      <c r="B4802"/>
    </row>
    <row r="4803" spans="2:2">
      <c r="B4803"/>
    </row>
    <row r="4804" spans="2:2">
      <c r="B4804"/>
    </row>
    <row r="4805" spans="2:2">
      <c r="B4805"/>
    </row>
    <row r="4806" spans="2:2">
      <c r="B4806"/>
    </row>
    <row r="4807" spans="2:2">
      <c r="B4807"/>
    </row>
    <row r="4808" spans="2:2">
      <c r="B4808"/>
    </row>
    <row r="4809" spans="2:2">
      <c r="B4809"/>
    </row>
    <row r="4810" spans="2:2">
      <c r="B4810"/>
    </row>
    <row r="4811" spans="2:2">
      <c r="B4811"/>
    </row>
    <row r="4812" spans="2:2">
      <c r="B4812"/>
    </row>
    <row r="4813" spans="2:2">
      <c r="B4813"/>
    </row>
    <row r="4814" spans="2:2">
      <c r="B4814"/>
    </row>
    <row r="4815" spans="2:2">
      <c r="B4815"/>
    </row>
    <row r="4816" spans="2:2">
      <c r="B4816"/>
    </row>
    <row r="4817" spans="2:2">
      <c r="B4817"/>
    </row>
    <row r="4818" spans="2:2">
      <c r="B4818"/>
    </row>
    <row r="4819" spans="2:2">
      <c r="B4819"/>
    </row>
    <row r="4820" spans="2:2">
      <c r="B4820"/>
    </row>
    <row r="4821" spans="2:2">
      <c r="B4821"/>
    </row>
    <row r="4822" spans="2:2">
      <c r="B4822"/>
    </row>
    <row r="4823" spans="2:2">
      <c r="B4823"/>
    </row>
    <row r="4824" spans="2:2">
      <c r="B4824"/>
    </row>
    <row r="4825" spans="2:2">
      <c r="B4825"/>
    </row>
    <row r="4826" spans="2:2">
      <c r="B4826"/>
    </row>
    <row r="4827" spans="2:2">
      <c r="B4827"/>
    </row>
    <row r="4828" spans="2:2">
      <c r="B4828"/>
    </row>
    <row r="4829" spans="2:2">
      <c r="B4829"/>
    </row>
    <row r="4830" spans="2:2">
      <c r="B4830"/>
    </row>
    <row r="4831" spans="2:2">
      <c r="B4831"/>
    </row>
    <row r="4832" spans="2:2">
      <c r="B4832"/>
    </row>
    <row r="4833" spans="2:2">
      <c r="B4833"/>
    </row>
    <row r="4834" spans="2:2">
      <c r="B4834"/>
    </row>
    <row r="4835" spans="2:2">
      <c r="B4835"/>
    </row>
    <row r="4836" spans="2:2">
      <c r="B4836"/>
    </row>
    <row r="4837" spans="2:2">
      <c r="B4837"/>
    </row>
    <row r="4838" spans="2:2">
      <c r="B4838"/>
    </row>
    <row r="4839" spans="2:2">
      <c r="B4839"/>
    </row>
    <row r="4840" spans="2:2">
      <c r="B4840"/>
    </row>
    <row r="4841" spans="2:2">
      <c r="B4841"/>
    </row>
    <row r="4842" spans="2:2">
      <c r="B4842"/>
    </row>
    <row r="4843" spans="2:2">
      <c r="B4843"/>
    </row>
    <row r="4844" spans="2:2">
      <c r="B4844"/>
    </row>
    <row r="4845" spans="2:2">
      <c r="B4845"/>
    </row>
    <row r="4846" spans="2:2">
      <c r="B4846"/>
    </row>
    <row r="4847" spans="2:2">
      <c r="B4847"/>
    </row>
    <row r="4848" spans="2:2">
      <c r="B4848"/>
    </row>
    <row r="4849" spans="2:2">
      <c r="B4849"/>
    </row>
    <row r="4850" spans="2:2">
      <c r="B4850"/>
    </row>
    <row r="4851" spans="2:2">
      <c r="B4851"/>
    </row>
    <row r="4852" spans="2:2">
      <c r="B4852"/>
    </row>
    <row r="4853" spans="2:2">
      <c r="B4853"/>
    </row>
    <row r="4854" spans="2:2">
      <c r="B4854"/>
    </row>
    <row r="4855" spans="2:2">
      <c r="B4855"/>
    </row>
    <row r="4856" spans="2:2">
      <c r="B4856"/>
    </row>
    <row r="4857" spans="2:2">
      <c r="B4857"/>
    </row>
    <row r="4858" spans="2:2">
      <c r="B4858"/>
    </row>
    <row r="4859" spans="2:2">
      <c r="B4859"/>
    </row>
    <row r="4860" spans="2:2">
      <c r="B4860"/>
    </row>
    <row r="4861" spans="2:2">
      <c r="B4861"/>
    </row>
    <row r="4862" spans="2:2">
      <c r="B4862"/>
    </row>
    <row r="4863" spans="2:2">
      <c r="B4863"/>
    </row>
    <row r="4864" spans="2:2">
      <c r="B4864"/>
    </row>
    <row r="4865" spans="2:2">
      <c r="B4865"/>
    </row>
    <row r="4866" spans="2:2">
      <c r="B4866"/>
    </row>
    <row r="4867" spans="2:2">
      <c r="B4867"/>
    </row>
    <row r="4868" spans="2:2">
      <c r="B4868"/>
    </row>
    <row r="4869" spans="2:2">
      <c r="B4869"/>
    </row>
    <row r="4870" spans="2:2">
      <c r="B4870"/>
    </row>
    <row r="4871" spans="2:2">
      <c r="B4871"/>
    </row>
    <row r="4872" spans="2:2">
      <c r="B4872"/>
    </row>
    <row r="4873" spans="2:2">
      <c r="B4873"/>
    </row>
    <row r="4874" spans="2:2">
      <c r="B4874"/>
    </row>
    <row r="4875" spans="2:2">
      <c r="B4875"/>
    </row>
    <row r="4876" spans="2:2">
      <c r="B4876"/>
    </row>
    <row r="4877" spans="2:2">
      <c r="B4877"/>
    </row>
    <row r="4878" spans="2:2">
      <c r="B4878"/>
    </row>
    <row r="4879" spans="2:2">
      <c r="B4879"/>
    </row>
    <row r="4880" spans="2:2">
      <c r="B4880"/>
    </row>
    <row r="4881" spans="2:2">
      <c r="B4881"/>
    </row>
    <row r="4882" spans="2:2">
      <c r="B4882"/>
    </row>
    <row r="4883" spans="2:2">
      <c r="B4883"/>
    </row>
    <row r="4884" spans="2:2">
      <c r="B4884"/>
    </row>
    <row r="4885" spans="2:2">
      <c r="B4885"/>
    </row>
    <row r="4886" spans="2:2">
      <c r="B4886"/>
    </row>
    <row r="4887" spans="2:2">
      <c r="B4887"/>
    </row>
    <row r="4888" spans="2:2">
      <c r="B4888"/>
    </row>
    <row r="4889" spans="2:2">
      <c r="B4889"/>
    </row>
    <row r="4890" spans="2:2">
      <c r="B4890"/>
    </row>
    <row r="4891" spans="2:2">
      <c r="B4891"/>
    </row>
    <row r="4892" spans="2:2">
      <c r="B4892"/>
    </row>
    <row r="4893" spans="2:2">
      <c r="B4893"/>
    </row>
    <row r="4894" spans="2:2">
      <c r="B4894"/>
    </row>
    <row r="4895" spans="2:2">
      <c r="B4895"/>
    </row>
    <row r="4896" spans="2:2">
      <c r="B4896"/>
    </row>
    <row r="4897" spans="2:2">
      <c r="B4897"/>
    </row>
    <row r="4898" spans="2:2">
      <c r="B4898"/>
    </row>
    <row r="4899" spans="2:2">
      <c r="B4899"/>
    </row>
    <row r="4900" spans="2:2">
      <c r="B4900"/>
    </row>
    <row r="4901" spans="2:2">
      <c r="B4901"/>
    </row>
    <row r="4902" spans="2:2">
      <c r="B4902"/>
    </row>
    <row r="4903" spans="2:2">
      <c r="B4903"/>
    </row>
    <row r="4904" spans="2:2">
      <c r="B4904"/>
    </row>
    <row r="4905" spans="2:2">
      <c r="B4905"/>
    </row>
    <row r="4906" spans="2:2">
      <c r="B4906"/>
    </row>
    <row r="4907" spans="2:2">
      <c r="B4907"/>
    </row>
    <row r="4908" spans="2:2">
      <c r="B4908"/>
    </row>
    <row r="4909" spans="2:2">
      <c r="B4909"/>
    </row>
    <row r="4910" spans="2:2">
      <c r="B4910"/>
    </row>
    <row r="4911" spans="2:2">
      <c r="B4911"/>
    </row>
    <row r="4912" spans="2:2">
      <c r="B4912"/>
    </row>
    <row r="4913" spans="2:2">
      <c r="B4913"/>
    </row>
    <row r="4914" spans="2:2">
      <c r="B4914"/>
    </row>
    <row r="4915" spans="2:2">
      <c r="B4915"/>
    </row>
    <row r="4916" spans="2:2">
      <c r="B4916"/>
    </row>
    <row r="4917" spans="2:2">
      <c r="B4917"/>
    </row>
    <row r="4918" spans="2:2">
      <c r="B4918"/>
    </row>
    <row r="4919" spans="2:2">
      <c r="B4919"/>
    </row>
    <row r="4920" spans="2:2">
      <c r="B4920"/>
    </row>
    <row r="4921" spans="2:2">
      <c r="B4921"/>
    </row>
    <row r="4922" spans="2:2">
      <c r="B4922"/>
    </row>
    <row r="4923" spans="2:2">
      <c r="B4923"/>
    </row>
    <row r="4924" spans="2:2">
      <c r="B4924"/>
    </row>
    <row r="4925" spans="2:2">
      <c r="B4925"/>
    </row>
    <row r="4926" spans="2:2">
      <c r="B4926"/>
    </row>
    <row r="4927" spans="2:2">
      <c r="B4927"/>
    </row>
    <row r="4928" spans="2:2">
      <c r="B4928"/>
    </row>
    <row r="4929" spans="2:2">
      <c r="B4929"/>
    </row>
    <row r="4930" spans="2:2">
      <c r="B4930"/>
    </row>
    <row r="4931" spans="2:2">
      <c r="B4931"/>
    </row>
    <row r="4932" spans="2:2">
      <c r="B4932"/>
    </row>
    <row r="4933" spans="2:2">
      <c r="B4933"/>
    </row>
    <row r="4934" spans="2:2">
      <c r="B4934"/>
    </row>
    <row r="4935" spans="2:2">
      <c r="B4935"/>
    </row>
    <row r="4936" spans="2:2">
      <c r="B4936"/>
    </row>
    <row r="4937" spans="2:2">
      <c r="B4937"/>
    </row>
    <row r="4938" spans="2:2">
      <c r="B4938"/>
    </row>
    <row r="4939" spans="2:2">
      <c r="B4939"/>
    </row>
    <row r="4940" spans="2:2">
      <c r="B4940"/>
    </row>
    <row r="4941" spans="2:2">
      <c r="B4941"/>
    </row>
    <row r="4942" spans="2:2">
      <c r="B4942"/>
    </row>
    <row r="4943" spans="2:2">
      <c r="B4943"/>
    </row>
    <row r="4944" spans="2:2">
      <c r="B4944"/>
    </row>
    <row r="4945" spans="2:2">
      <c r="B4945"/>
    </row>
    <row r="4946" spans="2:2">
      <c r="B4946"/>
    </row>
    <row r="4947" spans="2:2">
      <c r="B4947"/>
    </row>
    <row r="4948" spans="2:2">
      <c r="B4948"/>
    </row>
    <row r="4949" spans="2:2">
      <c r="B4949"/>
    </row>
    <row r="4950" spans="2:2">
      <c r="B4950"/>
    </row>
    <row r="4951" spans="2:2">
      <c r="B4951"/>
    </row>
    <row r="4952" spans="2:2">
      <c r="B4952"/>
    </row>
    <row r="4953" spans="2:2">
      <c r="B4953"/>
    </row>
    <row r="4954" spans="2:2">
      <c r="B4954"/>
    </row>
    <row r="4955" spans="2:2">
      <c r="B4955"/>
    </row>
    <row r="4956" spans="2:2">
      <c r="B4956"/>
    </row>
    <row r="4957" spans="2:2">
      <c r="B4957"/>
    </row>
    <row r="4958" spans="2:2">
      <c r="B4958"/>
    </row>
    <row r="4959" spans="2:2">
      <c r="B4959"/>
    </row>
    <row r="4960" spans="2:2">
      <c r="B4960"/>
    </row>
    <row r="4961" spans="2:2">
      <c r="B4961"/>
    </row>
    <row r="4962" spans="2:2">
      <c r="B4962"/>
    </row>
    <row r="4963" spans="2:2">
      <c r="B4963"/>
    </row>
    <row r="4964" spans="2:2">
      <c r="B4964"/>
    </row>
    <row r="4965" spans="2:2">
      <c r="B4965"/>
    </row>
    <row r="4966" spans="2:2">
      <c r="B4966"/>
    </row>
    <row r="4967" spans="2:2">
      <c r="B4967"/>
    </row>
    <row r="4968" spans="2:2">
      <c r="B4968"/>
    </row>
    <row r="4969" spans="2:2">
      <c r="B4969"/>
    </row>
    <row r="4970" spans="2:2">
      <c r="B4970"/>
    </row>
    <row r="4971" spans="2:2">
      <c r="B4971"/>
    </row>
    <row r="4972" spans="2:2">
      <c r="B4972"/>
    </row>
    <row r="4973" spans="2:2">
      <c r="B4973"/>
    </row>
    <row r="4974" spans="2:2">
      <c r="B4974"/>
    </row>
    <row r="4975" spans="2:2">
      <c r="B4975"/>
    </row>
    <row r="4976" spans="2:2">
      <c r="B4976"/>
    </row>
    <row r="4977" spans="2:2">
      <c r="B4977"/>
    </row>
    <row r="4978" spans="2:2">
      <c r="B4978"/>
    </row>
    <row r="4979" spans="2:2">
      <c r="B4979"/>
    </row>
    <row r="4980" spans="2:2">
      <c r="B4980"/>
    </row>
    <row r="4981" spans="2:2">
      <c r="B4981"/>
    </row>
    <row r="4982" spans="2:2">
      <c r="B4982"/>
    </row>
    <row r="4983" spans="2:2">
      <c r="B4983"/>
    </row>
    <row r="4984" spans="2:2">
      <c r="B4984"/>
    </row>
    <row r="4985" spans="2:2">
      <c r="B4985"/>
    </row>
    <row r="4986" spans="2:2">
      <c r="B4986"/>
    </row>
    <row r="4987" spans="2:2">
      <c r="B4987"/>
    </row>
    <row r="4988" spans="2:2">
      <c r="B4988"/>
    </row>
    <row r="4989" spans="2:2">
      <c r="B4989"/>
    </row>
    <row r="4990" spans="2:2">
      <c r="B4990"/>
    </row>
    <row r="4991" spans="2:2">
      <c r="B4991"/>
    </row>
    <row r="4992" spans="2:2">
      <c r="B4992"/>
    </row>
    <row r="4993" spans="2:2">
      <c r="B4993"/>
    </row>
    <row r="4994" spans="2:2">
      <c r="B4994"/>
    </row>
    <row r="4995" spans="2:2">
      <c r="B4995"/>
    </row>
    <row r="4996" spans="2:2">
      <c r="B4996"/>
    </row>
    <row r="4997" spans="2:2">
      <c r="B4997"/>
    </row>
    <row r="4998" spans="2:2">
      <c r="B4998"/>
    </row>
    <row r="4999" spans="2:2">
      <c r="B4999"/>
    </row>
    <row r="5000" spans="2:2">
      <c r="B5000"/>
    </row>
    <row r="5001" spans="2:2">
      <c r="B5001"/>
    </row>
    <row r="5002" spans="2:2">
      <c r="B5002"/>
    </row>
    <row r="5003" spans="2:2">
      <c r="B5003"/>
    </row>
    <row r="5004" spans="2:2">
      <c r="B5004"/>
    </row>
    <row r="5005" spans="2:2">
      <c r="B5005"/>
    </row>
    <row r="5006" spans="2:2">
      <c r="B5006"/>
    </row>
    <row r="5007" spans="2:2">
      <c r="B5007"/>
    </row>
    <row r="5008" spans="2:2">
      <c r="B5008"/>
    </row>
    <row r="5009" spans="2:2">
      <c r="B5009"/>
    </row>
    <row r="5010" spans="2:2">
      <c r="B5010"/>
    </row>
    <row r="5011" spans="2:2">
      <c r="B5011"/>
    </row>
    <row r="5012" spans="2:2">
      <c r="B5012"/>
    </row>
    <row r="5013" spans="2:2">
      <c r="B5013"/>
    </row>
    <row r="5014" spans="2:2">
      <c r="B5014"/>
    </row>
    <row r="5015" spans="2:2">
      <c r="B5015"/>
    </row>
    <row r="5016" spans="2:2">
      <c r="B5016"/>
    </row>
    <row r="5017" spans="2:2">
      <c r="B5017"/>
    </row>
    <row r="5018" spans="2:2">
      <c r="B5018"/>
    </row>
    <row r="5019" spans="2:2">
      <c r="B5019"/>
    </row>
    <row r="5020" spans="2:2">
      <c r="B5020"/>
    </row>
    <row r="5021" spans="2:2">
      <c r="B5021"/>
    </row>
    <row r="5022" spans="2:2">
      <c r="B5022"/>
    </row>
    <row r="5023" spans="2:2">
      <c r="B5023"/>
    </row>
    <row r="5024" spans="2:2">
      <c r="B5024"/>
    </row>
    <row r="5025" spans="2:2">
      <c r="B5025"/>
    </row>
    <row r="5026" spans="2:2">
      <c r="B5026"/>
    </row>
    <row r="5027" spans="2:2">
      <c r="B5027"/>
    </row>
    <row r="5028" spans="2:2">
      <c r="B5028"/>
    </row>
    <row r="5029" spans="2:2">
      <c r="B5029"/>
    </row>
    <row r="5030" spans="2:2">
      <c r="B5030"/>
    </row>
    <row r="5031" spans="2:2">
      <c r="B5031"/>
    </row>
    <row r="5032" spans="2:2">
      <c r="B5032"/>
    </row>
    <row r="5033" spans="2:2">
      <c r="B5033"/>
    </row>
    <row r="5034" spans="2:2">
      <c r="B5034"/>
    </row>
    <row r="5035" spans="2:2">
      <c r="B5035"/>
    </row>
    <row r="5036" spans="2:2">
      <c r="B5036"/>
    </row>
    <row r="5037" spans="2:2">
      <c r="B5037"/>
    </row>
    <row r="5038" spans="2:2">
      <c r="B5038"/>
    </row>
    <row r="5039" spans="2:2">
      <c r="B5039"/>
    </row>
    <row r="5040" spans="2:2">
      <c r="B5040"/>
    </row>
  </sheetData>
  <phoneticPr fontId="3" type="noConversion"/>
  <pageMargins left="0.7" right="0.7" top="0.75" bottom="0.75" header="0.3" footer="0.3"/>
  <pageSetup paperSize="9"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2217"/>
  <sheetViews>
    <sheetView zoomScale="70" zoomScaleNormal="70" workbookViewId="0"/>
  </sheetViews>
  <sheetFormatPr defaultColWidth="9.125" defaultRowHeight="16.5"/>
  <cols>
    <col min="1" max="1" width="21.25" style="3" bestFit="1" customWidth="1"/>
    <col min="2" max="2" width="16" bestFit="1" customWidth="1"/>
    <col min="3" max="3" width="13.125" customWidth="1"/>
    <col min="4" max="4" width="20" customWidth="1"/>
    <col min="5" max="6" width="13.125" bestFit="1" customWidth="1"/>
    <col min="7" max="7" width="10.25" bestFit="1" customWidth="1"/>
    <col min="8" max="8" width="14.125" customWidth="1"/>
    <col min="9" max="11" width="13.125" bestFit="1" customWidth="1"/>
    <col min="12" max="12" width="11.75" bestFit="1" customWidth="1"/>
    <col min="13" max="13" width="8.875" bestFit="1" customWidth="1"/>
    <col min="14" max="14" width="16.875" customWidth="1"/>
    <col min="15" max="15" width="13.125" bestFit="1" customWidth="1"/>
    <col min="16" max="16" width="10.25" customWidth="1"/>
    <col min="18" max="18" width="13.125" bestFit="1" customWidth="1"/>
    <col min="19" max="19" width="10.25" customWidth="1"/>
    <col min="20" max="21" width="17.125" hidden="1" customWidth="1"/>
    <col min="22" max="22" width="18.875" customWidth="1"/>
    <col min="23" max="23" width="11.75" customWidth="1"/>
    <col min="24" max="26" width="13.125" customWidth="1"/>
    <col min="27" max="27" width="16.5" style="5" customWidth="1"/>
    <col min="28" max="28" width="15.125" bestFit="1" customWidth="1"/>
  </cols>
  <sheetData>
    <row r="1" spans="1:28" ht="18" customHeight="1">
      <c r="A1" s="4" t="s">
        <v>4374</v>
      </c>
      <c r="B1" s="1" t="s">
        <v>4060</v>
      </c>
      <c r="C1" s="1" t="s">
        <v>1570</v>
      </c>
      <c r="D1" s="1" t="s">
        <v>2375</v>
      </c>
      <c r="E1" s="1" t="s">
        <v>2710</v>
      </c>
      <c r="F1" s="1" t="s">
        <v>3429</v>
      </c>
      <c r="G1" s="1" t="s">
        <v>2874</v>
      </c>
      <c r="H1" s="1" t="s">
        <v>1282</v>
      </c>
      <c r="I1" s="1" t="s">
        <v>3656</v>
      </c>
      <c r="J1" s="1" t="s">
        <v>2112</v>
      </c>
      <c r="K1" s="1" t="s">
        <v>1607</v>
      </c>
      <c r="L1" s="1" t="s">
        <v>1151</v>
      </c>
      <c r="M1" s="1" t="s">
        <v>4372</v>
      </c>
      <c r="N1" s="1" t="s">
        <v>2921</v>
      </c>
      <c r="O1" s="1" t="s">
        <v>4376</v>
      </c>
      <c r="P1" s="1" t="s">
        <v>4377</v>
      </c>
      <c r="R1" s="1" t="s">
        <v>4383</v>
      </c>
      <c r="S1" s="1" t="s">
        <v>4384</v>
      </c>
      <c r="T1" s="1"/>
      <c r="U1" s="1"/>
      <c r="V1" s="1" t="s">
        <v>4385</v>
      </c>
      <c r="W1" s="1" t="s">
        <v>4389</v>
      </c>
      <c r="X1" s="1" t="s">
        <v>4386</v>
      </c>
      <c r="Y1" s="1" t="s">
        <v>4387</v>
      </c>
      <c r="Z1" s="1" t="s">
        <v>4390</v>
      </c>
      <c r="AA1" s="1" t="s">
        <v>4388</v>
      </c>
      <c r="AB1" s="1" t="s">
        <v>4391</v>
      </c>
    </row>
    <row r="2" spans="1:28">
      <c r="A2" s="4">
        <v>46249.938831018517</v>
      </c>
      <c r="B2" s="2" t="s">
        <v>2452</v>
      </c>
      <c r="C2" s="2" t="s">
        <v>1321</v>
      </c>
      <c r="D2" s="2" t="s">
        <v>1305</v>
      </c>
      <c r="E2" s="2">
        <v>192</v>
      </c>
      <c r="F2" s="2"/>
      <c r="G2" s="2">
        <v>192</v>
      </c>
      <c r="H2" s="2" t="s">
        <v>112</v>
      </c>
      <c r="I2" s="2" t="s">
        <v>695</v>
      </c>
      <c r="J2" s="2" t="s">
        <v>2537</v>
      </c>
      <c r="K2" s="2" t="s">
        <v>1855</v>
      </c>
      <c r="L2" s="2" t="s">
        <v>338</v>
      </c>
      <c r="M2" s="2" t="str">
        <f t="shared" ref="M2:M65" si="0">RIGHT(L2,2)</f>
        <v>11</v>
      </c>
      <c r="N2" s="2" t="s">
        <v>398</v>
      </c>
      <c r="O2" s="2" t="s">
        <v>4373</v>
      </c>
      <c r="P2" s="2" t="s">
        <v>4378</v>
      </c>
      <c r="R2" s="8">
        <v>46244</v>
      </c>
      <c r="S2" s="8" t="s">
        <v>4375</v>
      </c>
      <c r="T2" s="9">
        <v>46244.25</v>
      </c>
      <c r="U2" s="9">
        <v>46245.208333333336</v>
      </c>
      <c r="V2" s="6">
        <f>COUNTIFS(A:A,"&gt;="&amp;T2,A:A,"&lt;"&amp;U2)</f>
        <v>784</v>
      </c>
      <c r="W2" s="6">
        <f t="shared" ref="W2:W7" si="1">X2+Y2</f>
        <v>24</v>
      </c>
      <c r="X2" s="6">
        <v>12</v>
      </c>
      <c r="Y2" s="6">
        <v>12</v>
      </c>
      <c r="Z2" s="6">
        <v>9</v>
      </c>
      <c r="AA2" s="7">
        <f t="shared" ref="AA2:AA7" si="2">V2/W2/Z2</f>
        <v>3.6296296296296293</v>
      </c>
      <c r="AB2" s="10">
        <v>13</v>
      </c>
    </row>
    <row r="3" spans="1:28">
      <c r="A3" s="4">
        <v>46249.938807870371</v>
      </c>
      <c r="B3" s="2" t="s">
        <v>2901</v>
      </c>
      <c r="C3" s="2" t="s">
        <v>1321</v>
      </c>
      <c r="D3" s="2" t="s">
        <v>1305</v>
      </c>
      <c r="E3" s="2">
        <v>192</v>
      </c>
      <c r="F3" s="2"/>
      <c r="G3" s="2">
        <v>192</v>
      </c>
      <c r="H3" s="2" t="s">
        <v>112</v>
      </c>
      <c r="I3" s="2" t="s">
        <v>695</v>
      </c>
      <c r="J3" s="2" t="s">
        <v>2537</v>
      </c>
      <c r="K3" s="2" t="s">
        <v>1855</v>
      </c>
      <c r="L3" s="2" t="s">
        <v>338</v>
      </c>
      <c r="M3" s="2" t="str">
        <f t="shared" si="0"/>
        <v>11</v>
      </c>
      <c r="N3" s="2" t="s">
        <v>2875</v>
      </c>
      <c r="O3" s="2" t="s">
        <v>4373</v>
      </c>
      <c r="P3" s="2" t="s">
        <v>4378</v>
      </c>
      <c r="R3" s="8">
        <f>R2+1</f>
        <v>46245</v>
      </c>
      <c r="S3" s="8" t="s">
        <v>4382</v>
      </c>
      <c r="T3" s="9">
        <f t="shared" ref="T3:U7" si="3">T2+1</f>
        <v>46245.25</v>
      </c>
      <c r="U3" s="9">
        <f t="shared" si="3"/>
        <v>46246.208333333336</v>
      </c>
      <c r="V3" s="6">
        <f>COUNTIFS(A:A,"&gt;="&amp;T3,A:A,"&lt;"&amp;U3)</f>
        <v>88</v>
      </c>
      <c r="W3" s="6">
        <f t="shared" si="1"/>
        <v>27</v>
      </c>
      <c r="X3" s="6">
        <v>15</v>
      </c>
      <c r="Y3" s="6">
        <v>12</v>
      </c>
      <c r="Z3" s="6">
        <v>9</v>
      </c>
      <c r="AA3" s="7">
        <f t="shared" si="2"/>
        <v>0.36213991769547321</v>
      </c>
      <c r="AB3" s="10">
        <v>2</v>
      </c>
    </row>
    <row r="4" spans="1:28">
      <c r="A4" s="4">
        <v>46249.938599537039</v>
      </c>
      <c r="B4" s="2" t="s">
        <v>514</v>
      </c>
      <c r="C4" s="2" t="s">
        <v>1321</v>
      </c>
      <c r="D4" s="2" t="s">
        <v>1305</v>
      </c>
      <c r="E4" s="2">
        <v>192</v>
      </c>
      <c r="F4" s="2"/>
      <c r="G4" s="2">
        <v>192</v>
      </c>
      <c r="H4" s="2" t="s">
        <v>112</v>
      </c>
      <c r="I4" s="2" t="s">
        <v>695</v>
      </c>
      <c r="J4" s="2" t="s">
        <v>2537</v>
      </c>
      <c r="K4" s="2" t="s">
        <v>1855</v>
      </c>
      <c r="L4" s="2" t="s">
        <v>338</v>
      </c>
      <c r="M4" s="2" t="str">
        <f t="shared" si="0"/>
        <v>11</v>
      </c>
      <c r="N4" s="2" t="s">
        <v>886</v>
      </c>
      <c r="O4" s="2" t="s">
        <v>4373</v>
      </c>
      <c r="P4" s="2" t="s">
        <v>4378</v>
      </c>
      <c r="R4" s="8">
        <f>R3+1</f>
        <v>46246</v>
      </c>
      <c r="S4" s="8" t="s">
        <v>4381</v>
      </c>
      <c r="T4" s="9">
        <f t="shared" si="3"/>
        <v>46246.25</v>
      </c>
      <c r="U4" s="9">
        <f t="shared" si="3"/>
        <v>46247.208333333336</v>
      </c>
      <c r="V4" s="6">
        <f>COUNTIFS(A:A,"&gt;="&amp;T4,A:A,"&lt;"&amp;U4)</f>
        <v>484</v>
      </c>
      <c r="W4" s="6">
        <f t="shared" si="1"/>
        <v>24</v>
      </c>
      <c r="X4" s="6">
        <v>12</v>
      </c>
      <c r="Y4" s="6">
        <v>12</v>
      </c>
      <c r="Z4" s="6">
        <v>9</v>
      </c>
      <c r="AA4" s="7">
        <f t="shared" si="2"/>
        <v>2.2407407407407409</v>
      </c>
      <c r="AB4" s="10">
        <v>9</v>
      </c>
    </row>
    <row r="5" spans="1:28">
      <c r="A5" s="4">
        <v>46249.935648148145</v>
      </c>
      <c r="B5" s="2" t="s">
        <v>680</v>
      </c>
      <c r="C5" s="2" t="s">
        <v>1321</v>
      </c>
      <c r="D5" s="2" t="s">
        <v>1305</v>
      </c>
      <c r="E5" s="2">
        <v>192</v>
      </c>
      <c r="F5" s="2"/>
      <c r="G5" s="2">
        <v>192</v>
      </c>
      <c r="H5" s="2" t="s">
        <v>112</v>
      </c>
      <c r="I5" s="2" t="s">
        <v>695</v>
      </c>
      <c r="J5" s="2" t="s">
        <v>2537</v>
      </c>
      <c r="K5" s="2" t="s">
        <v>1855</v>
      </c>
      <c r="L5" s="2" t="s">
        <v>338</v>
      </c>
      <c r="M5" s="2" t="str">
        <f t="shared" si="0"/>
        <v>11</v>
      </c>
      <c r="N5" s="2" t="s">
        <v>3672</v>
      </c>
      <c r="O5" s="2" t="s">
        <v>4373</v>
      </c>
      <c r="P5" s="2" t="s">
        <v>4378</v>
      </c>
      <c r="R5" s="8">
        <f>R4+1</f>
        <v>46247</v>
      </c>
      <c r="S5" s="8" t="s">
        <v>4380</v>
      </c>
      <c r="T5" s="9">
        <f t="shared" si="3"/>
        <v>46247.25</v>
      </c>
      <c r="U5" s="9">
        <f t="shared" si="3"/>
        <v>46248.208333333336</v>
      </c>
      <c r="V5" s="6">
        <f>COUNTIFS(A:A,"&gt;="&amp;T5,A:A,"&lt;"&amp;U5)</f>
        <v>237</v>
      </c>
      <c r="W5" s="6">
        <f t="shared" si="1"/>
        <v>24</v>
      </c>
      <c r="X5" s="6">
        <v>12</v>
      </c>
      <c r="Y5" s="6">
        <v>12</v>
      </c>
      <c r="Z5" s="6">
        <v>9</v>
      </c>
      <c r="AA5" s="7">
        <f t="shared" si="2"/>
        <v>1.0972222222222223</v>
      </c>
      <c r="AB5" s="10">
        <v>6</v>
      </c>
    </row>
    <row r="6" spans="1:28">
      <c r="A6" s="4">
        <v>46249.935613425929</v>
      </c>
      <c r="B6" s="2" t="s">
        <v>3521</v>
      </c>
      <c r="C6" s="2" t="s">
        <v>1321</v>
      </c>
      <c r="D6" s="2" t="s">
        <v>1305</v>
      </c>
      <c r="E6" s="2">
        <v>192</v>
      </c>
      <c r="F6" s="2"/>
      <c r="G6" s="2">
        <v>192</v>
      </c>
      <c r="H6" s="2" t="s">
        <v>112</v>
      </c>
      <c r="I6" s="2" t="s">
        <v>695</v>
      </c>
      <c r="J6" s="2" t="s">
        <v>2537</v>
      </c>
      <c r="K6" s="2" t="s">
        <v>1855</v>
      </c>
      <c r="L6" s="2" t="s">
        <v>338</v>
      </c>
      <c r="M6" s="2" t="str">
        <f t="shared" si="0"/>
        <v>11</v>
      </c>
      <c r="N6" s="2" t="s">
        <v>3731</v>
      </c>
      <c r="O6" s="2" t="s">
        <v>4373</v>
      </c>
      <c r="P6" s="2" t="s">
        <v>4378</v>
      </c>
      <c r="R6" s="8">
        <f>R5+1</f>
        <v>46248</v>
      </c>
      <c r="S6" s="8" t="s">
        <v>4379</v>
      </c>
      <c r="T6" s="9">
        <f t="shared" si="3"/>
        <v>46248.25</v>
      </c>
      <c r="U6" s="9">
        <f t="shared" si="3"/>
        <v>46249.208333333336</v>
      </c>
      <c r="V6" s="6">
        <f>COUNTIFS(A:A,"&gt;="&amp;T6,A:A,"&lt;"&amp;U6)</f>
        <v>481</v>
      </c>
      <c r="W6" s="6">
        <f t="shared" si="1"/>
        <v>24</v>
      </c>
      <c r="X6" s="6">
        <v>12</v>
      </c>
      <c r="Y6" s="6">
        <v>12</v>
      </c>
      <c r="Z6" s="6">
        <v>9</v>
      </c>
      <c r="AA6" s="7">
        <f t="shared" si="2"/>
        <v>2.2268518518518521</v>
      </c>
      <c r="AB6" s="10">
        <v>11</v>
      </c>
    </row>
    <row r="7" spans="1:28">
      <c r="A7" s="4">
        <v>46249.933356481481</v>
      </c>
      <c r="B7" s="2" t="s">
        <v>220</v>
      </c>
      <c r="C7" s="2" t="s">
        <v>1321</v>
      </c>
      <c r="D7" s="2" t="s">
        <v>1305</v>
      </c>
      <c r="E7" s="2">
        <v>192</v>
      </c>
      <c r="F7" s="2"/>
      <c r="G7" s="2">
        <v>192</v>
      </c>
      <c r="H7" s="2" t="s">
        <v>112</v>
      </c>
      <c r="I7" s="2" t="s">
        <v>695</v>
      </c>
      <c r="J7" s="2" t="s">
        <v>2537</v>
      </c>
      <c r="K7" s="2" t="s">
        <v>1855</v>
      </c>
      <c r="L7" s="2" t="s">
        <v>338</v>
      </c>
      <c r="M7" s="2" t="str">
        <f t="shared" si="0"/>
        <v>11</v>
      </c>
      <c r="N7" s="2" t="s">
        <v>730</v>
      </c>
      <c r="O7" s="2" t="s">
        <v>4373</v>
      </c>
      <c r="P7" s="2" t="s">
        <v>4378</v>
      </c>
      <c r="R7" s="8">
        <f>R6+1</f>
        <v>46249</v>
      </c>
      <c r="S7" s="8" t="s">
        <v>4378</v>
      </c>
      <c r="T7" s="9">
        <f t="shared" si="3"/>
        <v>46249.25</v>
      </c>
      <c r="U7" s="9">
        <f t="shared" si="3"/>
        <v>46250.208333333336</v>
      </c>
      <c r="V7" s="6">
        <f>COUNTIFS(A:A,"&gt;="&amp;T7,A:A,"&lt;"&amp;U7)</f>
        <v>142</v>
      </c>
      <c r="W7" s="6">
        <f t="shared" si="1"/>
        <v>24</v>
      </c>
      <c r="X7" s="6">
        <v>12</v>
      </c>
      <c r="Y7" s="6">
        <v>12</v>
      </c>
      <c r="Z7" s="6">
        <v>9</v>
      </c>
      <c r="AA7" s="7">
        <f t="shared" si="2"/>
        <v>0.65740740740740744</v>
      </c>
      <c r="AB7" s="10">
        <v>4</v>
      </c>
    </row>
    <row r="8" spans="1:28">
      <c r="A8" s="4">
        <v>46249.932858796295</v>
      </c>
      <c r="B8" s="2" t="s">
        <v>394</v>
      </c>
      <c r="C8" s="2" t="s">
        <v>1321</v>
      </c>
      <c r="D8" s="2" t="s">
        <v>1305</v>
      </c>
      <c r="E8" s="2">
        <v>192</v>
      </c>
      <c r="F8" s="2"/>
      <c r="G8" s="2">
        <v>192</v>
      </c>
      <c r="H8" s="2" t="s">
        <v>112</v>
      </c>
      <c r="I8" s="2" t="s">
        <v>695</v>
      </c>
      <c r="J8" s="2" t="s">
        <v>2537</v>
      </c>
      <c r="K8" s="2" t="s">
        <v>1855</v>
      </c>
      <c r="L8" s="2" t="s">
        <v>338</v>
      </c>
      <c r="M8" s="2" t="str">
        <f t="shared" si="0"/>
        <v>11</v>
      </c>
      <c r="N8" s="2" t="s">
        <v>3665</v>
      </c>
      <c r="O8" s="2" t="s">
        <v>4373</v>
      </c>
      <c r="P8" s="2" t="s">
        <v>4378</v>
      </c>
    </row>
    <row r="9" spans="1:28">
      <c r="A9" s="4">
        <v>46249.850590277776</v>
      </c>
      <c r="B9" s="2" t="s">
        <v>2453</v>
      </c>
      <c r="C9" s="2" t="s">
        <v>1321</v>
      </c>
      <c r="D9" s="2" t="s">
        <v>1305</v>
      </c>
      <c r="E9" s="2">
        <v>48</v>
      </c>
      <c r="F9" s="2"/>
      <c r="G9" s="2">
        <v>48</v>
      </c>
      <c r="H9" s="2" t="s">
        <v>112</v>
      </c>
      <c r="I9" s="2" t="s">
        <v>695</v>
      </c>
      <c r="J9" s="2" t="s">
        <v>2537</v>
      </c>
      <c r="K9" s="2" t="s">
        <v>1855</v>
      </c>
      <c r="L9" s="2" t="s">
        <v>3386</v>
      </c>
      <c r="M9" s="2" t="str">
        <f t="shared" si="0"/>
        <v>13</v>
      </c>
      <c r="N9" s="2" t="s">
        <v>2970</v>
      </c>
      <c r="O9" s="2" t="s">
        <v>4373</v>
      </c>
      <c r="P9" s="2" t="s">
        <v>4378</v>
      </c>
      <c r="W9" s="19">
        <f>V2/W2</f>
        <v>32.666666666666664</v>
      </c>
      <c r="X9">
        <f>W9/9</f>
        <v>3.6296296296296293</v>
      </c>
    </row>
    <row r="10" spans="1:28">
      <c r="A10" s="4">
        <v>46249.85056712963</v>
      </c>
      <c r="B10" s="2" t="s">
        <v>1733</v>
      </c>
      <c r="C10" s="2" t="s">
        <v>1321</v>
      </c>
      <c r="D10" s="2" t="s">
        <v>1305</v>
      </c>
      <c r="E10" s="2">
        <v>192</v>
      </c>
      <c r="F10" s="2"/>
      <c r="G10" s="2">
        <v>192</v>
      </c>
      <c r="H10" s="2" t="s">
        <v>112</v>
      </c>
      <c r="I10" s="2" t="s">
        <v>695</v>
      </c>
      <c r="J10" s="2" t="s">
        <v>2537</v>
      </c>
      <c r="K10" s="2" t="s">
        <v>1855</v>
      </c>
      <c r="L10" s="2" t="s">
        <v>3386</v>
      </c>
      <c r="M10" s="2" t="str">
        <f t="shared" si="0"/>
        <v>13</v>
      </c>
      <c r="N10" s="2" t="s">
        <v>1447</v>
      </c>
      <c r="O10" s="2" t="s">
        <v>4373</v>
      </c>
      <c r="P10" s="2" t="s">
        <v>4378</v>
      </c>
    </row>
    <row r="11" spans="1:28">
      <c r="A11" s="4">
        <v>46249.849849537037</v>
      </c>
      <c r="B11" s="2" t="s">
        <v>1777</v>
      </c>
      <c r="C11" s="2" t="s">
        <v>1321</v>
      </c>
      <c r="D11" s="2" t="s">
        <v>1305</v>
      </c>
      <c r="E11" s="2">
        <v>192</v>
      </c>
      <c r="F11" s="2"/>
      <c r="G11" s="2">
        <v>192</v>
      </c>
      <c r="H11" s="2" t="s">
        <v>112</v>
      </c>
      <c r="I11" s="2" t="s">
        <v>695</v>
      </c>
      <c r="J11" s="2" t="s">
        <v>2537</v>
      </c>
      <c r="K11" s="2" t="s">
        <v>1855</v>
      </c>
      <c r="L11" s="2" t="s">
        <v>3386</v>
      </c>
      <c r="M11" s="2" t="str">
        <f t="shared" si="0"/>
        <v>13</v>
      </c>
      <c r="N11" s="2" t="s">
        <v>3749</v>
      </c>
      <c r="O11" s="2" t="s">
        <v>4373</v>
      </c>
      <c r="P11" s="2" t="s">
        <v>4378</v>
      </c>
    </row>
    <row r="12" spans="1:28">
      <c r="A12" s="4">
        <v>46249.849814814814</v>
      </c>
      <c r="B12" s="2" t="s">
        <v>3924</v>
      </c>
      <c r="C12" s="2" t="s">
        <v>1321</v>
      </c>
      <c r="D12" s="2" t="s">
        <v>1305</v>
      </c>
      <c r="E12" s="2">
        <v>192</v>
      </c>
      <c r="F12" s="2"/>
      <c r="G12" s="2">
        <v>192</v>
      </c>
      <c r="H12" s="2" t="s">
        <v>112</v>
      </c>
      <c r="I12" s="2" t="s">
        <v>695</v>
      </c>
      <c r="J12" s="2" t="s">
        <v>2537</v>
      </c>
      <c r="K12" s="2" t="s">
        <v>1855</v>
      </c>
      <c r="L12" s="2" t="s">
        <v>3386</v>
      </c>
      <c r="M12" s="2" t="str">
        <f t="shared" si="0"/>
        <v>13</v>
      </c>
      <c r="N12" s="2" t="s">
        <v>3667</v>
      </c>
      <c r="O12" s="2" t="s">
        <v>4373</v>
      </c>
      <c r="P12" s="2" t="s">
        <v>4378</v>
      </c>
    </row>
    <row r="13" spans="1:28">
      <c r="A13" s="4">
        <v>46249.84783564815</v>
      </c>
      <c r="B13" s="2" t="s">
        <v>4312</v>
      </c>
      <c r="C13" s="2" t="s">
        <v>1321</v>
      </c>
      <c r="D13" s="2" t="s">
        <v>1305</v>
      </c>
      <c r="E13" s="2">
        <v>192</v>
      </c>
      <c r="F13" s="2"/>
      <c r="G13" s="2">
        <v>192</v>
      </c>
      <c r="H13" s="2" t="s">
        <v>112</v>
      </c>
      <c r="I13" s="2" t="s">
        <v>695</v>
      </c>
      <c r="J13" s="2" t="s">
        <v>2537</v>
      </c>
      <c r="K13" s="2" t="s">
        <v>1855</v>
      </c>
      <c r="L13" s="2" t="s">
        <v>3386</v>
      </c>
      <c r="M13" s="2" t="str">
        <f t="shared" si="0"/>
        <v>13</v>
      </c>
      <c r="N13" s="2" t="s">
        <v>4166</v>
      </c>
      <c r="O13" s="2" t="s">
        <v>4373</v>
      </c>
      <c r="P13" s="2" t="s">
        <v>4378</v>
      </c>
    </row>
    <row r="14" spans="1:28">
      <c r="A14" s="4">
        <v>46249.847395833334</v>
      </c>
      <c r="B14" s="2" t="s">
        <v>4102</v>
      </c>
      <c r="C14" s="2" t="s">
        <v>1321</v>
      </c>
      <c r="D14" s="2" t="s">
        <v>1305</v>
      </c>
      <c r="E14" s="2">
        <v>192</v>
      </c>
      <c r="F14" s="2"/>
      <c r="G14" s="2">
        <v>192</v>
      </c>
      <c r="H14" s="2" t="s">
        <v>112</v>
      </c>
      <c r="I14" s="2" t="s">
        <v>695</v>
      </c>
      <c r="J14" s="2" t="s">
        <v>2537</v>
      </c>
      <c r="K14" s="2" t="s">
        <v>1855</v>
      </c>
      <c r="L14" s="2" t="s">
        <v>3386</v>
      </c>
      <c r="M14" s="2" t="str">
        <f t="shared" si="0"/>
        <v>13</v>
      </c>
      <c r="N14" s="2" t="s">
        <v>3435</v>
      </c>
      <c r="O14" s="2" t="s">
        <v>4373</v>
      </c>
      <c r="P14" s="2" t="s">
        <v>4378</v>
      </c>
      <c r="AA14"/>
      <c r="AB14" s="5"/>
    </row>
    <row r="15" spans="1:28">
      <c r="A15" s="4">
        <v>46249.845949074072</v>
      </c>
      <c r="B15" s="2" t="s">
        <v>3018</v>
      </c>
      <c r="C15" s="2" t="s">
        <v>1321</v>
      </c>
      <c r="D15" s="2" t="s">
        <v>1305</v>
      </c>
      <c r="E15" s="2">
        <v>192</v>
      </c>
      <c r="F15" s="2"/>
      <c r="G15" s="2">
        <v>192</v>
      </c>
      <c r="H15" s="2" t="s">
        <v>112</v>
      </c>
      <c r="I15" s="2" t="s">
        <v>695</v>
      </c>
      <c r="J15" s="2" t="s">
        <v>2537</v>
      </c>
      <c r="K15" s="2" t="s">
        <v>1855</v>
      </c>
      <c r="L15" s="2" t="s">
        <v>3386</v>
      </c>
      <c r="M15" s="2" t="str">
        <f t="shared" si="0"/>
        <v>13</v>
      </c>
      <c r="N15" s="2" t="s">
        <v>777</v>
      </c>
      <c r="O15" s="2" t="s">
        <v>4373</v>
      </c>
      <c r="P15" s="2" t="s">
        <v>4378</v>
      </c>
      <c r="AA15"/>
      <c r="AB15" s="5"/>
    </row>
    <row r="16" spans="1:28">
      <c r="A16" s="4">
        <v>46249.845706018517</v>
      </c>
      <c r="B16" s="2" t="s">
        <v>1266</v>
      </c>
      <c r="C16" s="2" t="s">
        <v>1321</v>
      </c>
      <c r="D16" s="2" t="s">
        <v>1305</v>
      </c>
      <c r="E16" s="2">
        <v>192</v>
      </c>
      <c r="F16" s="2"/>
      <c r="G16" s="2">
        <v>192</v>
      </c>
      <c r="H16" s="2" t="s">
        <v>112</v>
      </c>
      <c r="I16" s="2" t="s">
        <v>695</v>
      </c>
      <c r="J16" s="2" t="s">
        <v>2537</v>
      </c>
      <c r="K16" s="2" t="s">
        <v>1855</v>
      </c>
      <c r="L16" s="2" t="s">
        <v>3386</v>
      </c>
      <c r="M16" s="2" t="str">
        <f t="shared" si="0"/>
        <v>13</v>
      </c>
      <c r="N16" s="2" t="s">
        <v>1672</v>
      </c>
      <c r="O16" s="2" t="s">
        <v>4373</v>
      </c>
      <c r="P16" s="2" t="s">
        <v>4378</v>
      </c>
      <c r="AA16"/>
      <c r="AB16" s="5"/>
    </row>
    <row r="17" spans="1:28">
      <c r="A17" s="4">
        <v>46249.843900462962</v>
      </c>
      <c r="B17" s="2" t="s">
        <v>1389</v>
      </c>
      <c r="C17" s="2" t="s">
        <v>1321</v>
      </c>
      <c r="D17" s="2" t="s">
        <v>1305</v>
      </c>
      <c r="E17" s="2">
        <v>192</v>
      </c>
      <c r="F17" s="2"/>
      <c r="G17" s="2">
        <v>192</v>
      </c>
      <c r="H17" s="2" t="s">
        <v>112</v>
      </c>
      <c r="I17" s="2" t="s">
        <v>695</v>
      </c>
      <c r="J17" s="2" t="s">
        <v>2537</v>
      </c>
      <c r="K17" s="2" t="s">
        <v>1855</v>
      </c>
      <c r="L17" s="2" t="s">
        <v>3386</v>
      </c>
      <c r="M17" s="2" t="str">
        <f t="shared" si="0"/>
        <v>13</v>
      </c>
      <c r="N17" s="2" t="s">
        <v>3702</v>
      </c>
      <c r="O17" s="2" t="s">
        <v>4373</v>
      </c>
      <c r="P17" s="2" t="s">
        <v>4378</v>
      </c>
      <c r="AA17"/>
      <c r="AB17" s="5"/>
    </row>
    <row r="18" spans="1:28">
      <c r="A18" s="4">
        <v>46249.843854166669</v>
      </c>
      <c r="B18" s="2" t="s">
        <v>2596</v>
      </c>
      <c r="C18" s="2" t="s">
        <v>1321</v>
      </c>
      <c r="D18" s="2" t="s">
        <v>1305</v>
      </c>
      <c r="E18" s="2">
        <v>192</v>
      </c>
      <c r="F18" s="2"/>
      <c r="G18" s="2">
        <v>192</v>
      </c>
      <c r="H18" s="2" t="s">
        <v>112</v>
      </c>
      <c r="I18" s="2" t="s">
        <v>695</v>
      </c>
      <c r="J18" s="2" t="s">
        <v>2537</v>
      </c>
      <c r="K18" s="2" t="s">
        <v>1855</v>
      </c>
      <c r="L18" s="2" t="s">
        <v>3386</v>
      </c>
      <c r="M18" s="2" t="str">
        <f t="shared" si="0"/>
        <v>13</v>
      </c>
      <c r="N18" s="2" t="s">
        <v>675</v>
      </c>
      <c r="O18" s="2" t="s">
        <v>4373</v>
      </c>
      <c r="P18" s="2" t="s">
        <v>4378</v>
      </c>
      <c r="AA18"/>
      <c r="AB18" s="5"/>
    </row>
    <row r="19" spans="1:28">
      <c r="A19" s="4">
        <v>46249.842361111114</v>
      </c>
      <c r="B19" s="2" t="s">
        <v>3982</v>
      </c>
      <c r="C19" s="2" t="s">
        <v>1321</v>
      </c>
      <c r="D19" s="2" t="s">
        <v>1305</v>
      </c>
      <c r="E19" s="2">
        <v>192</v>
      </c>
      <c r="F19" s="2"/>
      <c r="G19" s="2">
        <v>192</v>
      </c>
      <c r="H19" s="2" t="s">
        <v>112</v>
      </c>
      <c r="I19" s="2" t="s">
        <v>695</v>
      </c>
      <c r="J19" s="2" t="s">
        <v>2537</v>
      </c>
      <c r="K19" s="2" t="s">
        <v>1855</v>
      </c>
      <c r="L19" s="2" t="s">
        <v>3386</v>
      </c>
      <c r="M19" s="2" t="str">
        <f t="shared" si="0"/>
        <v>13</v>
      </c>
      <c r="N19" s="2" t="s">
        <v>1275</v>
      </c>
      <c r="O19" s="2" t="s">
        <v>4373</v>
      </c>
      <c r="P19" s="2" t="s">
        <v>4378</v>
      </c>
      <c r="AA19"/>
      <c r="AB19" s="5"/>
    </row>
    <row r="20" spans="1:28">
      <c r="A20" s="4">
        <v>46249.842152777775</v>
      </c>
      <c r="B20" s="2" t="s">
        <v>1036</v>
      </c>
      <c r="C20" s="2" t="s">
        <v>1321</v>
      </c>
      <c r="D20" s="2" t="s">
        <v>1305</v>
      </c>
      <c r="E20" s="2">
        <v>192</v>
      </c>
      <c r="F20" s="2"/>
      <c r="G20" s="2">
        <v>192</v>
      </c>
      <c r="H20" s="2" t="s">
        <v>112</v>
      </c>
      <c r="I20" s="2" t="s">
        <v>695</v>
      </c>
      <c r="J20" s="2" t="s">
        <v>2537</v>
      </c>
      <c r="K20" s="2" t="s">
        <v>1855</v>
      </c>
      <c r="L20" s="2" t="s">
        <v>3386</v>
      </c>
      <c r="M20" s="2" t="str">
        <f t="shared" si="0"/>
        <v>13</v>
      </c>
      <c r="N20" s="2" t="s">
        <v>4251</v>
      </c>
      <c r="O20" s="2" t="s">
        <v>4373</v>
      </c>
      <c r="P20" s="2" t="s">
        <v>4378</v>
      </c>
    </row>
    <row r="21" spans="1:28">
      <c r="A21" s="4">
        <v>46248.357245370367</v>
      </c>
      <c r="B21" s="2" t="s">
        <v>753</v>
      </c>
      <c r="C21" s="2" t="s">
        <v>1321</v>
      </c>
      <c r="D21" s="2" t="s">
        <v>1305</v>
      </c>
      <c r="E21" s="2">
        <v>192</v>
      </c>
      <c r="F21" s="2"/>
      <c r="G21" s="2">
        <v>192</v>
      </c>
      <c r="H21" s="2" t="s">
        <v>112</v>
      </c>
      <c r="I21" s="2" t="s">
        <v>695</v>
      </c>
      <c r="J21" s="2" t="s">
        <v>2537</v>
      </c>
      <c r="K21" s="2" t="s">
        <v>1855</v>
      </c>
      <c r="L21" s="2" t="s">
        <v>2399</v>
      </c>
      <c r="M21" s="2" t="str">
        <f t="shared" si="0"/>
        <v>05</v>
      </c>
      <c r="N21" s="2" t="s">
        <v>1337</v>
      </c>
      <c r="O21" s="2" t="s">
        <v>4373</v>
      </c>
      <c r="P21" s="2" t="s">
        <v>4379</v>
      </c>
    </row>
    <row r="22" spans="1:28">
      <c r="A22" s="4">
        <v>46248.357106481482</v>
      </c>
      <c r="B22" s="2" t="s">
        <v>3291</v>
      </c>
      <c r="C22" s="2" t="s">
        <v>1321</v>
      </c>
      <c r="D22" s="2" t="s">
        <v>1305</v>
      </c>
      <c r="E22" s="2">
        <v>192</v>
      </c>
      <c r="F22" s="2"/>
      <c r="G22" s="2">
        <v>192</v>
      </c>
      <c r="H22" s="2" t="s">
        <v>112</v>
      </c>
      <c r="I22" s="2" t="s">
        <v>695</v>
      </c>
      <c r="J22" s="2" t="s">
        <v>2537</v>
      </c>
      <c r="K22" s="2" t="s">
        <v>1855</v>
      </c>
      <c r="L22" s="2" t="s">
        <v>2399</v>
      </c>
      <c r="M22" s="2" t="str">
        <f t="shared" si="0"/>
        <v>05</v>
      </c>
      <c r="N22" s="2" t="s">
        <v>3961</v>
      </c>
      <c r="O22" s="2" t="s">
        <v>4373</v>
      </c>
      <c r="P22" s="2" t="s">
        <v>4379</v>
      </c>
    </row>
    <row r="23" spans="1:28">
      <c r="A23" s="4">
        <v>46248.356550925928</v>
      </c>
      <c r="B23" s="2" t="s">
        <v>1768</v>
      </c>
      <c r="C23" s="2" t="s">
        <v>1321</v>
      </c>
      <c r="D23" s="2" t="s">
        <v>1305</v>
      </c>
      <c r="E23" s="2">
        <v>192</v>
      </c>
      <c r="F23" s="2"/>
      <c r="G23" s="2">
        <v>192</v>
      </c>
      <c r="H23" s="2" t="s">
        <v>112</v>
      </c>
      <c r="I23" s="2" t="s">
        <v>695</v>
      </c>
      <c r="J23" s="2" t="s">
        <v>2537</v>
      </c>
      <c r="K23" s="2" t="s">
        <v>1855</v>
      </c>
      <c r="L23" s="2" t="s">
        <v>2399</v>
      </c>
      <c r="M23" s="2" t="str">
        <f t="shared" si="0"/>
        <v>05</v>
      </c>
      <c r="N23" s="2" t="s">
        <v>2036</v>
      </c>
      <c r="O23" s="2" t="s">
        <v>4373</v>
      </c>
      <c r="P23" s="2" t="s">
        <v>4379</v>
      </c>
    </row>
    <row r="24" spans="1:28">
      <c r="A24" s="4">
        <v>46248.356446759259</v>
      </c>
      <c r="B24" s="2" t="s">
        <v>1066</v>
      </c>
      <c r="C24" s="2" t="s">
        <v>1321</v>
      </c>
      <c r="D24" s="2" t="s">
        <v>1305</v>
      </c>
      <c r="E24" s="2">
        <v>192</v>
      </c>
      <c r="F24" s="2"/>
      <c r="G24" s="2">
        <v>192</v>
      </c>
      <c r="H24" s="2" t="s">
        <v>112</v>
      </c>
      <c r="I24" s="2" t="s">
        <v>695</v>
      </c>
      <c r="J24" s="2" t="s">
        <v>2537</v>
      </c>
      <c r="K24" s="2" t="s">
        <v>1855</v>
      </c>
      <c r="L24" s="2" t="s">
        <v>2399</v>
      </c>
      <c r="M24" s="2" t="str">
        <f t="shared" si="0"/>
        <v>05</v>
      </c>
      <c r="N24" s="2" t="s">
        <v>79</v>
      </c>
      <c r="O24" s="2" t="s">
        <v>4373</v>
      </c>
      <c r="P24" s="2" t="s">
        <v>4379</v>
      </c>
    </row>
    <row r="25" spans="1:28">
      <c r="A25" s="4">
        <v>46248.353564814817</v>
      </c>
      <c r="B25" s="2" t="s">
        <v>2000</v>
      </c>
      <c r="C25" s="2" t="s">
        <v>1321</v>
      </c>
      <c r="D25" s="2" t="s">
        <v>1305</v>
      </c>
      <c r="E25" s="2">
        <v>192</v>
      </c>
      <c r="F25" s="2"/>
      <c r="G25" s="2">
        <v>192</v>
      </c>
      <c r="H25" s="2" t="s">
        <v>112</v>
      </c>
      <c r="I25" s="2" t="s">
        <v>695</v>
      </c>
      <c r="J25" s="2" t="s">
        <v>2537</v>
      </c>
      <c r="K25" s="2" t="s">
        <v>1855</v>
      </c>
      <c r="L25" s="2" t="s">
        <v>2399</v>
      </c>
      <c r="M25" s="2" t="str">
        <f t="shared" si="0"/>
        <v>05</v>
      </c>
      <c r="N25" s="2" t="s">
        <v>4007</v>
      </c>
      <c r="O25" s="2" t="s">
        <v>4373</v>
      </c>
      <c r="P25" s="2" t="s">
        <v>4379</v>
      </c>
    </row>
    <row r="26" spans="1:28">
      <c r="A26" s="4">
        <v>46248.353472222225</v>
      </c>
      <c r="B26" s="2" t="s">
        <v>2493</v>
      </c>
      <c r="C26" s="2" t="s">
        <v>1321</v>
      </c>
      <c r="D26" s="2" t="s">
        <v>1305</v>
      </c>
      <c r="E26" s="2">
        <v>192</v>
      </c>
      <c r="F26" s="2"/>
      <c r="G26" s="2">
        <v>192</v>
      </c>
      <c r="H26" s="2" t="s">
        <v>112</v>
      </c>
      <c r="I26" s="2" t="s">
        <v>695</v>
      </c>
      <c r="J26" s="2" t="s">
        <v>2537</v>
      </c>
      <c r="K26" s="2" t="s">
        <v>1855</v>
      </c>
      <c r="L26" s="2" t="s">
        <v>2399</v>
      </c>
      <c r="M26" s="2" t="str">
        <f t="shared" si="0"/>
        <v>05</v>
      </c>
      <c r="N26" s="2" t="s">
        <v>2791</v>
      </c>
      <c r="O26" s="2" t="s">
        <v>4373</v>
      </c>
      <c r="P26" s="2" t="s">
        <v>4379</v>
      </c>
    </row>
    <row r="27" spans="1:28">
      <c r="A27" s="4">
        <v>46248.352743055555</v>
      </c>
      <c r="B27" s="2" t="s">
        <v>1822</v>
      </c>
      <c r="C27" s="2" t="s">
        <v>1321</v>
      </c>
      <c r="D27" s="2" t="s">
        <v>1305</v>
      </c>
      <c r="E27" s="2">
        <v>192</v>
      </c>
      <c r="F27" s="2"/>
      <c r="G27" s="2">
        <v>192</v>
      </c>
      <c r="H27" s="2" t="s">
        <v>112</v>
      </c>
      <c r="I27" s="2" t="s">
        <v>695</v>
      </c>
      <c r="J27" s="2" t="s">
        <v>2537</v>
      </c>
      <c r="K27" s="2" t="s">
        <v>1855</v>
      </c>
      <c r="L27" s="2" t="s">
        <v>2399</v>
      </c>
      <c r="M27" s="2" t="str">
        <f t="shared" si="0"/>
        <v>05</v>
      </c>
      <c r="N27" s="2" t="s">
        <v>3589</v>
      </c>
      <c r="O27" s="2" t="s">
        <v>4373</v>
      </c>
      <c r="P27" s="2" t="s">
        <v>4379</v>
      </c>
    </row>
    <row r="28" spans="1:28">
      <c r="A28" s="4">
        <v>46248.35255787037</v>
      </c>
      <c r="B28" s="2" t="s">
        <v>2142</v>
      </c>
      <c r="C28" s="2" t="s">
        <v>1321</v>
      </c>
      <c r="D28" s="2" t="s">
        <v>1305</v>
      </c>
      <c r="E28" s="2">
        <v>192</v>
      </c>
      <c r="F28" s="2"/>
      <c r="G28" s="2">
        <v>192</v>
      </c>
      <c r="H28" s="2" t="s">
        <v>112</v>
      </c>
      <c r="I28" s="2" t="s">
        <v>695</v>
      </c>
      <c r="J28" s="2" t="s">
        <v>2537</v>
      </c>
      <c r="K28" s="2" t="s">
        <v>1855</v>
      </c>
      <c r="L28" s="2" t="s">
        <v>2399</v>
      </c>
      <c r="M28" s="2" t="str">
        <f t="shared" si="0"/>
        <v>05</v>
      </c>
      <c r="N28" s="2" t="s">
        <v>1942</v>
      </c>
      <c r="O28" s="2" t="s">
        <v>4373</v>
      </c>
      <c r="P28" s="2" t="s">
        <v>4379</v>
      </c>
    </row>
    <row r="29" spans="1:28">
      <c r="A29" s="4">
        <v>46248.350300925929</v>
      </c>
      <c r="B29" s="2" t="s">
        <v>833</v>
      </c>
      <c r="C29" s="2" t="s">
        <v>1321</v>
      </c>
      <c r="D29" s="2" t="s">
        <v>1305</v>
      </c>
      <c r="E29" s="2">
        <v>192</v>
      </c>
      <c r="F29" s="2"/>
      <c r="G29" s="2">
        <v>192</v>
      </c>
      <c r="H29" s="2" t="s">
        <v>112</v>
      </c>
      <c r="I29" s="2" t="s">
        <v>695</v>
      </c>
      <c r="J29" s="2" t="s">
        <v>2537</v>
      </c>
      <c r="K29" s="2" t="s">
        <v>1855</v>
      </c>
      <c r="L29" s="2" t="s">
        <v>2399</v>
      </c>
      <c r="M29" s="2" t="str">
        <f t="shared" si="0"/>
        <v>05</v>
      </c>
      <c r="N29" s="2" t="s">
        <v>2660</v>
      </c>
      <c r="O29" s="2" t="s">
        <v>4373</v>
      </c>
      <c r="P29" s="2" t="s">
        <v>4379</v>
      </c>
    </row>
    <row r="30" spans="1:28">
      <c r="A30" s="4">
        <v>46248.350208333337</v>
      </c>
      <c r="B30" s="2" t="s">
        <v>3767</v>
      </c>
      <c r="C30" s="2" t="s">
        <v>1321</v>
      </c>
      <c r="D30" s="2" t="s">
        <v>1305</v>
      </c>
      <c r="E30" s="2">
        <v>192</v>
      </c>
      <c r="F30" s="2"/>
      <c r="G30" s="2">
        <v>192</v>
      </c>
      <c r="H30" s="2" t="s">
        <v>112</v>
      </c>
      <c r="I30" s="2" t="s">
        <v>695</v>
      </c>
      <c r="J30" s="2" t="s">
        <v>2537</v>
      </c>
      <c r="K30" s="2" t="s">
        <v>1855</v>
      </c>
      <c r="L30" s="2" t="s">
        <v>2399</v>
      </c>
      <c r="M30" s="2" t="str">
        <f t="shared" si="0"/>
        <v>05</v>
      </c>
      <c r="N30" s="2" t="s">
        <v>2585</v>
      </c>
      <c r="O30" s="2" t="s">
        <v>4373</v>
      </c>
      <c r="P30" s="2" t="s">
        <v>4379</v>
      </c>
    </row>
    <row r="31" spans="1:28">
      <c r="A31" s="4">
        <v>46248.349583333336</v>
      </c>
      <c r="B31" s="2" t="s">
        <v>2397</v>
      </c>
      <c r="C31" s="2" t="s">
        <v>1321</v>
      </c>
      <c r="D31" s="2" t="s">
        <v>1305</v>
      </c>
      <c r="E31" s="2">
        <v>192</v>
      </c>
      <c r="F31" s="2"/>
      <c r="G31" s="2">
        <v>192</v>
      </c>
      <c r="H31" s="2" t="s">
        <v>112</v>
      </c>
      <c r="I31" s="2" t="s">
        <v>695</v>
      </c>
      <c r="J31" s="2" t="s">
        <v>2537</v>
      </c>
      <c r="K31" s="2" t="s">
        <v>1855</v>
      </c>
      <c r="L31" s="2" t="s">
        <v>2399</v>
      </c>
      <c r="M31" s="2" t="str">
        <f t="shared" si="0"/>
        <v>05</v>
      </c>
      <c r="N31" s="2" t="s">
        <v>4221</v>
      </c>
      <c r="O31" s="2" t="s">
        <v>4373</v>
      </c>
      <c r="P31" s="2" t="s">
        <v>4379</v>
      </c>
    </row>
    <row r="32" spans="1:28">
      <c r="A32" s="4">
        <v>46248.331585648149</v>
      </c>
      <c r="B32" s="2" t="s">
        <v>3956</v>
      </c>
      <c r="C32" s="2" t="s">
        <v>1321</v>
      </c>
      <c r="D32" s="2" t="s">
        <v>1305</v>
      </c>
      <c r="E32" s="2">
        <v>192</v>
      </c>
      <c r="F32" s="2"/>
      <c r="G32" s="2">
        <v>192</v>
      </c>
      <c r="H32" s="2" t="s">
        <v>112</v>
      </c>
      <c r="I32" s="2" t="s">
        <v>695</v>
      </c>
      <c r="J32" s="2" t="s">
        <v>2537</v>
      </c>
      <c r="K32" s="2" t="s">
        <v>1855</v>
      </c>
      <c r="L32" s="2" t="s">
        <v>2399</v>
      </c>
      <c r="M32" s="2" t="str">
        <f t="shared" si="0"/>
        <v>05</v>
      </c>
      <c r="N32" s="2" t="s">
        <v>1440</v>
      </c>
      <c r="O32" s="2" t="s">
        <v>4373</v>
      </c>
      <c r="P32" s="2" t="s">
        <v>4379</v>
      </c>
    </row>
    <row r="33" spans="1:16">
      <c r="A33" s="4">
        <v>46248.331273148149</v>
      </c>
      <c r="B33" s="2" t="s">
        <v>2963</v>
      </c>
      <c r="C33" s="2" t="s">
        <v>1321</v>
      </c>
      <c r="D33" s="2" t="s">
        <v>1305</v>
      </c>
      <c r="E33" s="2">
        <v>192</v>
      </c>
      <c r="F33" s="2"/>
      <c r="G33" s="2">
        <v>192</v>
      </c>
      <c r="H33" s="2" t="s">
        <v>112</v>
      </c>
      <c r="I33" s="2" t="s">
        <v>695</v>
      </c>
      <c r="J33" s="2" t="s">
        <v>2537</v>
      </c>
      <c r="K33" s="2" t="s">
        <v>1855</v>
      </c>
      <c r="L33" s="2" t="s">
        <v>2399</v>
      </c>
      <c r="M33" s="2" t="str">
        <f t="shared" si="0"/>
        <v>05</v>
      </c>
      <c r="N33" s="2" t="s">
        <v>3264</v>
      </c>
      <c r="O33" s="2" t="s">
        <v>4373</v>
      </c>
      <c r="P33" s="2" t="s">
        <v>4379</v>
      </c>
    </row>
    <row r="34" spans="1:16">
      <c r="A34" s="4">
        <v>46248.331041666665</v>
      </c>
      <c r="B34" s="2" t="s">
        <v>580</v>
      </c>
      <c r="C34" s="2" t="s">
        <v>1321</v>
      </c>
      <c r="D34" s="2" t="s">
        <v>1305</v>
      </c>
      <c r="E34" s="2">
        <v>192</v>
      </c>
      <c r="F34" s="2"/>
      <c r="G34" s="2">
        <v>192</v>
      </c>
      <c r="H34" s="2" t="s">
        <v>112</v>
      </c>
      <c r="I34" s="2" t="s">
        <v>695</v>
      </c>
      <c r="J34" s="2" t="s">
        <v>2537</v>
      </c>
      <c r="K34" s="2" t="s">
        <v>1855</v>
      </c>
      <c r="L34" s="2" t="s">
        <v>2399</v>
      </c>
      <c r="M34" s="2" t="str">
        <f t="shared" si="0"/>
        <v>05</v>
      </c>
      <c r="N34" s="2" t="s">
        <v>3921</v>
      </c>
      <c r="O34" s="2" t="s">
        <v>4373</v>
      </c>
      <c r="P34" s="2" t="s">
        <v>4379</v>
      </c>
    </row>
    <row r="35" spans="1:16">
      <c r="A35" s="4">
        <v>46248.328634259262</v>
      </c>
      <c r="B35" s="2" t="s">
        <v>3238</v>
      </c>
      <c r="C35" s="2" t="s">
        <v>1321</v>
      </c>
      <c r="D35" s="2" t="s">
        <v>1305</v>
      </c>
      <c r="E35" s="2">
        <v>192</v>
      </c>
      <c r="F35" s="2"/>
      <c r="G35" s="2">
        <v>192</v>
      </c>
      <c r="H35" s="2" t="s">
        <v>112</v>
      </c>
      <c r="I35" s="2" t="s">
        <v>695</v>
      </c>
      <c r="J35" s="2" t="s">
        <v>2537</v>
      </c>
      <c r="K35" s="2" t="s">
        <v>1855</v>
      </c>
      <c r="L35" s="2" t="s">
        <v>2399</v>
      </c>
      <c r="M35" s="2" t="str">
        <f t="shared" si="0"/>
        <v>05</v>
      </c>
      <c r="N35" s="2" t="s">
        <v>1393</v>
      </c>
      <c r="O35" s="2" t="s">
        <v>4373</v>
      </c>
      <c r="P35" s="2" t="s">
        <v>4379</v>
      </c>
    </row>
    <row r="36" spans="1:16">
      <c r="A36" s="4">
        <v>46248.328310185185</v>
      </c>
      <c r="B36" s="2" t="s">
        <v>2208</v>
      </c>
      <c r="C36" s="2" t="s">
        <v>1321</v>
      </c>
      <c r="D36" s="2" t="s">
        <v>1305</v>
      </c>
      <c r="E36" s="2">
        <v>192</v>
      </c>
      <c r="F36" s="2"/>
      <c r="G36" s="2">
        <v>192</v>
      </c>
      <c r="H36" s="2" t="s">
        <v>112</v>
      </c>
      <c r="I36" s="2" t="s">
        <v>695</v>
      </c>
      <c r="J36" s="2" t="s">
        <v>2537</v>
      </c>
      <c r="K36" s="2" t="s">
        <v>1855</v>
      </c>
      <c r="L36" s="2" t="s">
        <v>2399</v>
      </c>
      <c r="M36" s="2" t="str">
        <f t="shared" si="0"/>
        <v>05</v>
      </c>
      <c r="N36" s="2" t="s">
        <v>169</v>
      </c>
      <c r="O36" s="2" t="s">
        <v>4373</v>
      </c>
      <c r="P36" s="2" t="s">
        <v>4379</v>
      </c>
    </row>
    <row r="37" spans="1:16">
      <c r="A37" s="4">
        <v>46248.327430555553</v>
      </c>
      <c r="B37" s="2" t="s">
        <v>911</v>
      </c>
      <c r="C37" s="2" t="s">
        <v>1321</v>
      </c>
      <c r="D37" s="2" t="s">
        <v>1305</v>
      </c>
      <c r="E37" s="2">
        <v>192</v>
      </c>
      <c r="F37" s="2"/>
      <c r="G37" s="2">
        <v>192</v>
      </c>
      <c r="H37" s="2" t="s">
        <v>112</v>
      </c>
      <c r="I37" s="2" t="s">
        <v>695</v>
      </c>
      <c r="J37" s="2" t="s">
        <v>2537</v>
      </c>
      <c r="K37" s="2" t="s">
        <v>1855</v>
      </c>
      <c r="L37" s="2" t="s">
        <v>2399</v>
      </c>
      <c r="M37" s="2" t="str">
        <f t="shared" si="0"/>
        <v>05</v>
      </c>
      <c r="N37" s="2" t="s">
        <v>3248</v>
      </c>
      <c r="O37" s="2" t="s">
        <v>4373</v>
      </c>
      <c r="P37" s="2" t="s">
        <v>4379</v>
      </c>
    </row>
    <row r="38" spans="1:16">
      <c r="A38" s="4">
        <v>46248.32708333333</v>
      </c>
      <c r="B38" s="2" t="s">
        <v>2025</v>
      </c>
      <c r="C38" s="2" t="s">
        <v>1321</v>
      </c>
      <c r="D38" s="2" t="s">
        <v>1305</v>
      </c>
      <c r="E38" s="2">
        <v>192</v>
      </c>
      <c r="F38" s="2"/>
      <c r="G38" s="2">
        <v>192</v>
      </c>
      <c r="H38" s="2" t="s">
        <v>112</v>
      </c>
      <c r="I38" s="2" t="s">
        <v>695</v>
      </c>
      <c r="J38" s="2" t="s">
        <v>2537</v>
      </c>
      <c r="K38" s="2" t="s">
        <v>1855</v>
      </c>
      <c r="L38" s="2" t="s">
        <v>2399</v>
      </c>
      <c r="M38" s="2" t="str">
        <f t="shared" si="0"/>
        <v>05</v>
      </c>
      <c r="N38" s="2" t="s">
        <v>1524</v>
      </c>
      <c r="O38" s="2" t="s">
        <v>4373</v>
      </c>
      <c r="P38" s="2" t="s">
        <v>4379</v>
      </c>
    </row>
    <row r="39" spans="1:16">
      <c r="A39" s="4">
        <v>46248.324930555558</v>
      </c>
      <c r="B39" s="2" t="s">
        <v>4306</v>
      </c>
      <c r="C39" s="2" t="s">
        <v>1321</v>
      </c>
      <c r="D39" s="2" t="s">
        <v>1305</v>
      </c>
      <c r="E39" s="2">
        <v>192</v>
      </c>
      <c r="F39" s="2"/>
      <c r="G39" s="2">
        <v>192</v>
      </c>
      <c r="H39" s="2" t="s">
        <v>112</v>
      </c>
      <c r="I39" s="2" t="s">
        <v>695</v>
      </c>
      <c r="J39" s="2" t="s">
        <v>2537</v>
      </c>
      <c r="K39" s="2" t="s">
        <v>1855</v>
      </c>
      <c r="L39" s="2" t="s">
        <v>2399</v>
      </c>
      <c r="M39" s="2" t="str">
        <f t="shared" si="0"/>
        <v>05</v>
      </c>
      <c r="N39" s="2" t="s">
        <v>3856</v>
      </c>
      <c r="O39" s="2" t="s">
        <v>4373</v>
      </c>
      <c r="P39" s="2" t="s">
        <v>4379</v>
      </c>
    </row>
    <row r="40" spans="1:16">
      <c r="A40" s="4">
        <v>46248.324837962966</v>
      </c>
      <c r="B40" s="2" t="s">
        <v>286</v>
      </c>
      <c r="C40" s="2" t="s">
        <v>1321</v>
      </c>
      <c r="D40" s="2" t="s">
        <v>1305</v>
      </c>
      <c r="E40" s="2">
        <v>192</v>
      </c>
      <c r="F40" s="2"/>
      <c r="G40" s="2">
        <v>192</v>
      </c>
      <c r="H40" s="2" t="s">
        <v>112</v>
      </c>
      <c r="I40" s="2" t="s">
        <v>695</v>
      </c>
      <c r="J40" s="2" t="s">
        <v>2537</v>
      </c>
      <c r="K40" s="2" t="s">
        <v>1855</v>
      </c>
      <c r="L40" s="2" t="s">
        <v>2399</v>
      </c>
      <c r="M40" s="2" t="str">
        <f t="shared" si="0"/>
        <v>05</v>
      </c>
      <c r="N40" s="2" t="s">
        <v>230</v>
      </c>
      <c r="O40" s="2" t="s">
        <v>4373</v>
      </c>
      <c r="P40" s="2" t="s">
        <v>4379</v>
      </c>
    </row>
    <row r="41" spans="1:16">
      <c r="A41" s="4">
        <v>46246.682013888887</v>
      </c>
      <c r="B41" s="2" t="s">
        <v>2401</v>
      </c>
      <c r="C41" s="2" t="s">
        <v>1321</v>
      </c>
      <c r="D41" s="2" t="s">
        <v>1305</v>
      </c>
      <c r="E41" s="2">
        <v>192</v>
      </c>
      <c r="F41" s="2"/>
      <c r="G41" s="2">
        <v>192</v>
      </c>
      <c r="H41" s="2" t="s">
        <v>986</v>
      </c>
      <c r="I41" s="2" t="s">
        <v>695</v>
      </c>
      <c r="J41" s="2" t="s">
        <v>2537</v>
      </c>
      <c r="K41" s="2" t="s">
        <v>1855</v>
      </c>
      <c r="L41" s="2" t="s">
        <v>850</v>
      </c>
      <c r="M41" s="2" t="str">
        <f t="shared" si="0"/>
        <v>08</v>
      </c>
      <c r="N41" s="2" t="s">
        <v>717</v>
      </c>
      <c r="O41" s="2" t="s">
        <v>4373</v>
      </c>
      <c r="P41" s="2" t="s">
        <v>4381</v>
      </c>
    </row>
    <row r="42" spans="1:16">
      <c r="A42" s="4">
        <v>46246.681944444441</v>
      </c>
      <c r="B42" s="2" t="s">
        <v>3932</v>
      </c>
      <c r="C42" s="2" t="s">
        <v>1321</v>
      </c>
      <c r="D42" s="2" t="s">
        <v>1305</v>
      </c>
      <c r="E42" s="2">
        <v>144</v>
      </c>
      <c r="F42" s="2"/>
      <c r="G42" s="2">
        <v>144</v>
      </c>
      <c r="H42" s="2" t="s">
        <v>986</v>
      </c>
      <c r="I42" s="2" t="s">
        <v>695</v>
      </c>
      <c r="J42" s="2" t="s">
        <v>2537</v>
      </c>
      <c r="K42" s="2" t="s">
        <v>1855</v>
      </c>
      <c r="L42" s="2" t="s">
        <v>850</v>
      </c>
      <c r="M42" s="2" t="str">
        <f t="shared" si="0"/>
        <v>08</v>
      </c>
      <c r="N42" s="2" t="s">
        <v>3680</v>
      </c>
      <c r="O42" s="2" t="s">
        <v>4373</v>
      </c>
      <c r="P42" s="2" t="s">
        <v>4381</v>
      </c>
    </row>
    <row r="43" spans="1:16">
      <c r="A43" s="4">
        <v>46246.680706018517</v>
      </c>
      <c r="B43" s="2" t="s">
        <v>3028</v>
      </c>
      <c r="C43" s="2" t="s">
        <v>1321</v>
      </c>
      <c r="D43" s="2" t="s">
        <v>1305</v>
      </c>
      <c r="E43" s="2">
        <v>192</v>
      </c>
      <c r="F43" s="2"/>
      <c r="G43" s="2">
        <v>192</v>
      </c>
      <c r="H43" s="2" t="s">
        <v>986</v>
      </c>
      <c r="I43" s="2" t="s">
        <v>695</v>
      </c>
      <c r="J43" s="2" t="s">
        <v>2537</v>
      </c>
      <c r="K43" s="2" t="s">
        <v>1855</v>
      </c>
      <c r="L43" s="2" t="s">
        <v>850</v>
      </c>
      <c r="M43" s="2" t="str">
        <f t="shared" si="0"/>
        <v>08</v>
      </c>
      <c r="N43" s="2" t="s">
        <v>2676</v>
      </c>
      <c r="O43" s="2" t="s">
        <v>4373</v>
      </c>
      <c r="P43" s="2" t="s">
        <v>4381</v>
      </c>
    </row>
    <row r="44" spans="1:16">
      <c r="A44" s="4">
        <v>46246.680590277778</v>
      </c>
      <c r="B44" s="2" t="s">
        <v>91</v>
      </c>
      <c r="C44" s="2" t="s">
        <v>1321</v>
      </c>
      <c r="D44" s="2" t="s">
        <v>1305</v>
      </c>
      <c r="E44" s="2">
        <v>192</v>
      </c>
      <c r="F44" s="2"/>
      <c r="G44" s="2">
        <v>192</v>
      </c>
      <c r="H44" s="2" t="s">
        <v>986</v>
      </c>
      <c r="I44" s="2" t="s">
        <v>695</v>
      </c>
      <c r="J44" s="2" t="s">
        <v>2537</v>
      </c>
      <c r="K44" s="2" t="s">
        <v>1855</v>
      </c>
      <c r="L44" s="2" t="s">
        <v>850</v>
      </c>
      <c r="M44" s="2" t="str">
        <f t="shared" si="0"/>
        <v>08</v>
      </c>
      <c r="N44" s="2" t="s">
        <v>1202</v>
      </c>
      <c r="O44" s="2" t="s">
        <v>4373</v>
      </c>
      <c r="P44" s="2" t="s">
        <v>4381</v>
      </c>
    </row>
    <row r="45" spans="1:16">
      <c r="A45" s="4">
        <v>46246.680428240739</v>
      </c>
      <c r="B45" s="2" t="s">
        <v>705</v>
      </c>
      <c r="C45" s="2" t="s">
        <v>1321</v>
      </c>
      <c r="D45" s="2" t="s">
        <v>1305</v>
      </c>
      <c r="E45" s="2">
        <v>192</v>
      </c>
      <c r="F45" s="2"/>
      <c r="G45" s="2">
        <v>192</v>
      </c>
      <c r="H45" s="2" t="s">
        <v>986</v>
      </c>
      <c r="I45" s="2" t="s">
        <v>695</v>
      </c>
      <c r="J45" s="2" t="s">
        <v>2537</v>
      </c>
      <c r="K45" s="2" t="s">
        <v>1855</v>
      </c>
      <c r="L45" s="2" t="s">
        <v>850</v>
      </c>
      <c r="M45" s="2" t="str">
        <f t="shared" si="0"/>
        <v>08</v>
      </c>
      <c r="N45" s="2" t="s">
        <v>3778</v>
      </c>
      <c r="O45" s="2" t="s">
        <v>4373</v>
      </c>
      <c r="P45" s="2" t="s">
        <v>4381</v>
      </c>
    </row>
    <row r="46" spans="1:16">
      <c r="A46" s="4">
        <v>46246.617418981485</v>
      </c>
      <c r="B46" s="2" t="s">
        <v>2488</v>
      </c>
      <c r="C46" s="2" t="s">
        <v>1321</v>
      </c>
      <c r="D46" s="2" t="s">
        <v>1305</v>
      </c>
      <c r="E46" s="2">
        <v>192</v>
      </c>
      <c r="F46" s="2"/>
      <c r="G46" s="2">
        <v>192</v>
      </c>
      <c r="H46" s="2" t="s">
        <v>4350</v>
      </c>
      <c r="I46" s="2" t="s">
        <v>695</v>
      </c>
      <c r="J46" s="2" t="s">
        <v>2537</v>
      </c>
      <c r="K46" s="2" t="s">
        <v>1855</v>
      </c>
      <c r="L46" s="2" t="s">
        <v>4243</v>
      </c>
      <c r="M46" s="2" t="str">
        <f t="shared" si="0"/>
        <v>12</v>
      </c>
      <c r="N46" s="2" t="s">
        <v>340</v>
      </c>
      <c r="O46" s="2" t="s">
        <v>4373</v>
      </c>
      <c r="P46" s="2" t="s">
        <v>4381</v>
      </c>
    </row>
    <row r="47" spans="1:16">
      <c r="A47" s="4">
        <v>46246.617280092592</v>
      </c>
      <c r="B47" s="2" t="s">
        <v>2490</v>
      </c>
      <c r="C47" s="2" t="s">
        <v>1321</v>
      </c>
      <c r="D47" s="2" t="s">
        <v>1305</v>
      </c>
      <c r="E47" s="2">
        <v>192</v>
      </c>
      <c r="F47" s="2"/>
      <c r="G47" s="2">
        <v>192</v>
      </c>
      <c r="H47" s="2" t="s">
        <v>4350</v>
      </c>
      <c r="I47" s="2" t="s">
        <v>695</v>
      </c>
      <c r="J47" s="2" t="s">
        <v>2537</v>
      </c>
      <c r="K47" s="2" t="s">
        <v>1855</v>
      </c>
      <c r="L47" s="2" t="s">
        <v>4243</v>
      </c>
      <c r="M47" s="2" t="str">
        <f t="shared" si="0"/>
        <v>12</v>
      </c>
      <c r="N47" s="2" t="s">
        <v>3732</v>
      </c>
      <c r="O47" s="2" t="s">
        <v>4373</v>
      </c>
      <c r="P47" s="2" t="s">
        <v>4381</v>
      </c>
    </row>
    <row r="48" spans="1:16">
      <c r="A48" s="4">
        <v>46246.616863425923</v>
      </c>
      <c r="B48" s="2" t="s">
        <v>4199</v>
      </c>
      <c r="C48" s="2" t="s">
        <v>1321</v>
      </c>
      <c r="D48" s="2" t="s">
        <v>1305</v>
      </c>
      <c r="E48" s="2">
        <v>192</v>
      </c>
      <c r="F48" s="2"/>
      <c r="G48" s="2">
        <v>192</v>
      </c>
      <c r="H48" s="2" t="s">
        <v>4350</v>
      </c>
      <c r="I48" s="2" t="s">
        <v>695</v>
      </c>
      <c r="J48" s="2" t="s">
        <v>2537</v>
      </c>
      <c r="K48" s="2" t="s">
        <v>1855</v>
      </c>
      <c r="L48" s="2" t="s">
        <v>4243</v>
      </c>
      <c r="M48" s="2" t="str">
        <f t="shared" si="0"/>
        <v>12</v>
      </c>
      <c r="N48" s="2" t="s">
        <v>3793</v>
      </c>
      <c r="O48" s="2" t="s">
        <v>4373</v>
      </c>
      <c r="P48" s="2" t="s">
        <v>4381</v>
      </c>
    </row>
    <row r="49" spans="1:16">
      <c r="A49" s="4">
        <v>46246.616759259261</v>
      </c>
      <c r="B49" s="2" t="s">
        <v>871</v>
      </c>
      <c r="C49" s="2" t="s">
        <v>1321</v>
      </c>
      <c r="D49" s="2" t="s">
        <v>1305</v>
      </c>
      <c r="E49" s="2">
        <v>192</v>
      </c>
      <c r="F49" s="2"/>
      <c r="G49" s="2">
        <v>192</v>
      </c>
      <c r="H49" s="2" t="s">
        <v>4350</v>
      </c>
      <c r="I49" s="2" t="s">
        <v>695</v>
      </c>
      <c r="J49" s="2" t="s">
        <v>2537</v>
      </c>
      <c r="K49" s="2" t="s">
        <v>1855</v>
      </c>
      <c r="L49" s="2" t="s">
        <v>4243</v>
      </c>
      <c r="M49" s="2" t="str">
        <f t="shared" si="0"/>
        <v>12</v>
      </c>
      <c r="N49" s="2" t="s">
        <v>785</v>
      </c>
      <c r="O49" s="2" t="s">
        <v>4373</v>
      </c>
      <c r="P49" s="2" t="s">
        <v>4381</v>
      </c>
    </row>
    <row r="50" spans="1:16">
      <c r="A50" s="4">
        <v>46244.430613425924</v>
      </c>
      <c r="B50" s="2" t="s">
        <v>2762</v>
      </c>
      <c r="C50" s="2" t="s">
        <v>1321</v>
      </c>
      <c r="D50" s="2" t="s">
        <v>1305</v>
      </c>
      <c r="E50" s="2">
        <v>192</v>
      </c>
      <c r="F50" s="2"/>
      <c r="G50" s="2">
        <v>192</v>
      </c>
      <c r="H50" s="2" t="s">
        <v>112</v>
      </c>
      <c r="I50" s="2" t="s">
        <v>695</v>
      </c>
      <c r="J50" s="2" t="s">
        <v>2537</v>
      </c>
      <c r="K50" s="2" t="s">
        <v>1855</v>
      </c>
      <c r="L50" s="2" t="s">
        <v>3493</v>
      </c>
      <c r="M50" s="2" t="str">
        <f t="shared" si="0"/>
        <v>03</v>
      </c>
      <c r="N50" s="2" t="s">
        <v>1051</v>
      </c>
      <c r="O50" s="2" t="s">
        <v>4373</v>
      </c>
      <c r="P50" s="2" t="s">
        <v>4375</v>
      </c>
    </row>
    <row r="51" spans="1:16">
      <c r="A51" s="4">
        <v>46244.430092592593</v>
      </c>
      <c r="B51" s="2" t="s">
        <v>1186</v>
      </c>
      <c r="C51" s="2" t="s">
        <v>1321</v>
      </c>
      <c r="D51" s="2" t="s">
        <v>1305</v>
      </c>
      <c r="E51" s="2">
        <v>192</v>
      </c>
      <c r="F51" s="2"/>
      <c r="G51" s="2">
        <v>192</v>
      </c>
      <c r="H51" s="2" t="s">
        <v>112</v>
      </c>
      <c r="I51" s="2" t="s">
        <v>695</v>
      </c>
      <c r="J51" s="2" t="s">
        <v>2537</v>
      </c>
      <c r="K51" s="2" t="s">
        <v>1855</v>
      </c>
      <c r="L51" s="2" t="s">
        <v>3493</v>
      </c>
      <c r="M51" s="2" t="str">
        <f t="shared" si="0"/>
        <v>03</v>
      </c>
      <c r="N51" s="2" t="s">
        <v>1122</v>
      </c>
      <c r="O51" s="2" t="s">
        <v>4373</v>
      </c>
      <c r="P51" s="2" t="s">
        <v>4375</v>
      </c>
    </row>
    <row r="52" spans="1:16">
      <c r="A52" s="4">
        <v>46244.429861111108</v>
      </c>
      <c r="B52" s="2" t="s">
        <v>1508</v>
      </c>
      <c r="C52" s="2" t="s">
        <v>1321</v>
      </c>
      <c r="D52" s="2" t="s">
        <v>1305</v>
      </c>
      <c r="E52" s="2">
        <v>192</v>
      </c>
      <c r="F52" s="2"/>
      <c r="G52" s="2">
        <v>192</v>
      </c>
      <c r="H52" s="2" t="s">
        <v>112</v>
      </c>
      <c r="I52" s="2" t="s">
        <v>695</v>
      </c>
      <c r="J52" s="2" t="s">
        <v>2537</v>
      </c>
      <c r="K52" s="2" t="s">
        <v>1855</v>
      </c>
      <c r="L52" s="2" t="s">
        <v>3493</v>
      </c>
      <c r="M52" s="2" t="str">
        <f t="shared" si="0"/>
        <v>03</v>
      </c>
      <c r="N52" s="2" t="s">
        <v>3563</v>
      </c>
      <c r="O52" s="2" t="s">
        <v>4373</v>
      </c>
      <c r="P52" s="2" t="s">
        <v>4375</v>
      </c>
    </row>
    <row r="53" spans="1:16">
      <c r="A53" s="4">
        <v>46244.415451388886</v>
      </c>
      <c r="B53" s="2" t="s">
        <v>2109</v>
      </c>
      <c r="C53" s="2" t="s">
        <v>1321</v>
      </c>
      <c r="D53" s="2" t="s">
        <v>1305</v>
      </c>
      <c r="E53" s="2">
        <v>192</v>
      </c>
      <c r="F53" s="2"/>
      <c r="G53" s="2">
        <v>192</v>
      </c>
      <c r="H53" s="2" t="s">
        <v>112</v>
      </c>
      <c r="I53" s="2" t="s">
        <v>695</v>
      </c>
      <c r="J53" s="2" t="s">
        <v>2537</v>
      </c>
      <c r="K53" s="2" t="s">
        <v>1855</v>
      </c>
      <c r="L53" s="2" t="s">
        <v>3493</v>
      </c>
      <c r="M53" s="2" t="str">
        <f t="shared" si="0"/>
        <v>03</v>
      </c>
      <c r="N53" s="2" t="s">
        <v>416</v>
      </c>
      <c r="O53" s="2" t="s">
        <v>4373</v>
      </c>
      <c r="P53" s="2" t="s">
        <v>4375</v>
      </c>
    </row>
    <row r="54" spans="1:16">
      <c r="A54" s="4">
        <v>46244.415254629632</v>
      </c>
      <c r="B54" s="2" t="s">
        <v>3984</v>
      </c>
      <c r="C54" s="2" t="s">
        <v>1321</v>
      </c>
      <c r="D54" s="2" t="s">
        <v>1305</v>
      </c>
      <c r="E54" s="2">
        <v>192</v>
      </c>
      <c r="F54" s="2"/>
      <c r="G54" s="2">
        <v>192</v>
      </c>
      <c r="H54" s="2" t="s">
        <v>112</v>
      </c>
      <c r="I54" s="2" t="s">
        <v>695</v>
      </c>
      <c r="J54" s="2" t="s">
        <v>2537</v>
      </c>
      <c r="K54" s="2" t="s">
        <v>1855</v>
      </c>
      <c r="L54" s="2" t="s">
        <v>3493</v>
      </c>
      <c r="M54" s="2" t="str">
        <f t="shared" si="0"/>
        <v>03</v>
      </c>
      <c r="N54" s="2" t="s">
        <v>2316</v>
      </c>
      <c r="O54" s="2" t="s">
        <v>4373</v>
      </c>
      <c r="P54" s="2" t="s">
        <v>4375</v>
      </c>
    </row>
    <row r="55" spans="1:16">
      <c r="A55" s="4">
        <v>46244.414317129631</v>
      </c>
      <c r="B55" s="2" t="s">
        <v>1425</v>
      </c>
      <c r="C55" s="2" t="s">
        <v>1321</v>
      </c>
      <c r="D55" s="2" t="s">
        <v>1305</v>
      </c>
      <c r="E55" s="2">
        <v>192</v>
      </c>
      <c r="F55" s="2"/>
      <c r="G55" s="2">
        <v>192</v>
      </c>
      <c r="H55" s="2" t="s">
        <v>112</v>
      </c>
      <c r="I55" s="2" t="s">
        <v>695</v>
      </c>
      <c r="J55" s="2" t="s">
        <v>2537</v>
      </c>
      <c r="K55" s="2" t="s">
        <v>1855</v>
      </c>
      <c r="L55" s="2" t="s">
        <v>3493</v>
      </c>
      <c r="M55" s="2" t="str">
        <f t="shared" si="0"/>
        <v>03</v>
      </c>
      <c r="N55" s="2" t="s">
        <v>1666</v>
      </c>
      <c r="O55" s="2" t="s">
        <v>4373</v>
      </c>
      <c r="P55" s="2" t="s">
        <v>4375</v>
      </c>
    </row>
    <row r="56" spans="1:16">
      <c r="A56" s="4">
        <v>46244.414201388892</v>
      </c>
      <c r="B56" s="2" t="s">
        <v>2431</v>
      </c>
      <c r="C56" s="2" t="s">
        <v>1321</v>
      </c>
      <c r="D56" s="2" t="s">
        <v>1305</v>
      </c>
      <c r="E56" s="2">
        <v>192</v>
      </c>
      <c r="F56" s="2"/>
      <c r="G56" s="2">
        <v>192</v>
      </c>
      <c r="H56" s="2" t="s">
        <v>112</v>
      </c>
      <c r="I56" s="2" t="s">
        <v>695</v>
      </c>
      <c r="J56" s="2" t="s">
        <v>2537</v>
      </c>
      <c r="K56" s="2" t="s">
        <v>1855</v>
      </c>
      <c r="L56" s="2" t="s">
        <v>3493</v>
      </c>
      <c r="M56" s="2" t="str">
        <f t="shared" si="0"/>
        <v>03</v>
      </c>
      <c r="N56" s="2" t="s">
        <v>1834</v>
      </c>
      <c r="O56" s="2" t="s">
        <v>4373</v>
      </c>
      <c r="P56" s="2" t="s">
        <v>4375</v>
      </c>
    </row>
    <row r="57" spans="1:16">
      <c r="A57" s="4">
        <v>46244.413275462961</v>
      </c>
      <c r="B57" s="2" t="s">
        <v>2040</v>
      </c>
      <c r="C57" s="2" t="s">
        <v>1321</v>
      </c>
      <c r="D57" s="2" t="s">
        <v>1305</v>
      </c>
      <c r="E57" s="2">
        <v>192</v>
      </c>
      <c r="F57" s="2"/>
      <c r="G57" s="2">
        <v>192</v>
      </c>
      <c r="H57" s="2" t="s">
        <v>112</v>
      </c>
      <c r="I57" s="2" t="s">
        <v>695</v>
      </c>
      <c r="J57" s="2" t="s">
        <v>2537</v>
      </c>
      <c r="K57" s="2" t="s">
        <v>1855</v>
      </c>
      <c r="L57" s="2" t="s">
        <v>3493</v>
      </c>
      <c r="M57" s="2" t="str">
        <f t="shared" si="0"/>
        <v>03</v>
      </c>
      <c r="N57" s="2" t="s">
        <v>3023</v>
      </c>
      <c r="O57" s="2" t="s">
        <v>4373</v>
      </c>
      <c r="P57" s="2" t="s">
        <v>4375</v>
      </c>
    </row>
    <row r="58" spans="1:16">
      <c r="A58" s="4">
        <v>46244.413229166668</v>
      </c>
      <c r="B58" s="2" t="s">
        <v>3241</v>
      </c>
      <c r="C58" s="2" t="s">
        <v>1321</v>
      </c>
      <c r="D58" s="2" t="s">
        <v>1305</v>
      </c>
      <c r="E58" s="2">
        <v>192</v>
      </c>
      <c r="F58" s="2"/>
      <c r="G58" s="2">
        <v>192</v>
      </c>
      <c r="H58" s="2" t="s">
        <v>112</v>
      </c>
      <c r="I58" s="2" t="s">
        <v>695</v>
      </c>
      <c r="J58" s="2" t="s">
        <v>2537</v>
      </c>
      <c r="K58" s="2" t="s">
        <v>1855</v>
      </c>
      <c r="L58" s="2" t="s">
        <v>3493</v>
      </c>
      <c r="M58" s="2" t="str">
        <f t="shared" si="0"/>
        <v>03</v>
      </c>
      <c r="N58" s="2" t="s">
        <v>237</v>
      </c>
      <c r="O58" s="2" t="s">
        <v>4373</v>
      </c>
      <c r="P58" s="2" t="s">
        <v>4375</v>
      </c>
    </row>
    <row r="59" spans="1:16">
      <c r="A59" s="4">
        <v>46244.411249999997</v>
      </c>
      <c r="B59" s="2" t="s">
        <v>1458</v>
      </c>
      <c r="C59" s="2" t="s">
        <v>1321</v>
      </c>
      <c r="D59" s="2" t="s">
        <v>1305</v>
      </c>
      <c r="E59" s="2">
        <v>192</v>
      </c>
      <c r="F59" s="2"/>
      <c r="G59" s="2">
        <v>192</v>
      </c>
      <c r="H59" s="2" t="s">
        <v>112</v>
      </c>
      <c r="I59" s="2" t="s">
        <v>695</v>
      </c>
      <c r="J59" s="2" t="s">
        <v>2537</v>
      </c>
      <c r="K59" s="2" t="s">
        <v>1855</v>
      </c>
      <c r="L59" s="2" t="s">
        <v>3493</v>
      </c>
      <c r="M59" s="2" t="str">
        <f t="shared" si="0"/>
        <v>03</v>
      </c>
      <c r="N59" s="2" t="s">
        <v>227</v>
      </c>
      <c r="O59" s="2" t="s">
        <v>4373</v>
      </c>
      <c r="P59" s="2" t="s">
        <v>4375</v>
      </c>
    </row>
    <row r="60" spans="1:16">
      <c r="A60" s="4">
        <v>46244.411238425928</v>
      </c>
      <c r="B60" s="2" t="s">
        <v>3125</v>
      </c>
      <c r="C60" s="2" t="s">
        <v>1321</v>
      </c>
      <c r="D60" s="2" t="s">
        <v>1305</v>
      </c>
      <c r="E60" s="2">
        <v>192</v>
      </c>
      <c r="F60" s="2"/>
      <c r="G60" s="2">
        <v>192</v>
      </c>
      <c r="H60" s="2" t="s">
        <v>112</v>
      </c>
      <c r="I60" s="2" t="s">
        <v>695</v>
      </c>
      <c r="J60" s="2" t="s">
        <v>2537</v>
      </c>
      <c r="K60" s="2" t="s">
        <v>1855</v>
      </c>
      <c r="L60" s="2" t="s">
        <v>3493</v>
      </c>
      <c r="M60" s="2" t="str">
        <f t="shared" si="0"/>
        <v>03</v>
      </c>
      <c r="N60" s="2" t="s">
        <v>374</v>
      </c>
      <c r="O60" s="2" t="s">
        <v>4373</v>
      </c>
      <c r="P60" s="2" t="s">
        <v>4375</v>
      </c>
    </row>
    <row r="61" spans="1:16">
      <c r="A61" s="4">
        <v>46244.410555555558</v>
      </c>
      <c r="B61" s="2" t="s">
        <v>1317</v>
      </c>
      <c r="C61" s="2" t="s">
        <v>1321</v>
      </c>
      <c r="D61" s="2" t="s">
        <v>1305</v>
      </c>
      <c r="E61" s="2">
        <v>192</v>
      </c>
      <c r="F61" s="2"/>
      <c r="G61" s="2">
        <v>192</v>
      </c>
      <c r="H61" s="2" t="s">
        <v>112</v>
      </c>
      <c r="I61" s="2" t="s">
        <v>695</v>
      </c>
      <c r="J61" s="2" t="s">
        <v>2537</v>
      </c>
      <c r="K61" s="2" t="s">
        <v>1855</v>
      </c>
      <c r="L61" s="2" t="s">
        <v>3493</v>
      </c>
      <c r="M61" s="2" t="str">
        <f t="shared" si="0"/>
        <v>03</v>
      </c>
      <c r="N61" s="2" t="s">
        <v>1844</v>
      </c>
      <c r="O61" s="2" t="s">
        <v>4373</v>
      </c>
      <c r="P61" s="2" t="s">
        <v>4375</v>
      </c>
    </row>
    <row r="62" spans="1:16">
      <c r="A62" s="4">
        <v>46244.410486111112</v>
      </c>
      <c r="B62" s="2" t="s">
        <v>2171</v>
      </c>
      <c r="C62" s="2" t="s">
        <v>1321</v>
      </c>
      <c r="D62" s="2" t="s">
        <v>1305</v>
      </c>
      <c r="E62" s="2">
        <v>192</v>
      </c>
      <c r="F62" s="2"/>
      <c r="G62" s="2">
        <v>192</v>
      </c>
      <c r="H62" s="2" t="s">
        <v>112</v>
      </c>
      <c r="I62" s="2" t="s">
        <v>695</v>
      </c>
      <c r="J62" s="2" t="s">
        <v>2537</v>
      </c>
      <c r="K62" s="2" t="s">
        <v>1855</v>
      </c>
      <c r="L62" s="2" t="s">
        <v>3493</v>
      </c>
      <c r="M62" s="2" t="str">
        <f t="shared" si="0"/>
        <v>03</v>
      </c>
      <c r="N62" s="2" t="s">
        <v>291</v>
      </c>
      <c r="O62" s="2" t="s">
        <v>4373</v>
      </c>
      <c r="P62" s="2" t="s">
        <v>4375</v>
      </c>
    </row>
    <row r="63" spans="1:16">
      <c r="A63" s="4">
        <v>46244.408541666664</v>
      </c>
      <c r="B63" s="2" t="s">
        <v>3993</v>
      </c>
      <c r="C63" s="2" t="s">
        <v>1321</v>
      </c>
      <c r="D63" s="2" t="s">
        <v>1305</v>
      </c>
      <c r="E63" s="2">
        <v>192</v>
      </c>
      <c r="F63" s="2"/>
      <c r="G63" s="2">
        <v>192</v>
      </c>
      <c r="H63" s="2" t="s">
        <v>112</v>
      </c>
      <c r="I63" s="2" t="s">
        <v>695</v>
      </c>
      <c r="J63" s="2" t="s">
        <v>2537</v>
      </c>
      <c r="K63" s="2" t="s">
        <v>1855</v>
      </c>
      <c r="L63" s="2" t="s">
        <v>3493</v>
      </c>
      <c r="M63" s="2" t="str">
        <f t="shared" si="0"/>
        <v>03</v>
      </c>
      <c r="N63" s="2" t="s">
        <v>686</v>
      </c>
      <c r="O63" s="2" t="s">
        <v>4373</v>
      </c>
      <c r="P63" s="2" t="s">
        <v>4375</v>
      </c>
    </row>
    <row r="64" spans="1:16">
      <c r="A64" s="4">
        <v>46244.408402777779</v>
      </c>
      <c r="B64" s="2" t="s">
        <v>333</v>
      </c>
      <c r="C64" s="2" t="s">
        <v>1321</v>
      </c>
      <c r="D64" s="2" t="s">
        <v>1305</v>
      </c>
      <c r="E64" s="2">
        <v>192</v>
      </c>
      <c r="F64" s="2"/>
      <c r="G64" s="2">
        <v>192</v>
      </c>
      <c r="H64" s="2" t="s">
        <v>112</v>
      </c>
      <c r="I64" s="2" t="s">
        <v>695</v>
      </c>
      <c r="J64" s="2" t="s">
        <v>2537</v>
      </c>
      <c r="K64" s="2" t="s">
        <v>1855</v>
      </c>
      <c r="L64" s="2" t="s">
        <v>3493</v>
      </c>
      <c r="M64" s="2" t="str">
        <f t="shared" si="0"/>
        <v>03</v>
      </c>
      <c r="N64" s="2" t="s">
        <v>3514</v>
      </c>
      <c r="O64" s="2" t="s">
        <v>4373</v>
      </c>
      <c r="P64" s="2" t="s">
        <v>4375</v>
      </c>
    </row>
    <row r="65" spans="1:16">
      <c r="A65" s="4">
        <v>46244.408310185187</v>
      </c>
      <c r="B65" s="2" t="s">
        <v>101</v>
      </c>
      <c r="C65" s="2" t="s">
        <v>1321</v>
      </c>
      <c r="D65" s="2" t="s">
        <v>1305</v>
      </c>
      <c r="E65" s="2">
        <v>192</v>
      </c>
      <c r="F65" s="2"/>
      <c r="G65" s="2">
        <v>192</v>
      </c>
      <c r="H65" s="2" t="s">
        <v>112</v>
      </c>
      <c r="I65" s="2" t="s">
        <v>695</v>
      </c>
      <c r="J65" s="2" t="s">
        <v>2537</v>
      </c>
      <c r="K65" s="2" t="s">
        <v>1855</v>
      </c>
      <c r="L65" s="2" t="s">
        <v>3493</v>
      </c>
      <c r="M65" s="2" t="str">
        <f t="shared" si="0"/>
        <v>03</v>
      </c>
      <c r="N65" s="2" t="s">
        <v>2845</v>
      </c>
      <c r="O65" s="2" t="s">
        <v>4373</v>
      </c>
      <c r="P65" s="2" t="s">
        <v>4375</v>
      </c>
    </row>
    <row r="66" spans="1:16">
      <c r="A66" s="4">
        <v>46244.405324074076</v>
      </c>
      <c r="B66" s="2" t="s">
        <v>609</v>
      </c>
      <c r="C66" s="2" t="s">
        <v>1321</v>
      </c>
      <c r="D66" s="2" t="s">
        <v>1305</v>
      </c>
      <c r="E66" s="2">
        <v>192</v>
      </c>
      <c r="F66" s="2"/>
      <c r="G66" s="2">
        <v>192</v>
      </c>
      <c r="H66" s="2" t="s">
        <v>112</v>
      </c>
      <c r="I66" s="2" t="s">
        <v>695</v>
      </c>
      <c r="J66" s="2" t="s">
        <v>2537</v>
      </c>
      <c r="K66" s="2" t="s">
        <v>1855</v>
      </c>
      <c r="L66" s="2" t="s">
        <v>3493</v>
      </c>
      <c r="M66" s="2" t="str">
        <f t="shared" ref="M66:M129" si="4">RIGHT(L66,2)</f>
        <v>03</v>
      </c>
      <c r="N66" s="2" t="s">
        <v>3818</v>
      </c>
      <c r="O66" s="2" t="s">
        <v>4373</v>
      </c>
      <c r="P66" s="2" t="s">
        <v>4375</v>
      </c>
    </row>
    <row r="67" spans="1:16">
      <c r="A67" s="4">
        <v>46244.40525462963</v>
      </c>
      <c r="B67" s="2" t="s">
        <v>2047</v>
      </c>
      <c r="C67" s="2" t="s">
        <v>1321</v>
      </c>
      <c r="D67" s="2" t="s">
        <v>1305</v>
      </c>
      <c r="E67" s="2">
        <v>192</v>
      </c>
      <c r="F67" s="2"/>
      <c r="G67" s="2">
        <v>192</v>
      </c>
      <c r="H67" s="2" t="s">
        <v>112</v>
      </c>
      <c r="I67" s="2" t="s">
        <v>695</v>
      </c>
      <c r="J67" s="2" t="s">
        <v>2537</v>
      </c>
      <c r="K67" s="2" t="s">
        <v>1855</v>
      </c>
      <c r="L67" s="2" t="s">
        <v>3493</v>
      </c>
      <c r="M67" s="2" t="str">
        <f t="shared" si="4"/>
        <v>03</v>
      </c>
      <c r="N67" s="2" t="s">
        <v>2134</v>
      </c>
      <c r="O67" s="2" t="s">
        <v>4373</v>
      </c>
      <c r="P67" s="2" t="s">
        <v>4375</v>
      </c>
    </row>
    <row r="68" spans="1:16">
      <c r="A68" s="4">
        <v>46244.404016203705</v>
      </c>
      <c r="B68" s="2" t="s">
        <v>3632</v>
      </c>
      <c r="C68" s="2" t="s">
        <v>1321</v>
      </c>
      <c r="D68" s="2" t="s">
        <v>1305</v>
      </c>
      <c r="E68" s="2">
        <v>192</v>
      </c>
      <c r="F68" s="2"/>
      <c r="G68" s="2">
        <v>192</v>
      </c>
      <c r="H68" s="2" t="s">
        <v>112</v>
      </c>
      <c r="I68" s="2" t="s">
        <v>695</v>
      </c>
      <c r="J68" s="2" t="s">
        <v>2537</v>
      </c>
      <c r="K68" s="2" t="s">
        <v>1855</v>
      </c>
      <c r="L68" s="2" t="s">
        <v>3493</v>
      </c>
      <c r="M68" s="2" t="str">
        <f t="shared" si="4"/>
        <v>03</v>
      </c>
      <c r="N68" s="2" t="s">
        <v>1710</v>
      </c>
      <c r="O68" s="2" t="s">
        <v>4373</v>
      </c>
      <c r="P68" s="2" t="s">
        <v>4375</v>
      </c>
    </row>
    <row r="69" spans="1:16">
      <c r="A69" s="4">
        <v>46244.403935185182</v>
      </c>
      <c r="B69" s="2" t="s">
        <v>462</v>
      </c>
      <c r="C69" s="2" t="s">
        <v>1321</v>
      </c>
      <c r="D69" s="2" t="s">
        <v>1305</v>
      </c>
      <c r="E69" s="2">
        <v>192</v>
      </c>
      <c r="F69" s="2"/>
      <c r="G69" s="2">
        <v>192</v>
      </c>
      <c r="H69" s="2" t="s">
        <v>112</v>
      </c>
      <c r="I69" s="2" t="s">
        <v>695</v>
      </c>
      <c r="J69" s="2" t="s">
        <v>2537</v>
      </c>
      <c r="K69" s="2" t="s">
        <v>1855</v>
      </c>
      <c r="L69" s="2" t="s">
        <v>3493</v>
      </c>
      <c r="M69" s="2" t="str">
        <f t="shared" si="4"/>
        <v>03</v>
      </c>
      <c r="N69" s="2" t="s">
        <v>2138</v>
      </c>
      <c r="O69" s="2" t="s">
        <v>4373</v>
      </c>
      <c r="P69" s="2" t="s">
        <v>4375</v>
      </c>
    </row>
    <row r="70" spans="1:16">
      <c r="A70" s="4">
        <v>46244.40289351852</v>
      </c>
      <c r="B70" s="2" t="s">
        <v>599</v>
      </c>
      <c r="C70" s="2" t="s">
        <v>1321</v>
      </c>
      <c r="D70" s="2" t="s">
        <v>1305</v>
      </c>
      <c r="E70" s="2">
        <v>192</v>
      </c>
      <c r="F70" s="2"/>
      <c r="G70" s="2">
        <v>192</v>
      </c>
      <c r="H70" s="2" t="s">
        <v>112</v>
      </c>
      <c r="I70" s="2" t="s">
        <v>695</v>
      </c>
      <c r="J70" s="2" t="s">
        <v>2537</v>
      </c>
      <c r="K70" s="2" t="s">
        <v>1855</v>
      </c>
      <c r="L70" s="2" t="s">
        <v>3493</v>
      </c>
      <c r="M70" s="2" t="str">
        <f t="shared" si="4"/>
        <v>03</v>
      </c>
      <c r="N70" s="2" t="s">
        <v>2293</v>
      </c>
      <c r="O70" s="2" t="s">
        <v>4373</v>
      </c>
      <c r="P70" s="2" t="s">
        <v>4375</v>
      </c>
    </row>
    <row r="71" spans="1:16">
      <c r="A71" s="4">
        <v>46244.40283564815</v>
      </c>
      <c r="B71" s="2" t="s">
        <v>1932</v>
      </c>
      <c r="C71" s="2" t="s">
        <v>1321</v>
      </c>
      <c r="D71" s="2" t="s">
        <v>1305</v>
      </c>
      <c r="E71" s="2">
        <v>192</v>
      </c>
      <c r="F71" s="2"/>
      <c r="G71" s="2">
        <v>192</v>
      </c>
      <c r="H71" s="2" t="s">
        <v>112</v>
      </c>
      <c r="I71" s="2" t="s">
        <v>695</v>
      </c>
      <c r="J71" s="2" t="s">
        <v>2537</v>
      </c>
      <c r="K71" s="2" t="s">
        <v>1855</v>
      </c>
      <c r="L71" s="2" t="s">
        <v>3493</v>
      </c>
      <c r="M71" s="2" t="str">
        <f t="shared" si="4"/>
        <v>03</v>
      </c>
      <c r="N71" s="2" t="s">
        <v>1365</v>
      </c>
      <c r="O71" s="2" t="s">
        <v>4373</v>
      </c>
      <c r="P71" s="2" t="s">
        <v>4375</v>
      </c>
    </row>
    <row r="72" spans="1:16">
      <c r="A72" s="4">
        <v>46244.401597222219</v>
      </c>
      <c r="B72" s="2" t="s">
        <v>3875</v>
      </c>
      <c r="C72" s="2" t="s">
        <v>1321</v>
      </c>
      <c r="D72" s="2" t="s">
        <v>1305</v>
      </c>
      <c r="E72" s="2">
        <v>192</v>
      </c>
      <c r="F72" s="2"/>
      <c r="G72" s="2">
        <v>192</v>
      </c>
      <c r="H72" s="2" t="s">
        <v>112</v>
      </c>
      <c r="I72" s="2" t="s">
        <v>695</v>
      </c>
      <c r="J72" s="2" t="s">
        <v>2537</v>
      </c>
      <c r="K72" s="2" t="s">
        <v>1855</v>
      </c>
      <c r="L72" s="2" t="s">
        <v>3493</v>
      </c>
      <c r="M72" s="2" t="str">
        <f t="shared" si="4"/>
        <v>03</v>
      </c>
      <c r="N72" s="2" t="s">
        <v>3266</v>
      </c>
      <c r="O72" s="2" t="s">
        <v>4373</v>
      </c>
      <c r="P72" s="2" t="s">
        <v>4375</v>
      </c>
    </row>
    <row r="73" spans="1:16">
      <c r="A73" s="4">
        <v>46244.401539351849</v>
      </c>
      <c r="B73" s="2" t="s">
        <v>300</v>
      </c>
      <c r="C73" s="2" t="s">
        <v>1321</v>
      </c>
      <c r="D73" s="2" t="s">
        <v>1305</v>
      </c>
      <c r="E73" s="2">
        <v>192</v>
      </c>
      <c r="F73" s="2"/>
      <c r="G73" s="2">
        <v>192</v>
      </c>
      <c r="H73" s="2" t="s">
        <v>112</v>
      </c>
      <c r="I73" s="2" t="s">
        <v>695</v>
      </c>
      <c r="J73" s="2" t="s">
        <v>2537</v>
      </c>
      <c r="K73" s="2" t="s">
        <v>1855</v>
      </c>
      <c r="L73" s="2" t="s">
        <v>3493</v>
      </c>
      <c r="M73" s="2" t="str">
        <f t="shared" si="4"/>
        <v>03</v>
      </c>
      <c r="N73" s="2" t="s">
        <v>3376</v>
      </c>
      <c r="O73" s="2" t="s">
        <v>4373</v>
      </c>
      <c r="P73" s="2" t="s">
        <v>4375</v>
      </c>
    </row>
    <row r="74" spans="1:16">
      <c r="A74" s="4">
        <v>46244.400810185187</v>
      </c>
      <c r="B74" s="2" t="s">
        <v>65</v>
      </c>
      <c r="C74" s="2" t="s">
        <v>1321</v>
      </c>
      <c r="D74" s="2" t="s">
        <v>1305</v>
      </c>
      <c r="E74" s="2">
        <v>192</v>
      </c>
      <c r="F74" s="2"/>
      <c r="G74" s="2">
        <v>192</v>
      </c>
      <c r="H74" s="2" t="s">
        <v>112</v>
      </c>
      <c r="I74" s="2" t="s">
        <v>695</v>
      </c>
      <c r="J74" s="2" t="s">
        <v>2537</v>
      </c>
      <c r="K74" s="2" t="s">
        <v>1855</v>
      </c>
      <c r="L74" s="2" t="s">
        <v>3493</v>
      </c>
      <c r="M74" s="2" t="str">
        <f t="shared" si="4"/>
        <v>03</v>
      </c>
      <c r="N74" s="2" t="s">
        <v>2136</v>
      </c>
      <c r="O74" s="2" t="s">
        <v>4373</v>
      </c>
      <c r="P74" s="2" t="s">
        <v>4375</v>
      </c>
    </row>
    <row r="75" spans="1:16">
      <c r="A75" s="4">
        <v>46244.40042824074</v>
      </c>
      <c r="B75" s="2" t="s">
        <v>3708</v>
      </c>
      <c r="C75" s="2" t="s">
        <v>1321</v>
      </c>
      <c r="D75" s="2" t="s">
        <v>1305</v>
      </c>
      <c r="E75" s="2">
        <v>192</v>
      </c>
      <c r="F75" s="2"/>
      <c r="G75" s="2">
        <v>192</v>
      </c>
      <c r="H75" s="2" t="s">
        <v>112</v>
      </c>
      <c r="I75" s="2" t="s">
        <v>695</v>
      </c>
      <c r="J75" s="2" t="s">
        <v>2537</v>
      </c>
      <c r="K75" s="2" t="s">
        <v>1855</v>
      </c>
      <c r="L75" s="2" t="s">
        <v>3493</v>
      </c>
      <c r="M75" s="2" t="str">
        <f t="shared" si="4"/>
        <v>03</v>
      </c>
      <c r="N75" s="2" t="s">
        <v>2103</v>
      </c>
      <c r="O75" s="2" t="s">
        <v>4373</v>
      </c>
      <c r="P75" s="2" t="s">
        <v>4375</v>
      </c>
    </row>
    <row r="76" spans="1:16">
      <c r="A76" s="4">
        <v>46244.399571759262</v>
      </c>
      <c r="B76" s="2" t="s">
        <v>4113</v>
      </c>
      <c r="C76" s="2" t="s">
        <v>1321</v>
      </c>
      <c r="D76" s="2" t="s">
        <v>1305</v>
      </c>
      <c r="E76" s="2">
        <v>192</v>
      </c>
      <c r="F76" s="2"/>
      <c r="G76" s="2">
        <v>192</v>
      </c>
      <c r="H76" s="2" t="s">
        <v>112</v>
      </c>
      <c r="I76" s="2" t="s">
        <v>695</v>
      </c>
      <c r="J76" s="2" t="s">
        <v>2537</v>
      </c>
      <c r="K76" s="2" t="s">
        <v>1855</v>
      </c>
      <c r="L76" s="2" t="s">
        <v>3493</v>
      </c>
      <c r="M76" s="2" t="str">
        <f t="shared" si="4"/>
        <v>03</v>
      </c>
      <c r="N76" s="2" t="s">
        <v>4331</v>
      </c>
      <c r="O76" s="2" t="s">
        <v>4373</v>
      </c>
      <c r="P76" s="2" t="s">
        <v>4375</v>
      </c>
    </row>
    <row r="77" spans="1:16">
      <c r="A77" s="4">
        <v>46244.399375000001</v>
      </c>
      <c r="B77" s="2" t="s">
        <v>2449</v>
      </c>
      <c r="C77" s="2" t="s">
        <v>1321</v>
      </c>
      <c r="D77" s="2" t="s">
        <v>1305</v>
      </c>
      <c r="E77" s="2">
        <v>192</v>
      </c>
      <c r="F77" s="2"/>
      <c r="G77" s="2">
        <v>192</v>
      </c>
      <c r="H77" s="2" t="s">
        <v>112</v>
      </c>
      <c r="I77" s="2" t="s">
        <v>695</v>
      </c>
      <c r="J77" s="2" t="s">
        <v>2537</v>
      </c>
      <c r="K77" s="2" t="s">
        <v>1855</v>
      </c>
      <c r="L77" s="2" t="s">
        <v>3493</v>
      </c>
      <c r="M77" s="2" t="str">
        <f t="shared" si="4"/>
        <v>03</v>
      </c>
      <c r="N77" s="2" t="s">
        <v>33</v>
      </c>
      <c r="O77" s="2" t="s">
        <v>4373</v>
      </c>
      <c r="P77" s="2" t="s">
        <v>4375</v>
      </c>
    </row>
    <row r="78" spans="1:16">
      <c r="A78" s="4">
        <v>46245.088541666664</v>
      </c>
      <c r="B78" s="2" t="s">
        <v>3654</v>
      </c>
      <c r="C78" s="2" t="s">
        <v>1272</v>
      </c>
      <c r="D78" s="2" t="s">
        <v>1304</v>
      </c>
      <c r="E78" s="2">
        <v>12</v>
      </c>
      <c r="F78" s="2">
        <v>0</v>
      </c>
      <c r="G78" s="2">
        <v>12</v>
      </c>
      <c r="H78" s="2" t="s">
        <v>4101</v>
      </c>
      <c r="I78" s="2" t="s">
        <v>695</v>
      </c>
      <c r="J78" s="2" t="s">
        <v>2537</v>
      </c>
      <c r="K78" s="2" t="s">
        <v>1855</v>
      </c>
      <c r="L78" s="2" t="s">
        <v>2399</v>
      </c>
      <c r="M78" s="2" t="str">
        <f t="shared" si="4"/>
        <v>05</v>
      </c>
      <c r="N78" s="2" t="s">
        <v>1302</v>
      </c>
      <c r="O78" s="2" t="s">
        <v>4373</v>
      </c>
      <c r="P78" s="2" t="s">
        <v>4375</v>
      </c>
    </row>
    <row r="79" spans="1:16">
      <c r="A79" s="4">
        <v>46244.591064814813</v>
      </c>
      <c r="B79" s="2" t="s">
        <v>3695</v>
      </c>
      <c r="C79" s="2" t="s">
        <v>1272</v>
      </c>
      <c r="D79" s="2" t="s">
        <v>1304</v>
      </c>
      <c r="E79" s="2">
        <v>12</v>
      </c>
      <c r="F79" s="2"/>
      <c r="G79" s="2">
        <v>12</v>
      </c>
      <c r="H79" s="2" t="s">
        <v>4101</v>
      </c>
      <c r="I79" s="2" t="s">
        <v>695</v>
      </c>
      <c r="J79" s="2" t="s">
        <v>2537</v>
      </c>
      <c r="K79" s="2" t="s">
        <v>1855</v>
      </c>
      <c r="L79" s="2" t="s">
        <v>2399</v>
      </c>
      <c r="M79" s="2" t="str">
        <f t="shared" si="4"/>
        <v>05</v>
      </c>
      <c r="N79" s="2" t="s">
        <v>69</v>
      </c>
      <c r="O79" s="2" t="s">
        <v>4373</v>
      </c>
      <c r="P79" s="2" t="s">
        <v>4375</v>
      </c>
    </row>
    <row r="80" spans="1:16">
      <c r="A80" s="4">
        <v>46244.590138888889</v>
      </c>
      <c r="B80" s="2" t="s">
        <v>895</v>
      </c>
      <c r="C80" s="2" t="s">
        <v>1272</v>
      </c>
      <c r="D80" s="2" t="s">
        <v>1304</v>
      </c>
      <c r="E80" s="2">
        <v>12</v>
      </c>
      <c r="F80" s="2"/>
      <c r="G80" s="2">
        <v>12</v>
      </c>
      <c r="H80" s="2" t="s">
        <v>4101</v>
      </c>
      <c r="I80" s="2" t="s">
        <v>695</v>
      </c>
      <c r="J80" s="2" t="s">
        <v>2537</v>
      </c>
      <c r="K80" s="2" t="s">
        <v>1855</v>
      </c>
      <c r="L80" s="2" t="s">
        <v>2399</v>
      </c>
      <c r="M80" s="2" t="str">
        <f t="shared" si="4"/>
        <v>05</v>
      </c>
      <c r="N80" s="2" t="s">
        <v>2602</v>
      </c>
      <c r="O80" s="2" t="s">
        <v>4373</v>
      </c>
      <c r="P80" s="2" t="s">
        <v>4375</v>
      </c>
    </row>
    <row r="81" spans="1:16">
      <c r="A81" s="4">
        <v>46244.588136574072</v>
      </c>
      <c r="B81" s="2" t="s">
        <v>457</v>
      </c>
      <c r="C81" s="2" t="s">
        <v>1272</v>
      </c>
      <c r="D81" s="2" t="s">
        <v>1304</v>
      </c>
      <c r="E81" s="2">
        <v>12</v>
      </c>
      <c r="F81" s="2"/>
      <c r="G81" s="2">
        <v>12</v>
      </c>
      <c r="H81" s="2" t="s">
        <v>4101</v>
      </c>
      <c r="I81" s="2" t="s">
        <v>695</v>
      </c>
      <c r="J81" s="2" t="s">
        <v>2537</v>
      </c>
      <c r="K81" s="2" t="s">
        <v>1855</v>
      </c>
      <c r="L81" s="2" t="s">
        <v>2399</v>
      </c>
      <c r="M81" s="2" t="str">
        <f t="shared" si="4"/>
        <v>05</v>
      </c>
      <c r="N81" s="2" t="s">
        <v>5</v>
      </c>
      <c r="O81" s="2" t="s">
        <v>4373</v>
      </c>
      <c r="P81" s="2" t="s">
        <v>4375</v>
      </c>
    </row>
    <row r="82" spans="1:16">
      <c r="A82" s="4">
        <v>46244.58803240741</v>
      </c>
      <c r="B82" s="2" t="s">
        <v>491</v>
      </c>
      <c r="C82" s="2" t="s">
        <v>1272</v>
      </c>
      <c r="D82" s="2" t="s">
        <v>1304</v>
      </c>
      <c r="E82" s="2">
        <v>12</v>
      </c>
      <c r="F82" s="2"/>
      <c r="G82" s="2">
        <v>12</v>
      </c>
      <c r="H82" s="2" t="s">
        <v>4101</v>
      </c>
      <c r="I82" s="2" t="s">
        <v>695</v>
      </c>
      <c r="J82" s="2" t="s">
        <v>2537</v>
      </c>
      <c r="K82" s="2" t="s">
        <v>1855</v>
      </c>
      <c r="L82" s="2" t="s">
        <v>2399</v>
      </c>
      <c r="M82" s="2" t="str">
        <f t="shared" si="4"/>
        <v>05</v>
      </c>
      <c r="N82" s="2" t="s">
        <v>3355</v>
      </c>
      <c r="O82" s="2" t="s">
        <v>4373</v>
      </c>
      <c r="P82" s="2" t="s">
        <v>4375</v>
      </c>
    </row>
    <row r="83" spans="1:16">
      <c r="A83" s="4">
        <v>46244.586284722223</v>
      </c>
      <c r="B83" s="2" t="s">
        <v>3728</v>
      </c>
      <c r="C83" s="2" t="s">
        <v>1272</v>
      </c>
      <c r="D83" s="2" t="s">
        <v>1304</v>
      </c>
      <c r="E83" s="2">
        <v>12</v>
      </c>
      <c r="F83" s="2"/>
      <c r="G83" s="2">
        <v>12</v>
      </c>
      <c r="H83" s="2" t="s">
        <v>4101</v>
      </c>
      <c r="I83" s="2" t="s">
        <v>695</v>
      </c>
      <c r="J83" s="2" t="s">
        <v>2537</v>
      </c>
      <c r="K83" s="2" t="s">
        <v>1855</v>
      </c>
      <c r="L83" s="2" t="s">
        <v>2399</v>
      </c>
      <c r="M83" s="2" t="str">
        <f t="shared" si="4"/>
        <v>05</v>
      </c>
      <c r="N83" s="2" t="s">
        <v>725</v>
      </c>
      <c r="O83" s="2" t="s">
        <v>4373</v>
      </c>
      <c r="P83" s="2" t="s">
        <v>4375</v>
      </c>
    </row>
    <row r="84" spans="1:16">
      <c r="A84" s="4">
        <v>46244.586099537039</v>
      </c>
      <c r="B84" s="2" t="s">
        <v>3748</v>
      </c>
      <c r="C84" s="2" t="s">
        <v>1272</v>
      </c>
      <c r="D84" s="2" t="s">
        <v>1304</v>
      </c>
      <c r="E84" s="2">
        <v>12</v>
      </c>
      <c r="F84" s="2"/>
      <c r="G84" s="2">
        <v>12</v>
      </c>
      <c r="H84" s="2" t="s">
        <v>4101</v>
      </c>
      <c r="I84" s="2" t="s">
        <v>695</v>
      </c>
      <c r="J84" s="2" t="s">
        <v>2537</v>
      </c>
      <c r="K84" s="2" t="s">
        <v>1855</v>
      </c>
      <c r="L84" s="2" t="s">
        <v>2399</v>
      </c>
      <c r="M84" s="2" t="str">
        <f t="shared" si="4"/>
        <v>05</v>
      </c>
      <c r="N84" s="2" t="s">
        <v>3965</v>
      </c>
      <c r="O84" s="2" t="s">
        <v>4373</v>
      </c>
      <c r="P84" s="2" t="s">
        <v>4375</v>
      </c>
    </row>
    <row r="85" spans="1:16">
      <c r="A85" s="4">
        <v>46244.584872685184</v>
      </c>
      <c r="B85" s="2" t="s">
        <v>3779</v>
      </c>
      <c r="C85" s="2" t="s">
        <v>1272</v>
      </c>
      <c r="D85" s="2" t="s">
        <v>1304</v>
      </c>
      <c r="E85" s="2">
        <v>12</v>
      </c>
      <c r="F85" s="2"/>
      <c r="G85" s="2">
        <v>12</v>
      </c>
      <c r="H85" s="2" t="s">
        <v>4101</v>
      </c>
      <c r="I85" s="2" t="s">
        <v>695</v>
      </c>
      <c r="J85" s="2" t="s">
        <v>2537</v>
      </c>
      <c r="K85" s="2" t="s">
        <v>1855</v>
      </c>
      <c r="L85" s="2" t="s">
        <v>2399</v>
      </c>
      <c r="M85" s="2" t="str">
        <f t="shared" si="4"/>
        <v>05</v>
      </c>
      <c r="N85" s="2" t="s">
        <v>9</v>
      </c>
      <c r="O85" s="2" t="s">
        <v>4373</v>
      </c>
      <c r="P85" s="2" t="s">
        <v>4375</v>
      </c>
    </row>
    <row r="86" spans="1:16">
      <c r="A86" s="4">
        <v>46244.582835648151</v>
      </c>
      <c r="B86" s="2" t="s">
        <v>1315</v>
      </c>
      <c r="C86" s="2" t="s">
        <v>1272</v>
      </c>
      <c r="D86" s="2" t="s">
        <v>1304</v>
      </c>
      <c r="E86" s="2">
        <v>12</v>
      </c>
      <c r="F86" s="2"/>
      <c r="G86" s="2">
        <v>12</v>
      </c>
      <c r="H86" s="2" t="s">
        <v>4101</v>
      </c>
      <c r="I86" s="2" t="s">
        <v>695</v>
      </c>
      <c r="J86" s="2" t="s">
        <v>2537</v>
      </c>
      <c r="K86" s="2" t="s">
        <v>1855</v>
      </c>
      <c r="L86" s="2" t="s">
        <v>2399</v>
      </c>
      <c r="M86" s="2" t="str">
        <f t="shared" si="4"/>
        <v>05</v>
      </c>
      <c r="N86" s="2" t="s">
        <v>1773</v>
      </c>
      <c r="O86" s="2" t="s">
        <v>4373</v>
      </c>
      <c r="P86" s="2" t="s">
        <v>4375</v>
      </c>
    </row>
    <row r="87" spans="1:16">
      <c r="A87" s="4">
        <v>46244.582337962966</v>
      </c>
      <c r="B87" s="2" t="s">
        <v>4186</v>
      </c>
      <c r="C87" s="2" t="s">
        <v>1272</v>
      </c>
      <c r="D87" s="2" t="s">
        <v>1304</v>
      </c>
      <c r="E87" s="2">
        <v>12</v>
      </c>
      <c r="F87" s="2"/>
      <c r="G87" s="2">
        <v>12</v>
      </c>
      <c r="H87" s="2" t="s">
        <v>4101</v>
      </c>
      <c r="I87" s="2" t="s">
        <v>695</v>
      </c>
      <c r="J87" s="2" t="s">
        <v>2537</v>
      </c>
      <c r="K87" s="2" t="s">
        <v>1855</v>
      </c>
      <c r="L87" s="2" t="s">
        <v>2399</v>
      </c>
      <c r="M87" s="2" t="str">
        <f t="shared" si="4"/>
        <v>05</v>
      </c>
      <c r="N87" s="2" t="s">
        <v>1821</v>
      </c>
      <c r="O87" s="2" t="s">
        <v>4373</v>
      </c>
      <c r="P87" s="2" t="s">
        <v>4375</v>
      </c>
    </row>
    <row r="88" spans="1:16">
      <c r="A88" s="4">
        <v>46244.579872685186</v>
      </c>
      <c r="B88" s="2" t="s">
        <v>1310</v>
      </c>
      <c r="C88" s="2" t="s">
        <v>1272</v>
      </c>
      <c r="D88" s="2" t="s">
        <v>1304</v>
      </c>
      <c r="E88" s="2">
        <v>12</v>
      </c>
      <c r="F88" s="2"/>
      <c r="G88" s="2">
        <v>12</v>
      </c>
      <c r="H88" s="2" t="s">
        <v>4101</v>
      </c>
      <c r="I88" s="2" t="s">
        <v>695</v>
      </c>
      <c r="J88" s="2" t="s">
        <v>2537</v>
      </c>
      <c r="K88" s="2" t="s">
        <v>1855</v>
      </c>
      <c r="L88" s="2" t="s">
        <v>2399</v>
      </c>
      <c r="M88" s="2" t="str">
        <f t="shared" si="4"/>
        <v>05</v>
      </c>
      <c r="N88" s="2" t="s">
        <v>2364</v>
      </c>
      <c r="O88" s="2" t="s">
        <v>4373</v>
      </c>
      <c r="P88" s="2" t="s">
        <v>4375</v>
      </c>
    </row>
    <row r="89" spans="1:16">
      <c r="A89" s="4">
        <v>46244.579525462963</v>
      </c>
      <c r="B89" s="2" t="s">
        <v>2224</v>
      </c>
      <c r="C89" s="2" t="s">
        <v>1272</v>
      </c>
      <c r="D89" s="2" t="s">
        <v>1304</v>
      </c>
      <c r="E89" s="2">
        <v>12</v>
      </c>
      <c r="F89" s="2"/>
      <c r="G89" s="2">
        <v>12</v>
      </c>
      <c r="H89" s="2" t="s">
        <v>4101</v>
      </c>
      <c r="I89" s="2" t="s">
        <v>695</v>
      </c>
      <c r="J89" s="2" t="s">
        <v>2537</v>
      </c>
      <c r="K89" s="2" t="s">
        <v>1855</v>
      </c>
      <c r="L89" s="2" t="s">
        <v>2399</v>
      </c>
      <c r="M89" s="2" t="str">
        <f t="shared" si="4"/>
        <v>05</v>
      </c>
      <c r="N89" s="2" t="s">
        <v>1781</v>
      </c>
      <c r="O89" s="2" t="s">
        <v>4373</v>
      </c>
      <c r="P89" s="2" t="s">
        <v>4375</v>
      </c>
    </row>
    <row r="90" spans="1:16">
      <c r="A90" s="4">
        <v>46244.578321759262</v>
      </c>
      <c r="B90" s="2" t="s">
        <v>3609</v>
      </c>
      <c r="C90" s="2" t="s">
        <v>1272</v>
      </c>
      <c r="D90" s="2" t="s">
        <v>1304</v>
      </c>
      <c r="E90" s="2">
        <v>12</v>
      </c>
      <c r="F90" s="2"/>
      <c r="G90" s="2">
        <v>12</v>
      </c>
      <c r="H90" s="2" t="s">
        <v>4101</v>
      </c>
      <c r="I90" s="2" t="s">
        <v>695</v>
      </c>
      <c r="J90" s="2" t="s">
        <v>2537</v>
      </c>
      <c r="K90" s="2" t="s">
        <v>1855</v>
      </c>
      <c r="L90" s="2" t="s">
        <v>2399</v>
      </c>
      <c r="M90" s="2" t="str">
        <f t="shared" si="4"/>
        <v>05</v>
      </c>
      <c r="N90" s="2" t="s">
        <v>3533</v>
      </c>
      <c r="O90" s="2" t="s">
        <v>4373</v>
      </c>
      <c r="P90" s="2" t="s">
        <v>4375</v>
      </c>
    </row>
    <row r="91" spans="1:16">
      <c r="A91" s="4">
        <v>46244.577349537038</v>
      </c>
      <c r="B91" s="2" t="s">
        <v>2057</v>
      </c>
      <c r="C91" s="2" t="s">
        <v>1272</v>
      </c>
      <c r="D91" s="2" t="s">
        <v>1304</v>
      </c>
      <c r="E91" s="2">
        <v>12</v>
      </c>
      <c r="F91" s="2"/>
      <c r="G91" s="2">
        <v>12</v>
      </c>
      <c r="H91" s="2" t="s">
        <v>4101</v>
      </c>
      <c r="I91" s="2" t="s">
        <v>695</v>
      </c>
      <c r="J91" s="2" t="s">
        <v>2537</v>
      </c>
      <c r="K91" s="2" t="s">
        <v>1855</v>
      </c>
      <c r="L91" s="2" t="s">
        <v>2399</v>
      </c>
      <c r="M91" s="2" t="str">
        <f t="shared" si="4"/>
        <v>05</v>
      </c>
      <c r="N91" s="2" t="s">
        <v>1770</v>
      </c>
      <c r="O91" s="2" t="s">
        <v>4373</v>
      </c>
      <c r="P91" s="2" t="s">
        <v>4375</v>
      </c>
    </row>
    <row r="92" spans="1:16">
      <c r="A92" s="4">
        <v>46244.576840277776</v>
      </c>
      <c r="B92" s="2" t="s">
        <v>222</v>
      </c>
      <c r="C92" s="2" t="s">
        <v>1272</v>
      </c>
      <c r="D92" s="2" t="s">
        <v>1304</v>
      </c>
      <c r="E92" s="2">
        <v>12</v>
      </c>
      <c r="F92" s="2"/>
      <c r="G92" s="2">
        <v>12</v>
      </c>
      <c r="H92" s="2" t="s">
        <v>4101</v>
      </c>
      <c r="I92" s="2" t="s">
        <v>695</v>
      </c>
      <c r="J92" s="2" t="s">
        <v>2537</v>
      </c>
      <c r="K92" s="2" t="s">
        <v>1855</v>
      </c>
      <c r="L92" s="2" t="s">
        <v>2399</v>
      </c>
      <c r="M92" s="2" t="str">
        <f t="shared" si="4"/>
        <v>05</v>
      </c>
      <c r="N92" s="2" t="s">
        <v>3933</v>
      </c>
      <c r="O92" s="2" t="s">
        <v>4373</v>
      </c>
      <c r="P92" s="2" t="s">
        <v>4375</v>
      </c>
    </row>
    <row r="93" spans="1:16">
      <c r="A93" s="4">
        <v>46244.57603009259</v>
      </c>
      <c r="B93" s="2" t="s">
        <v>1433</v>
      </c>
      <c r="C93" s="2" t="s">
        <v>1272</v>
      </c>
      <c r="D93" s="2" t="s">
        <v>1304</v>
      </c>
      <c r="E93" s="2">
        <v>12</v>
      </c>
      <c r="F93" s="2"/>
      <c r="G93" s="2">
        <v>12</v>
      </c>
      <c r="H93" s="2" t="s">
        <v>4101</v>
      </c>
      <c r="I93" s="2" t="s">
        <v>695</v>
      </c>
      <c r="J93" s="2" t="s">
        <v>2537</v>
      </c>
      <c r="K93" s="2" t="s">
        <v>1855</v>
      </c>
      <c r="L93" s="2" t="s">
        <v>2399</v>
      </c>
      <c r="M93" s="2" t="str">
        <f t="shared" si="4"/>
        <v>05</v>
      </c>
      <c r="N93" s="2" t="s">
        <v>1368</v>
      </c>
      <c r="O93" s="2" t="s">
        <v>4373</v>
      </c>
      <c r="P93" s="2" t="s">
        <v>4375</v>
      </c>
    </row>
    <row r="94" spans="1:16">
      <c r="A94" s="4">
        <v>46244.574247685188</v>
      </c>
      <c r="B94" s="2" t="s">
        <v>3504</v>
      </c>
      <c r="C94" s="2" t="s">
        <v>1272</v>
      </c>
      <c r="D94" s="2" t="s">
        <v>1304</v>
      </c>
      <c r="E94" s="2">
        <v>12</v>
      </c>
      <c r="F94" s="2"/>
      <c r="G94" s="2">
        <v>12</v>
      </c>
      <c r="H94" s="2" t="s">
        <v>4101</v>
      </c>
      <c r="I94" s="2" t="s">
        <v>695</v>
      </c>
      <c r="J94" s="2" t="s">
        <v>2537</v>
      </c>
      <c r="K94" s="2" t="s">
        <v>1855</v>
      </c>
      <c r="L94" s="2" t="s">
        <v>2399</v>
      </c>
      <c r="M94" s="2" t="str">
        <f t="shared" si="4"/>
        <v>05</v>
      </c>
      <c r="N94" s="2" t="s">
        <v>388</v>
      </c>
      <c r="O94" s="2" t="s">
        <v>4373</v>
      </c>
      <c r="P94" s="2" t="s">
        <v>4375</v>
      </c>
    </row>
    <row r="95" spans="1:16">
      <c r="A95" s="4">
        <v>46244.573449074072</v>
      </c>
      <c r="B95" s="2" t="s">
        <v>1374</v>
      </c>
      <c r="C95" s="2" t="s">
        <v>1272</v>
      </c>
      <c r="D95" s="2" t="s">
        <v>1304</v>
      </c>
      <c r="E95" s="2">
        <v>12</v>
      </c>
      <c r="F95" s="2"/>
      <c r="G95" s="2">
        <v>12</v>
      </c>
      <c r="H95" s="2" t="s">
        <v>4101</v>
      </c>
      <c r="I95" s="2" t="s">
        <v>695</v>
      </c>
      <c r="J95" s="2" t="s">
        <v>2537</v>
      </c>
      <c r="K95" s="2" t="s">
        <v>1855</v>
      </c>
      <c r="L95" s="2" t="s">
        <v>2399</v>
      </c>
      <c r="M95" s="2" t="str">
        <f t="shared" si="4"/>
        <v>05</v>
      </c>
      <c r="N95" s="2" t="s">
        <v>960</v>
      </c>
      <c r="O95" s="2" t="s">
        <v>4373</v>
      </c>
      <c r="P95" s="2" t="s">
        <v>4375</v>
      </c>
    </row>
    <row r="96" spans="1:16">
      <c r="A96" s="4">
        <v>46244.572962962964</v>
      </c>
      <c r="B96" s="2" t="s">
        <v>2425</v>
      </c>
      <c r="C96" s="2" t="s">
        <v>1272</v>
      </c>
      <c r="D96" s="2" t="s">
        <v>1304</v>
      </c>
      <c r="E96" s="2">
        <v>12</v>
      </c>
      <c r="F96" s="2"/>
      <c r="G96" s="2">
        <v>12</v>
      </c>
      <c r="H96" s="2" t="s">
        <v>4101</v>
      </c>
      <c r="I96" s="2" t="s">
        <v>695</v>
      </c>
      <c r="J96" s="2" t="s">
        <v>2537</v>
      </c>
      <c r="K96" s="2" t="s">
        <v>1855</v>
      </c>
      <c r="L96" s="2" t="s">
        <v>2399</v>
      </c>
      <c r="M96" s="2" t="str">
        <f t="shared" si="4"/>
        <v>05</v>
      </c>
      <c r="N96" s="2" t="s">
        <v>2776</v>
      </c>
      <c r="O96" s="2" t="s">
        <v>4373</v>
      </c>
      <c r="P96" s="2" t="s">
        <v>4375</v>
      </c>
    </row>
    <row r="97" spans="1:16">
      <c r="A97" s="4">
        <v>46244.571828703702</v>
      </c>
      <c r="B97" s="2" t="s">
        <v>1642</v>
      </c>
      <c r="C97" s="2" t="s">
        <v>1272</v>
      </c>
      <c r="D97" s="2" t="s">
        <v>1304</v>
      </c>
      <c r="E97" s="2">
        <v>12</v>
      </c>
      <c r="F97" s="2"/>
      <c r="G97" s="2">
        <v>12</v>
      </c>
      <c r="H97" s="2" t="s">
        <v>4101</v>
      </c>
      <c r="I97" s="2" t="s">
        <v>695</v>
      </c>
      <c r="J97" s="2" t="s">
        <v>2537</v>
      </c>
      <c r="K97" s="2" t="s">
        <v>1855</v>
      </c>
      <c r="L97" s="2" t="s">
        <v>2399</v>
      </c>
      <c r="M97" s="2" t="str">
        <f t="shared" si="4"/>
        <v>05</v>
      </c>
      <c r="N97" s="2" t="s">
        <v>3207</v>
      </c>
      <c r="O97" s="2" t="s">
        <v>4373</v>
      </c>
      <c r="P97" s="2" t="s">
        <v>4375</v>
      </c>
    </row>
    <row r="98" spans="1:16">
      <c r="A98" s="4">
        <v>46244.571493055555</v>
      </c>
      <c r="B98" s="2" t="s">
        <v>2076</v>
      </c>
      <c r="C98" s="2" t="s">
        <v>1272</v>
      </c>
      <c r="D98" s="2" t="s">
        <v>1304</v>
      </c>
      <c r="E98" s="2">
        <v>12</v>
      </c>
      <c r="F98" s="2"/>
      <c r="G98" s="2">
        <v>12</v>
      </c>
      <c r="H98" s="2" t="s">
        <v>4101</v>
      </c>
      <c r="I98" s="2" t="s">
        <v>695</v>
      </c>
      <c r="J98" s="2" t="s">
        <v>2537</v>
      </c>
      <c r="K98" s="2" t="s">
        <v>1855</v>
      </c>
      <c r="L98" s="2" t="s">
        <v>2399</v>
      </c>
      <c r="M98" s="2" t="str">
        <f t="shared" si="4"/>
        <v>05</v>
      </c>
      <c r="N98" s="2" t="s">
        <v>1537</v>
      </c>
      <c r="O98" s="2" t="s">
        <v>4373</v>
      </c>
      <c r="P98" s="2" t="s">
        <v>4375</v>
      </c>
    </row>
    <row r="99" spans="1:16">
      <c r="A99" s="4">
        <v>46244.570902777778</v>
      </c>
      <c r="B99" s="2" t="s">
        <v>351</v>
      </c>
      <c r="C99" s="2" t="s">
        <v>1272</v>
      </c>
      <c r="D99" s="2" t="s">
        <v>1304</v>
      </c>
      <c r="E99" s="2">
        <v>12</v>
      </c>
      <c r="F99" s="2"/>
      <c r="G99" s="2">
        <v>12</v>
      </c>
      <c r="H99" s="2" t="s">
        <v>4101</v>
      </c>
      <c r="I99" s="2" t="s">
        <v>695</v>
      </c>
      <c r="J99" s="2" t="s">
        <v>2537</v>
      </c>
      <c r="K99" s="2" t="s">
        <v>1855</v>
      </c>
      <c r="L99" s="2" t="s">
        <v>2399</v>
      </c>
      <c r="M99" s="2" t="str">
        <f t="shared" si="4"/>
        <v>05</v>
      </c>
      <c r="N99" s="2" t="s">
        <v>3643</v>
      </c>
      <c r="O99" s="2" t="s">
        <v>4373</v>
      </c>
      <c r="P99" s="2" t="s">
        <v>4375</v>
      </c>
    </row>
    <row r="100" spans="1:16">
      <c r="A100" s="4">
        <v>46244.568599537037</v>
      </c>
      <c r="B100" s="2" t="s">
        <v>1355</v>
      </c>
      <c r="C100" s="2" t="s">
        <v>1272</v>
      </c>
      <c r="D100" s="2" t="s">
        <v>1304</v>
      </c>
      <c r="E100" s="2">
        <v>12</v>
      </c>
      <c r="F100" s="2"/>
      <c r="G100" s="2">
        <v>12</v>
      </c>
      <c r="H100" s="2" t="s">
        <v>4101</v>
      </c>
      <c r="I100" s="2" t="s">
        <v>695</v>
      </c>
      <c r="J100" s="2" t="s">
        <v>2537</v>
      </c>
      <c r="K100" s="2" t="s">
        <v>1855</v>
      </c>
      <c r="L100" s="2" t="s">
        <v>2399</v>
      </c>
      <c r="M100" s="2" t="str">
        <f t="shared" si="4"/>
        <v>05</v>
      </c>
      <c r="N100" s="2" t="s">
        <v>3509</v>
      </c>
      <c r="O100" s="2" t="s">
        <v>4373</v>
      </c>
      <c r="P100" s="2" t="s">
        <v>4375</v>
      </c>
    </row>
    <row r="101" spans="1:16">
      <c r="A101" s="4">
        <v>46244.567546296297</v>
      </c>
      <c r="B101" s="2" t="s">
        <v>468</v>
      </c>
      <c r="C101" s="2" t="s">
        <v>1272</v>
      </c>
      <c r="D101" s="2" t="s">
        <v>1304</v>
      </c>
      <c r="E101" s="2">
        <v>12</v>
      </c>
      <c r="F101" s="2"/>
      <c r="G101" s="2">
        <v>12</v>
      </c>
      <c r="H101" s="2" t="s">
        <v>4101</v>
      </c>
      <c r="I101" s="2" t="s">
        <v>695</v>
      </c>
      <c r="J101" s="2" t="s">
        <v>2537</v>
      </c>
      <c r="K101" s="2" t="s">
        <v>1855</v>
      </c>
      <c r="L101" s="2" t="s">
        <v>2399</v>
      </c>
      <c r="M101" s="2" t="str">
        <f t="shared" si="4"/>
        <v>05</v>
      </c>
      <c r="N101" s="2" t="s">
        <v>890</v>
      </c>
      <c r="O101" s="2" t="s">
        <v>4373</v>
      </c>
      <c r="P101" s="2" t="s">
        <v>4375</v>
      </c>
    </row>
    <row r="102" spans="1:16">
      <c r="A102" s="4">
        <v>46244.566967592589</v>
      </c>
      <c r="B102" s="2" t="s">
        <v>2522</v>
      </c>
      <c r="C102" s="2" t="s">
        <v>1272</v>
      </c>
      <c r="D102" s="2" t="s">
        <v>1304</v>
      </c>
      <c r="E102" s="2">
        <v>12</v>
      </c>
      <c r="F102" s="2"/>
      <c r="G102" s="2">
        <v>12</v>
      </c>
      <c r="H102" s="2" t="s">
        <v>4101</v>
      </c>
      <c r="I102" s="2" t="s">
        <v>695</v>
      </c>
      <c r="J102" s="2" t="s">
        <v>2537</v>
      </c>
      <c r="K102" s="2" t="s">
        <v>1855</v>
      </c>
      <c r="L102" s="2" t="s">
        <v>2399</v>
      </c>
      <c r="M102" s="2" t="str">
        <f t="shared" si="4"/>
        <v>05</v>
      </c>
      <c r="N102" s="2" t="s">
        <v>143</v>
      </c>
      <c r="O102" s="2" t="s">
        <v>4373</v>
      </c>
      <c r="P102" s="2" t="s">
        <v>4375</v>
      </c>
    </row>
    <row r="103" spans="1:16">
      <c r="A103" s="4">
        <v>46244.565509259257</v>
      </c>
      <c r="B103" s="2" t="s">
        <v>3171</v>
      </c>
      <c r="C103" s="2" t="s">
        <v>1272</v>
      </c>
      <c r="D103" s="2" t="s">
        <v>1304</v>
      </c>
      <c r="E103" s="2">
        <v>12</v>
      </c>
      <c r="F103" s="2"/>
      <c r="G103" s="2">
        <v>12</v>
      </c>
      <c r="H103" s="2" t="s">
        <v>4101</v>
      </c>
      <c r="I103" s="2" t="s">
        <v>695</v>
      </c>
      <c r="J103" s="2" t="s">
        <v>2537</v>
      </c>
      <c r="K103" s="2" t="s">
        <v>1855</v>
      </c>
      <c r="L103" s="2" t="s">
        <v>2399</v>
      </c>
      <c r="M103" s="2" t="str">
        <f t="shared" si="4"/>
        <v>05</v>
      </c>
      <c r="N103" s="2" t="s">
        <v>456</v>
      </c>
      <c r="O103" s="2" t="s">
        <v>4373</v>
      </c>
      <c r="P103" s="2" t="s">
        <v>4375</v>
      </c>
    </row>
    <row r="104" spans="1:16">
      <c r="A104" s="4">
        <v>46244.564942129633</v>
      </c>
      <c r="B104" s="2" t="s">
        <v>465</v>
      </c>
      <c r="C104" s="2" t="s">
        <v>1272</v>
      </c>
      <c r="D104" s="2" t="s">
        <v>1304</v>
      </c>
      <c r="E104" s="2">
        <v>12</v>
      </c>
      <c r="F104" s="2"/>
      <c r="G104" s="2">
        <v>12</v>
      </c>
      <c r="H104" s="2" t="s">
        <v>4101</v>
      </c>
      <c r="I104" s="2" t="s">
        <v>695</v>
      </c>
      <c r="J104" s="2" t="s">
        <v>2537</v>
      </c>
      <c r="K104" s="2" t="s">
        <v>1855</v>
      </c>
      <c r="L104" s="2" t="s">
        <v>2399</v>
      </c>
      <c r="M104" s="2" t="str">
        <f t="shared" si="4"/>
        <v>05</v>
      </c>
      <c r="N104" s="2" t="s">
        <v>4057</v>
      </c>
      <c r="O104" s="2" t="s">
        <v>4373</v>
      </c>
      <c r="P104" s="2" t="s">
        <v>4375</v>
      </c>
    </row>
    <row r="105" spans="1:16">
      <c r="A105" s="4">
        <v>46244.563414351855</v>
      </c>
      <c r="B105" s="2" t="s">
        <v>758</v>
      </c>
      <c r="C105" s="2" t="s">
        <v>1272</v>
      </c>
      <c r="D105" s="2" t="s">
        <v>1304</v>
      </c>
      <c r="E105" s="2">
        <v>12</v>
      </c>
      <c r="F105" s="2"/>
      <c r="G105" s="2">
        <v>12</v>
      </c>
      <c r="H105" s="2" t="s">
        <v>4101</v>
      </c>
      <c r="I105" s="2" t="s">
        <v>695</v>
      </c>
      <c r="J105" s="2" t="s">
        <v>2537</v>
      </c>
      <c r="K105" s="2" t="s">
        <v>1855</v>
      </c>
      <c r="L105" s="2" t="s">
        <v>2399</v>
      </c>
      <c r="M105" s="2" t="str">
        <f t="shared" si="4"/>
        <v>05</v>
      </c>
      <c r="N105" s="2" t="s">
        <v>541</v>
      </c>
      <c r="O105" s="2" t="s">
        <v>4373</v>
      </c>
      <c r="P105" s="2" t="s">
        <v>4375</v>
      </c>
    </row>
    <row r="106" spans="1:16">
      <c r="A106" s="4">
        <v>46244.562974537039</v>
      </c>
      <c r="B106" s="2" t="s">
        <v>727</v>
      </c>
      <c r="C106" s="2" t="s">
        <v>1272</v>
      </c>
      <c r="D106" s="2" t="s">
        <v>1304</v>
      </c>
      <c r="E106" s="2">
        <v>12</v>
      </c>
      <c r="F106" s="2"/>
      <c r="G106" s="2">
        <v>12</v>
      </c>
      <c r="H106" s="2" t="s">
        <v>4101</v>
      </c>
      <c r="I106" s="2" t="s">
        <v>695</v>
      </c>
      <c r="J106" s="2" t="s">
        <v>2537</v>
      </c>
      <c r="K106" s="2" t="s">
        <v>1855</v>
      </c>
      <c r="L106" s="2" t="s">
        <v>2399</v>
      </c>
      <c r="M106" s="2" t="str">
        <f t="shared" si="4"/>
        <v>05</v>
      </c>
      <c r="N106" s="2" t="s">
        <v>511</v>
      </c>
      <c r="O106" s="2" t="s">
        <v>4373</v>
      </c>
      <c r="P106" s="2" t="s">
        <v>4375</v>
      </c>
    </row>
    <row r="107" spans="1:16">
      <c r="A107" s="4">
        <v>46244.561655092592</v>
      </c>
      <c r="B107" s="2" t="s">
        <v>3400</v>
      </c>
      <c r="C107" s="2" t="s">
        <v>1272</v>
      </c>
      <c r="D107" s="2" t="s">
        <v>1304</v>
      </c>
      <c r="E107" s="2">
        <v>12</v>
      </c>
      <c r="F107" s="2"/>
      <c r="G107" s="2">
        <v>12</v>
      </c>
      <c r="H107" s="2" t="s">
        <v>4101</v>
      </c>
      <c r="I107" s="2" t="s">
        <v>695</v>
      </c>
      <c r="J107" s="2" t="s">
        <v>2537</v>
      </c>
      <c r="K107" s="2" t="s">
        <v>1855</v>
      </c>
      <c r="L107" s="2" t="s">
        <v>2399</v>
      </c>
      <c r="M107" s="2" t="str">
        <f t="shared" si="4"/>
        <v>05</v>
      </c>
      <c r="N107" s="2" t="s">
        <v>2670</v>
      </c>
      <c r="O107" s="2" t="s">
        <v>4373</v>
      </c>
      <c r="P107" s="2" t="s">
        <v>4375</v>
      </c>
    </row>
    <row r="108" spans="1:16">
      <c r="A108" s="4">
        <v>46244.561365740738</v>
      </c>
      <c r="B108" s="2" t="s">
        <v>2255</v>
      </c>
      <c r="C108" s="2" t="s">
        <v>1272</v>
      </c>
      <c r="D108" s="2" t="s">
        <v>1304</v>
      </c>
      <c r="E108" s="2">
        <v>12</v>
      </c>
      <c r="F108" s="2"/>
      <c r="G108" s="2">
        <v>12</v>
      </c>
      <c r="H108" s="2" t="s">
        <v>4101</v>
      </c>
      <c r="I108" s="2" t="s">
        <v>695</v>
      </c>
      <c r="J108" s="2" t="s">
        <v>2537</v>
      </c>
      <c r="K108" s="2" t="s">
        <v>1855</v>
      </c>
      <c r="L108" s="2" t="s">
        <v>2399</v>
      </c>
      <c r="M108" s="2" t="str">
        <f t="shared" si="4"/>
        <v>05</v>
      </c>
      <c r="N108" s="2" t="s">
        <v>4329</v>
      </c>
      <c r="O108" s="2" t="s">
        <v>4373</v>
      </c>
      <c r="P108" s="2" t="s">
        <v>4375</v>
      </c>
    </row>
    <row r="109" spans="1:16">
      <c r="A109" s="4">
        <v>46244.560127314813</v>
      </c>
      <c r="B109" s="2" t="s">
        <v>4050</v>
      </c>
      <c r="C109" s="2" t="s">
        <v>1272</v>
      </c>
      <c r="D109" s="2" t="s">
        <v>1304</v>
      </c>
      <c r="E109" s="2">
        <v>12</v>
      </c>
      <c r="F109" s="2"/>
      <c r="G109" s="2">
        <v>12</v>
      </c>
      <c r="H109" s="2" t="s">
        <v>4101</v>
      </c>
      <c r="I109" s="2" t="s">
        <v>695</v>
      </c>
      <c r="J109" s="2" t="s">
        <v>2537</v>
      </c>
      <c r="K109" s="2" t="s">
        <v>1855</v>
      </c>
      <c r="L109" s="2" t="s">
        <v>2399</v>
      </c>
      <c r="M109" s="2" t="str">
        <f t="shared" si="4"/>
        <v>05</v>
      </c>
      <c r="N109" s="2" t="s">
        <v>3014</v>
      </c>
      <c r="O109" s="2" t="s">
        <v>4373</v>
      </c>
      <c r="P109" s="2" t="s">
        <v>4375</v>
      </c>
    </row>
    <row r="110" spans="1:16">
      <c r="A110" s="4">
        <v>46244.55877314815</v>
      </c>
      <c r="B110" s="2" t="s">
        <v>1494</v>
      </c>
      <c r="C110" s="2" t="s">
        <v>1272</v>
      </c>
      <c r="D110" s="2" t="s">
        <v>1304</v>
      </c>
      <c r="E110" s="2">
        <v>12</v>
      </c>
      <c r="F110" s="2"/>
      <c r="G110" s="2">
        <v>12</v>
      </c>
      <c r="H110" s="2" t="s">
        <v>4101</v>
      </c>
      <c r="I110" s="2" t="s">
        <v>695</v>
      </c>
      <c r="J110" s="2" t="s">
        <v>2537</v>
      </c>
      <c r="K110" s="2" t="s">
        <v>1855</v>
      </c>
      <c r="L110" s="2" t="s">
        <v>2399</v>
      </c>
      <c r="M110" s="2" t="str">
        <f t="shared" si="4"/>
        <v>05</v>
      </c>
      <c r="N110" s="2" t="s">
        <v>947</v>
      </c>
      <c r="O110" s="2" t="s">
        <v>4373</v>
      </c>
      <c r="P110" s="2" t="s">
        <v>4375</v>
      </c>
    </row>
    <row r="111" spans="1:16">
      <c r="A111" s="4">
        <v>46244.557870370372</v>
      </c>
      <c r="B111" s="2" t="s">
        <v>2881</v>
      </c>
      <c r="C111" s="2" t="s">
        <v>1272</v>
      </c>
      <c r="D111" s="2" t="s">
        <v>1304</v>
      </c>
      <c r="E111" s="2">
        <v>12</v>
      </c>
      <c r="F111" s="2"/>
      <c r="G111" s="2">
        <v>12</v>
      </c>
      <c r="H111" s="2" t="s">
        <v>4101</v>
      </c>
      <c r="I111" s="2" t="s">
        <v>695</v>
      </c>
      <c r="J111" s="2" t="s">
        <v>2537</v>
      </c>
      <c r="K111" s="2" t="s">
        <v>1855</v>
      </c>
      <c r="L111" s="2" t="s">
        <v>2399</v>
      </c>
      <c r="M111" s="2" t="str">
        <f t="shared" si="4"/>
        <v>05</v>
      </c>
      <c r="N111" s="2" t="s">
        <v>3075</v>
      </c>
      <c r="O111" s="2" t="s">
        <v>4373</v>
      </c>
      <c r="P111" s="2" t="s">
        <v>4375</v>
      </c>
    </row>
    <row r="112" spans="1:16">
      <c r="A112" s="4">
        <v>46244.556875000002</v>
      </c>
      <c r="B112" s="2" t="s">
        <v>976</v>
      </c>
      <c r="C112" s="2" t="s">
        <v>1272</v>
      </c>
      <c r="D112" s="2" t="s">
        <v>1304</v>
      </c>
      <c r="E112" s="2">
        <v>12</v>
      </c>
      <c r="F112" s="2"/>
      <c r="G112" s="2">
        <v>12</v>
      </c>
      <c r="H112" s="2" t="s">
        <v>4101</v>
      </c>
      <c r="I112" s="2" t="s">
        <v>695</v>
      </c>
      <c r="J112" s="2" t="s">
        <v>2537</v>
      </c>
      <c r="K112" s="2" t="s">
        <v>1855</v>
      </c>
      <c r="L112" s="2" t="s">
        <v>2399</v>
      </c>
      <c r="M112" s="2" t="str">
        <f t="shared" si="4"/>
        <v>05</v>
      </c>
      <c r="N112" s="2" t="s">
        <v>252</v>
      </c>
      <c r="O112" s="2" t="s">
        <v>4373</v>
      </c>
      <c r="P112" s="2" t="s">
        <v>4375</v>
      </c>
    </row>
    <row r="113" spans="1:16">
      <c r="A113" s="4">
        <v>46244.555358796293</v>
      </c>
      <c r="B113" s="2" t="s">
        <v>4011</v>
      </c>
      <c r="C113" s="2" t="s">
        <v>1272</v>
      </c>
      <c r="D113" s="2" t="s">
        <v>1304</v>
      </c>
      <c r="E113" s="2">
        <v>12</v>
      </c>
      <c r="F113" s="2"/>
      <c r="G113" s="2">
        <v>12</v>
      </c>
      <c r="H113" s="2" t="s">
        <v>4101</v>
      </c>
      <c r="I113" s="2" t="s">
        <v>695</v>
      </c>
      <c r="J113" s="2" t="s">
        <v>2537</v>
      </c>
      <c r="K113" s="2" t="s">
        <v>1855</v>
      </c>
      <c r="L113" s="2" t="s">
        <v>2399</v>
      </c>
      <c r="M113" s="2" t="str">
        <f t="shared" si="4"/>
        <v>05</v>
      </c>
      <c r="N113" s="2" t="s">
        <v>1712</v>
      </c>
      <c r="O113" s="2" t="s">
        <v>4373</v>
      </c>
      <c r="P113" s="2" t="s">
        <v>4375</v>
      </c>
    </row>
    <row r="114" spans="1:16">
      <c r="A114" s="4">
        <v>46244.555046296293</v>
      </c>
      <c r="B114" s="2" t="s">
        <v>2655</v>
      </c>
      <c r="C114" s="2" t="s">
        <v>1272</v>
      </c>
      <c r="D114" s="2" t="s">
        <v>1304</v>
      </c>
      <c r="E114" s="2">
        <v>12</v>
      </c>
      <c r="F114" s="2"/>
      <c r="G114" s="2">
        <v>12</v>
      </c>
      <c r="H114" s="2" t="s">
        <v>4101</v>
      </c>
      <c r="I114" s="2" t="s">
        <v>695</v>
      </c>
      <c r="J114" s="2" t="s">
        <v>2537</v>
      </c>
      <c r="K114" s="2" t="s">
        <v>1855</v>
      </c>
      <c r="L114" s="2" t="s">
        <v>2399</v>
      </c>
      <c r="M114" s="2" t="str">
        <f t="shared" si="4"/>
        <v>05</v>
      </c>
      <c r="N114" s="2" t="s">
        <v>1835</v>
      </c>
      <c r="O114" s="2" t="s">
        <v>4373</v>
      </c>
      <c r="P114" s="2" t="s">
        <v>4375</v>
      </c>
    </row>
    <row r="115" spans="1:16">
      <c r="A115" s="4">
        <v>46244.553842592592</v>
      </c>
      <c r="B115" s="2" t="s">
        <v>1375</v>
      </c>
      <c r="C115" s="2" t="s">
        <v>1272</v>
      </c>
      <c r="D115" s="2" t="s">
        <v>1304</v>
      </c>
      <c r="E115" s="2">
        <v>12</v>
      </c>
      <c r="F115" s="2"/>
      <c r="G115" s="2">
        <v>12</v>
      </c>
      <c r="H115" s="2" t="s">
        <v>4101</v>
      </c>
      <c r="I115" s="2" t="s">
        <v>695</v>
      </c>
      <c r="J115" s="2" t="s">
        <v>2537</v>
      </c>
      <c r="K115" s="2" t="s">
        <v>1855</v>
      </c>
      <c r="L115" s="2" t="s">
        <v>2399</v>
      </c>
      <c r="M115" s="2" t="str">
        <f t="shared" si="4"/>
        <v>05</v>
      </c>
      <c r="N115" s="2" t="s">
        <v>1343</v>
      </c>
      <c r="O115" s="2" t="s">
        <v>4373</v>
      </c>
      <c r="P115" s="2" t="s">
        <v>4375</v>
      </c>
    </row>
    <row r="116" spans="1:16">
      <c r="A116" s="4">
        <v>46244.552708333336</v>
      </c>
      <c r="B116" s="2" t="s">
        <v>1035</v>
      </c>
      <c r="C116" s="2" t="s">
        <v>1272</v>
      </c>
      <c r="D116" s="2" t="s">
        <v>1304</v>
      </c>
      <c r="E116" s="2">
        <v>12</v>
      </c>
      <c r="F116" s="2"/>
      <c r="G116" s="2">
        <v>12</v>
      </c>
      <c r="H116" s="2" t="s">
        <v>4101</v>
      </c>
      <c r="I116" s="2" t="s">
        <v>695</v>
      </c>
      <c r="J116" s="2" t="s">
        <v>2537</v>
      </c>
      <c r="K116" s="2" t="s">
        <v>1855</v>
      </c>
      <c r="L116" s="2" t="s">
        <v>2399</v>
      </c>
      <c r="M116" s="2" t="str">
        <f t="shared" si="4"/>
        <v>05</v>
      </c>
      <c r="N116" s="2" t="s">
        <v>1178</v>
      </c>
      <c r="O116" s="2" t="s">
        <v>4373</v>
      </c>
      <c r="P116" s="2" t="s">
        <v>4375</v>
      </c>
    </row>
    <row r="117" spans="1:16">
      <c r="A117" s="4">
        <v>46244.551423611112</v>
      </c>
      <c r="B117" s="2" t="s">
        <v>278</v>
      </c>
      <c r="C117" s="2" t="s">
        <v>1272</v>
      </c>
      <c r="D117" s="2" t="s">
        <v>1304</v>
      </c>
      <c r="E117" s="2">
        <v>12</v>
      </c>
      <c r="F117" s="2"/>
      <c r="G117" s="2">
        <v>12</v>
      </c>
      <c r="H117" s="2" t="s">
        <v>4101</v>
      </c>
      <c r="I117" s="2" t="s">
        <v>695</v>
      </c>
      <c r="J117" s="2" t="s">
        <v>2537</v>
      </c>
      <c r="K117" s="2" t="s">
        <v>1855</v>
      </c>
      <c r="L117" s="2" t="s">
        <v>2399</v>
      </c>
      <c r="M117" s="2" t="str">
        <f t="shared" si="4"/>
        <v>05</v>
      </c>
      <c r="N117" s="2" t="s">
        <v>602</v>
      </c>
      <c r="O117" s="2" t="s">
        <v>4373</v>
      </c>
      <c r="P117" s="2" t="s">
        <v>4375</v>
      </c>
    </row>
    <row r="118" spans="1:16">
      <c r="A118" s="4">
        <v>46249.684490740743</v>
      </c>
      <c r="B118" s="2" t="s">
        <v>3853</v>
      </c>
      <c r="C118" s="2" t="s">
        <v>4120</v>
      </c>
      <c r="D118" s="2" t="s">
        <v>690</v>
      </c>
      <c r="E118" s="2">
        <v>14</v>
      </c>
      <c r="F118" s="2"/>
      <c r="G118" s="2">
        <v>14</v>
      </c>
      <c r="H118" s="2" t="s">
        <v>3132</v>
      </c>
      <c r="I118" s="2" t="s">
        <v>695</v>
      </c>
      <c r="J118" s="2" t="s">
        <v>2537</v>
      </c>
      <c r="K118" s="2" t="s">
        <v>1855</v>
      </c>
      <c r="L118" s="2" t="s">
        <v>4344</v>
      </c>
      <c r="M118" s="2" t="str">
        <f t="shared" si="4"/>
        <v>06</v>
      </c>
      <c r="N118" s="2" t="s">
        <v>3234</v>
      </c>
      <c r="O118" s="2" t="s">
        <v>4373</v>
      </c>
      <c r="P118" s="2" t="s">
        <v>4378</v>
      </c>
    </row>
    <row r="119" spans="1:16">
      <c r="A119" s="4">
        <v>46249.6796412037</v>
      </c>
      <c r="B119" s="2" t="s">
        <v>1417</v>
      </c>
      <c r="C119" s="2" t="s">
        <v>4120</v>
      </c>
      <c r="D119" s="2" t="s">
        <v>690</v>
      </c>
      <c r="E119" s="2">
        <v>12</v>
      </c>
      <c r="F119" s="2"/>
      <c r="G119" s="2">
        <v>12</v>
      </c>
      <c r="H119" s="2" t="s">
        <v>3132</v>
      </c>
      <c r="I119" s="2" t="s">
        <v>695</v>
      </c>
      <c r="J119" s="2" t="s">
        <v>2537</v>
      </c>
      <c r="K119" s="2" t="s">
        <v>1855</v>
      </c>
      <c r="L119" s="2" t="s">
        <v>4344</v>
      </c>
      <c r="M119" s="2" t="str">
        <f t="shared" si="4"/>
        <v>06</v>
      </c>
      <c r="N119" s="2" t="s">
        <v>1361</v>
      </c>
      <c r="O119" s="2" t="s">
        <v>4373</v>
      </c>
      <c r="P119" s="2" t="s">
        <v>4378</v>
      </c>
    </row>
    <row r="120" spans="1:16">
      <c r="A120" s="4">
        <v>46249.679432870369</v>
      </c>
      <c r="B120" s="2" t="s">
        <v>2423</v>
      </c>
      <c r="C120" s="2" t="s">
        <v>4120</v>
      </c>
      <c r="D120" s="2" t="s">
        <v>690</v>
      </c>
      <c r="E120" s="2">
        <v>14</v>
      </c>
      <c r="F120" s="2"/>
      <c r="G120" s="2">
        <v>14</v>
      </c>
      <c r="H120" s="2" t="s">
        <v>3132</v>
      </c>
      <c r="I120" s="2" t="s">
        <v>695</v>
      </c>
      <c r="J120" s="2" t="s">
        <v>2537</v>
      </c>
      <c r="K120" s="2" t="s">
        <v>1855</v>
      </c>
      <c r="L120" s="2" t="s">
        <v>4344</v>
      </c>
      <c r="M120" s="2" t="str">
        <f t="shared" si="4"/>
        <v>06</v>
      </c>
      <c r="N120" s="2" t="s">
        <v>867</v>
      </c>
      <c r="O120" s="2" t="s">
        <v>4373</v>
      </c>
      <c r="P120" s="2" t="s">
        <v>4378</v>
      </c>
    </row>
    <row r="121" spans="1:16">
      <c r="A121" s="4">
        <v>46249.67869212963</v>
      </c>
      <c r="B121" s="2" t="s">
        <v>3635</v>
      </c>
      <c r="C121" s="2" t="s">
        <v>4120</v>
      </c>
      <c r="D121" s="2" t="s">
        <v>690</v>
      </c>
      <c r="E121" s="2">
        <v>14</v>
      </c>
      <c r="F121" s="2"/>
      <c r="G121" s="2">
        <v>14</v>
      </c>
      <c r="H121" s="2" t="s">
        <v>3132</v>
      </c>
      <c r="I121" s="2" t="s">
        <v>695</v>
      </c>
      <c r="J121" s="2" t="s">
        <v>2537</v>
      </c>
      <c r="K121" s="2" t="s">
        <v>1855</v>
      </c>
      <c r="L121" s="2" t="s">
        <v>4344</v>
      </c>
      <c r="M121" s="2" t="str">
        <f t="shared" si="4"/>
        <v>06</v>
      </c>
      <c r="N121" s="2" t="s">
        <v>2999</v>
      </c>
      <c r="O121" s="2" t="s">
        <v>4373</v>
      </c>
      <c r="P121" s="2" t="s">
        <v>4378</v>
      </c>
    </row>
    <row r="122" spans="1:16">
      <c r="A122" s="4">
        <v>46249.67863425926</v>
      </c>
      <c r="B122" s="2" t="s">
        <v>76</v>
      </c>
      <c r="C122" s="2" t="s">
        <v>4120</v>
      </c>
      <c r="D122" s="2" t="s">
        <v>690</v>
      </c>
      <c r="E122" s="2">
        <v>14</v>
      </c>
      <c r="F122" s="2"/>
      <c r="G122" s="2">
        <v>14</v>
      </c>
      <c r="H122" s="2" t="s">
        <v>3132</v>
      </c>
      <c r="I122" s="2" t="s">
        <v>695</v>
      </c>
      <c r="J122" s="2" t="s">
        <v>2537</v>
      </c>
      <c r="K122" s="2" t="s">
        <v>1855</v>
      </c>
      <c r="L122" s="2" t="s">
        <v>4344</v>
      </c>
      <c r="M122" s="2" t="str">
        <f t="shared" si="4"/>
        <v>06</v>
      </c>
      <c r="N122" s="2" t="s">
        <v>1308</v>
      </c>
      <c r="O122" s="2" t="s">
        <v>4373</v>
      </c>
      <c r="P122" s="2" t="s">
        <v>4378</v>
      </c>
    </row>
    <row r="123" spans="1:16">
      <c r="A123" s="4">
        <v>46249.678078703706</v>
      </c>
      <c r="B123" s="2" t="s">
        <v>2405</v>
      </c>
      <c r="C123" s="2" t="s">
        <v>4120</v>
      </c>
      <c r="D123" s="2" t="s">
        <v>690</v>
      </c>
      <c r="E123" s="2">
        <v>14</v>
      </c>
      <c r="F123" s="2"/>
      <c r="G123" s="2">
        <v>14</v>
      </c>
      <c r="H123" s="2" t="s">
        <v>3132</v>
      </c>
      <c r="I123" s="2" t="s">
        <v>695</v>
      </c>
      <c r="J123" s="2" t="s">
        <v>2537</v>
      </c>
      <c r="K123" s="2" t="s">
        <v>1855</v>
      </c>
      <c r="L123" s="2" t="s">
        <v>4344</v>
      </c>
      <c r="M123" s="2" t="str">
        <f t="shared" si="4"/>
        <v>06</v>
      </c>
      <c r="N123" s="2" t="s">
        <v>4207</v>
      </c>
      <c r="O123" s="2" t="s">
        <v>4373</v>
      </c>
      <c r="P123" s="2" t="s">
        <v>4378</v>
      </c>
    </row>
    <row r="124" spans="1:16">
      <c r="A124" s="4">
        <v>46249.677615740744</v>
      </c>
      <c r="B124" s="2" t="s">
        <v>1435</v>
      </c>
      <c r="C124" s="2" t="s">
        <v>4120</v>
      </c>
      <c r="D124" s="2" t="s">
        <v>690</v>
      </c>
      <c r="E124" s="2">
        <v>14</v>
      </c>
      <c r="F124" s="2"/>
      <c r="G124" s="2">
        <v>14</v>
      </c>
      <c r="H124" s="2" t="s">
        <v>3132</v>
      </c>
      <c r="I124" s="2" t="s">
        <v>695</v>
      </c>
      <c r="J124" s="2" t="s">
        <v>2537</v>
      </c>
      <c r="K124" s="2" t="s">
        <v>1855</v>
      </c>
      <c r="L124" s="2" t="s">
        <v>4344</v>
      </c>
      <c r="M124" s="2" t="str">
        <f t="shared" si="4"/>
        <v>06</v>
      </c>
      <c r="N124" s="2" t="s">
        <v>3539</v>
      </c>
      <c r="O124" s="2" t="s">
        <v>4373</v>
      </c>
      <c r="P124" s="2" t="s">
        <v>4378</v>
      </c>
    </row>
    <row r="125" spans="1:16">
      <c r="A125" s="4">
        <v>46249.676747685182</v>
      </c>
      <c r="B125" s="2" t="s">
        <v>3464</v>
      </c>
      <c r="C125" s="2" t="s">
        <v>4120</v>
      </c>
      <c r="D125" s="2" t="s">
        <v>690</v>
      </c>
      <c r="E125" s="2">
        <v>14</v>
      </c>
      <c r="F125" s="2"/>
      <c r="G125" s="2">
        <v>14</v>
      </c>
      <c r="H125" s="2" t="s">
        <v>3132</v>
      </c>
      <c r="I125" s="2" t="s">
        <v>695</v>
      </c>
      <c r="J125" s="2" t="s">
        <v>2537</v>
      </c>
      <c r="K125" s="2" t="s">
        <v>1855</v>
      </c>
      <c r="L125" s="2" t="s">
        <v>4344</v>
      </c>
      <c r="M125" s="2" t="str">
        <f t="shared" si="4"/>
        <v>06</v>
      </c>
      <c r="N125" s="2" t="s">
        <v>2997</v>
      </c>
      <c r="O125" s="2" t="s">
        <v>4373</v>
      </c>
      <c r="P125" s="2" t="s">
        <v>4378</v>
      </c>
    </row>
    <row r="126" spans="1:16">
      <c r="A126" s="4">
        <v>46249.676678240743</v>
      </c>
      <c r="B126" s="2" t="s">
        <v>2958</v>
      </c>
      <c r="C126" s="2" t="s">
        <v>4120</v>
      </c>
      <c r="D126" s="2" t="s">
        <v>690</v>
      </c>
      <c r="E126" s="2">
        <v>14</v>
      </c>
      <c r="F126" s="2"/>
      <c r="G126" s="2">
        <v>14</v>
      </c>
      <c r="H126" s="2" t="s">
        <v>3132</v>
      </c>
      <c r="I126" s="2" t="s">
        <v>695</v>
      </c>
      <c r="J126" s="2" t="s">
        <v>2537</v>
      </c>
      <c r="K126" s="2" t="s">
        <v>1855</v>
      </c>
      <c r="L126" s="2" t="s">
        <v>4344</v>
      </c>
      <c r="M126" s="2" t="str">
        <f t="shared" si="4"/>
        <v>06</v>
      </c>
      <c r="N126" s="2" t="s">
        <v>1081</v>
      </c>
      <c r="O126" s="2" t="s">
        <v>4373</v>
      </c>
      <c r="P126" s="2" t="s">
        <v>4378</v>
      </c>
    </row>
    <row r="127" spans="1:16">
      <c r="A127" s="4">
        <v>46249.675706018519</v>
      </c>
      <c r="B127" s="2" t="s">
        <v>3796</v>
      </c>
      <c r="C127" s="2" t="s">
        <v>4120</v>
      </c>
      <c r="D127" s="2" t="s">
        <v>690</v>
      </c>
      <c r="E127" s="2">
        <v>14</v>
      </c>
      <c r="F127" s="2"/>
      <c r="G127" s="2">
        <v>14</v>
      </c>
      <c r="H127" s="2" t="s">
        <v>3132</v>
      </c>
      <c r="I127" s="2" t="s">
        <v>695</v>
      </c>
      <c r="J127" s="2" t="s">
        <v>2537</v>
      </c>
      <c r="K127" s="2" t="s">
        <v>1855</v>
      </c>
      <c r="L127" s="2" t="s">
        <v>4344</v>
      </c>
      <c r="M127" s="2" t="str">
        <f t="shared" si="4"/>
        <v>06</v>
      </c>
      <c r="N127" s="2" t="s">
        <v>1567</v>
      </c>
      <c r="O127" s="2" t="s">
        <v>4373</v>
      </c>
      <c r="P127" s="2" t="s">
        <v>4378</v>
      </c>
    </row>
    <row r="128" spans="1:16">
      <c r="A128" s="4">
        <v>46249.675543981481</v>
      </c>
      <c r="B128" s="2" t="s">
        <v>3613</v>
      </c>
      <c r="C128" s="2" t="s">
        <v>4120</v>
      </c>
      <c r="D128" s="2" t="s">
        <v>690</v>
      </c>
      <c r="E128" s="2">
        <v>14</v>
      </c>
      <c r="F128" s="2"/>
      <c r="G128" s="2">
        <v>14</v>
      </c>
      <c r="H128" s="2" t="s">
        <v>3132</v>
      </c>
      <c r="I128" s="2" t="s">
        <v>695</v>
      </c>
      <c r="J128" s="2" t="s">
        <v>2537</v>
      </c>
      <c r="K128" s="2" t="s">
        <v>1855</v>
      </c>
      <c r="L128" s="2" t="s">
        <v>4344</v>
      </c>
      <c r="M128" s="2" t="str">
        <f t="shared" si="4"/>
        <v>06</v>
      </c>
      <c r="N128" s="2" t="s">
        <v>3122</v>
      </c>
      <c r="O128" s="2" t="s">
        <v>4373</v>
      </c>
      <c r="P128" s="2" t="s">
        <v>4378</v>
      </c>
    </row>
    <row r="129" spans="1:16">
      <c r="A129" s="4">
        <v>46249.674907407411</v>
      </c>
      <c r="B129" s="2" t="s">
        <v>3050</v>
      </c>
      <c r="C129" s="2" t="s">
        <v>4120</v>
      </c>
      <c r="D129" s="2" t="s">
        <v>690</v>
      </c>
      <c r="E129" s="2">
        <v>14</v>
      </c>
      <c r="F129" s="2"/>
      <c r="G129" s="2">
        <v>14</v>
      </c>
      <c r="H129" s="2" t="s">
        <v>3132</v>
      </c>
      <c r="I129" s="2" t="s">
        <v>695</v>
      </c>
      <c r="J129" s="2" t="s">
        <v>2537</v>
      </c>
      <c r="K129" s="2" t="s">
        <v>1855</v>
      </c>
      <c r="L129" s="2" t="s">
        <v>4344</v>
      </c>
      <c r="M129" s="2" t="str">
        <f t="shared" si="4"/>
        <v>06</v>
      </c>
      <c r="N129" s="2" t="s">
        <v>2259</v>
      </c>
      <c r="O129" s="2" t="s">
        <v>4373</v>
      </c>
      <c r="P129" s="2" t="s">
        <v>4378</v>
      </c>
    </row>
    <row r="130" spans="1:16">
      <c r="A130" s="4">
        <v>46249.674687500003</v>
      </c>
      <c r="B130" s="2" t="s">
        <v>3971</v>
      </c>
      <c r="C130" s="2" t="s">
        <v>4120</v>
      </c>
      <c r="D130" s="2" t="s">
        <v>690</v>
      </c>
      <c r="E130" s="2">
        <v>14</v>
      </c>
      <c r="F130" s="2"/>
      <c r="G130" s="2">
        <v>14</v>
      </c>
      <c r="H130" s="2" t="s">
        <v>3132</v>
      </c>
      <c r="I130" s="2" t="s">
        <v>695</v>
      </c>
      <c r="J130" s="2" t="s">
        <v>2537</v>
      </c>
      <c r="K130" s="2" t="s">
        <v>1855</v>
      </c>
      <c r="L130" s="2" t="s">
        <v>4344</v>
      </c>
      <c r="M130" s="2" t="str">
        <f t="shared" ref="M130:M193" si="5">RIGHT(L130,2)</f>
        <v>06</v>
      </c>
      <c r="N130" s="2" t="s">
        <v>4185</v>
      </c>
      <c r="O130" s="2" t="s">
        <v>4373</v>
      </c>
      <c r="P130" s="2" t="s">
        <v>4378</v>
      </c>
    </row>
    <row r="131" spans="1:16">
      <c r="A131" s="4">
        <v>46249.673738425925</v>
      </c>
      <c r="B131" s="2" t="s">
        <v>1265</v>
      </c>
      <c r="C131" s="2" t="s">
        <v>4120</v>
      </c>
      <c r="D131" s="2" t="s">
        <v>690</v>
      </c>
      <c r="E131" s="2">
        <v>14</v>
      </c>
      <c r="F131" s="2"/>
      <c r="G131" s="2">
        <v>14</v>
      </c>
      <c r="H131" s="2" t="s">
        <v>3132</v>
      </c>
      <c r="I131" s="2" t="s">
        <v>695</v>
      </c>
      <c r="J131" s="2" t="s">
        <v>2537</v>
      </c>
      <c r="K131" s="2" t="s">
        <v>1855</v>
      </c>
      <c r="L131" s="2" t="s">
        <v>4344</v>
      </c>
      <c r="M131" s="2" t="str">
        <f t="shared" si="5"/>
        <v>06</v>
      </c>
      <c r="N131" s="2" t="s">
        <v>3269</v>
      </c>
      <c r="O131" s="2" t="s">
        <v>4373</v>
      </c>
      <c r="P131" s="2" t="s">
        <v>4378</v>
      </c>
    </row>
    <row r="132" spans="1:16">
      <c r="A132" s="4">
        <v>46249.673668981479</v>
      </c>
      <c r="B132" s="2" t="s">
        <v>94</v>
      </c>
      <c r="C132" s="2" t="s">
        <v>4120</v>
      </c>
      <c r="D132" s="2" t="s">
        <v>690</v>
      </c>
      <c r="E132" s="2">
        <v>14</v>
      </c>
      <c r="F132" s="2"/>
      <c r="G132" s="2">
        <v>14</v>
      </c>
      <c r="H132" s="2" t="s">
        <v>3132</v>
      </c>
      <c r="I132" s="2" t="s">
        <v>695</v>
      </c>
      <c r="J132" s="2" t="s">
        <v>2537</v>
      </c>
      <c r="K132" s="2" t="s">
        <v>1855</v>
      </c>
      <c r="L132" s="2" t="s">
        <v>4344</v>
      </c>
      <c r="M132" s="2" t="str">
        <f t="shared" si="5"/>
        <v>06</v>
      </c>
      <c r="N132" s="2" t="s">
        <v>2053</v>
      </c>
      <c r="O132" s="2" t="s">
        <v>4373</v>
      </c>
      <c r="P132" s="2" t="s">
        <v>4378</v>
      </c>
    </row>
    <row r="133" spans="1:16">
      <c r="A133" s="4">
        <v>46249.67291666667</v>
      </c>
      <c r="B133" s="2" t="s">
        <v>3411</v>
      </c>
      <c r="C133" s="2" t="s">
        <v>4120</v>
      </c>
      <c r="D133" s="2" t="s">
        <v>690</v>
      </c>
      <c r="E133" s="2">
        <v>14</v>
      </c>
      <c r="F133" s="2"/>
      <c r="G133" s="2">
        <v>14</v>
      </c>
      <c r="H133" s="2" t="s">
        <v>3132</v>
      </c>
      <c r="I133" s="2" t="s">
        <v>695</v>
      </c>
      <c r="J133" s="2" t="s">
        <v>2537</v>
      </c>
      <c r="K133" s="2" t="s">
        <v>1855</v>
      </c>
      <c r="L133" s="2" t="s">
        <v>4344</v>
      </c>
      <c r="M133" s="2" t="str">
        <f t="shared" si="5"/>
        <v>06</v>
      </c>
      <c r="N133" s="2" t="s">
        <v>1283</v>
      </c>
      <c r="O133" s="2" t="s">
        <v>4373</v>
      </c>
      <c r="P133" s="2" t="s">
        <v>4378</v>
      </c>
    </row>
    <row r="134" spans="1:16">
      <c r="A134" s="4">
        <v>46249.672418981485</v>
      </c>
      <c r="B134" s="2" t="s">
        <v>1359</v>
      </c>
      <c r="C134" s="2" t="s">
        <v>4120</v>
      </c>
      <c r="D134" s="2" t="s">
        <v>690</v>
      </c>
      <c r="E134" s="2">
        <v>14</v>
      </c>
      <c r="F134" s="2"/>
      <c r="G134" s="2">
        <v>14</v>
      </c>
      <c r="H134" s="2" t="s">
        <v>3132</v>
      </c>
      <c r="I134" s="2" t="s">
        <v>695</v>
      </c>
      <c r="J134" s="2" t="s">
        <v>2537</v>
      </c>
      <c r="K134" s="2" t="s">
        <v>1855</v>
      </c>
      <c r="L134" s="2" t="s">
        <v>4344</v>
      </c>
      <c r="M134" s="2" t="str">
        <f t="shared" si="5"/>
        <v>06</v>
      </c>
      <c r="N134" s="2" t="s">
        <v>3213</v>
      </c>
      <c r="O134" s="2" t="s">
        <v>4373</v>
      </c>
      <c r="P134" s="2" t="s">
        <v>4378</v>
      </c>
    </row>
    <row r="135" spans="1:16">
      <c r="A135" s="4">
        <v>46249.672395833331</v>
      </c>
      <c r="B135" s="2" t="s">
        <v>2480</v>
      </c>
      <c r="C135" s="2" t="s">
        <v>4120</v>
      </c>
      <c r="D135" s="2" t="s">
        <v>690</v>
      </c>
      <c r="E135" s="2">
        <v>14</v>
      </c>
      <c r="F135" s="2"/>
      <c r="G135" s="2">
        <v>14</v>
      </c>
      <c r="H135" s="2" t="s">
        <v>3132</v>
      </c>
      <c r="I135" s="2" t="s">
        <v>695</v>
      </c>
      <c r="J135" s="2" t="s">
        <v>2537</v>
      </c>
      <c r="K135" s="2" t="s">
        <v>1855</v>
      </c>
      <c r="L135" s="2" t="s">
        <v>4344</v>
      </c>
      <c r="M135" s="2" t="str">
        <f t="shared" si="5"/>
        <v>06</v>
      </c>
      <c r="N135" s="2" t="s">
        <v>2258</v>
      </c>
      <c r="O135" s="2" t="s">
        <v>4373</v>
      </c>
      <c r="P135" s="2" t="s">
        <v>4378</v>
      </c>
    </row>
    <row r="136" spans="1:16">
      <c r="A136" s="4">
        <v>46249.671747685185</v>
      </c>
      <c r="B136" s="2" t="s">
        <v>1507</v>
      </c>
      <c r="C136" s="2" t="s">
        <v>4120</v>
      </c>
      <c r="D136" s="2" t="s">
        <v>690</v>
      </c>
      <c r="E136" s="2">
        <v>13</v>
      </c>
      <c r="F136" s="2"/>
      <c r="G136" s="2">
        <v>13</v>
      </c>
      <c r="H136" s="2" t="s">
        <v>3132</v>
      </c>
      <c r="I136" s="2" t="s">
        <v>695</v>
      </c>
      <c r="J136" s="2" t="s">
        <v>2537</v>
      </c>
      <c r="K136" s="2" t="s">
        <v>1855</v>
      </c>
      <c r="L136" s="2" t="s">
        <v>4344</v>
      </c>
      <c r="M136" s="2" t="str">
        <f t="shared" si="5"/>
        <v>06</v>
      </c>
      <c r="N136" s="2" t="s">
        <v>2144</v>
      </c>
      <c r="O136" s="2" t="s">
        <v>4373</v>
      </c>
      <c r="P136" s="2" t="s">
        <v>4378</v>
      </c>
    </row>
    <row r="137" spans="1:16">
      <c r="A137" s="4">
        <v>46249.669594907406</v>
      </c>
      <c r="B137" s="2" t="s">
        <v>3362</v>
      </c>
      <c r="C137" s="2" t="s">
        <v>4120</v>
      </c>
      <c r="D137" s="2" t="s">
        <v>690</v>
      </c>
      <c r="E137" s="2">
        <v>14</v>
      </c>
      <c r="F137" s="2"/>
      <c r="G137" s="2">
        <v>14</v>
      </c>
      <c r="H137" s="2" t="s">
        <v>3132</v>
      </c>
      <c r="I137" s="2" t="s">
        <v>695</v>
      </c>
      <c r="J137" s="2" t="s">
        <v>2537</v>
      </c>
      <c r="K137" s="2" t="s">
        <v>1855</v>
      </c>
      <c r="L137" s="2" t="s">
        <v>4344</v>
      </c>
      <c r="M137" s="2" t="str">
        <f t="shared" si="5"/>
        <v>06</v>
      </c>
      <c r="N137" s="2" t="s">
        <v>872</v>
      </c>
      <c r="O137" s="2" t="s">
        <v>4373</v>
      </c>
      <c r="P137" s="2" t="s">
        <v>4378</v>
      </c>
    </row>
    <row r="138" spans="1:16">
      <c r="A138" s="4">
        <v>46249.669583333336</v>
      </c>
      <c r="B138" s="2" t="s">
        <v>3009</v>
      </c>
      <c r="C138" s="2" t="s">
        <v>4120</v>
      </c>
      <c r="D138" s="2" t="s">
        <v>690</v>
      </c>
      <c r="E138" s="2">
        <v>14</v>
      </c>
      <c r="F138" s="2"/>
      <c r="G138" s="2">
        <v>14</v>
      </c>
      <c r="H138" s="2" t="s">
        <v>3132</v>
      </c>
      <c r="I138" s="2" t="s">
        <v>695</v>
      </c>
      <c r="J138" s="2" t="s">
        <v>2537</v>
      </c>
      <c r="K138" s="2" t="s">
        <v>1855</v>
      </c>
      <c r="L138" s="2" t="s">
        <v>4344</v>
      </c>
      <c r="M138" s="2" t="str">
        <f t="shared" si="5"/>
        <v>06</v>
      </c>
      <c r="N138" s="2" t="s">
        <v>2968</v>
      </c>
      <c r="O138" s="2" t="s">
        <v>4373</v>
      </c>
      <c r="P138" s="2" t="s">
        <v>4378</v>
      </c>
    </row>
    <row r="139" spans="1:16">
      <c r="A139" s="4">
        <v>46249.668877314813</v>
      </c>
      <c r="B139" s="2" t="s">
        <v>625</v>
      </c>
      <c r="C139" s="2" t="s">
        <v>4120</v>
      </c>
      <c r="D139" s="2" t="s">
        <v>690</v>
      </c>
      <c r="E139" s="2">
        <v>14</v>
      </c>
      <c r="F139" s="2"/>
      <c r="G139" s="2">
        <v>14</v>
      </c>
      <c r="H139" s="2" t="s">
        <v>3132</v>
      </c>
      <c r="I139" s="2" t="s">
        <v>695</v>
      </c>
      <c r="J139" s="2" t="s">
        <v>2537</v>
      </c>
      <c r="K139" s="2" t="s">
        <v>1855</v>
      </c>
      <c r="L139" s="2" t="s">
        <v>4344</v>
      </c>
      <c r="M139" s="2" t="str">
        <f t="shared" si="5"/>
        <v>06</v>
      </c>
      <c r="N139" s="2" t="s">
        <v>3211</v>
      </c>
      <c r="O139" s="2" t="s">
        <v>4373</v>
      </c>
      <c r="P139" s="2" t="s">
        <v>4378</v>
      </c>
    </row>
    <row r="140" spans="1:16">
      <c r="A140" s="4">
        <v>46249.668738425928</v>
      </c>
      <c r="B140" s="2" t="s">
        <v>3869</v>
      </c>
      <c r="C140" s="2" t="s">
        <v>4120</v>
      </c>
      <c r="D140" s="2" t="s">
        <v>690</v>
      </c>
      <c r="E140" s="2">
        <v>14</v>
      </c>
      <c r="F140" s="2"/>
      <c r="G140" s="2">
        <v>14</v>
      </c>
      <c r="H140" s="2" t="s">
        <v>3132</v>
      </c>
      <c r="I140" s="2" t="s">
        <v>695</v>
      </c>
      <c r="J140" s="2" t="s">
        <v>2537</v>
      </c>
      <c r="K140" s="2" t="s">
        <v>1855</v>
      </c>
      <c r="L140" s="2" t="s">
        <v>4344</v>
      </c>
      <c r="M140" s="2" t="str">
        <f t="shared" si="5"/>
        <v>06</v>
      </c>
      <c r="N140" s="2" t="s">
        <v>543</v>
      </c>
      <c r="O140" s="2" t="s">
        <v>4373</v>
      </c>
      <c r="P140" s="2" t="s">
        <v>4378</v>
      </c>
    </row>
    <row r="141" spans="1:16">
      <c r="A141" s="4">
        <v>46248.657997685186</v>
      </c>
      <c r="B141" s="2" t="s">
        <v>3495</v>
      </c>
      <c r="C141" s="2" t="s">
        <v>4120</v>
      </c>
      <c r="D141" s="2" t="s">
        <v>690</v>
      </c>
      <c r="E141" s="2">
        <v>12</v>
      </c>
      <c r="F141" s="2"/>
      <c r="G141" s="2">
        <v>12</v>
      </c>
      <c r="H141" s="2" t="s">
        <v>3132</v>
      </c>
      <c r="I141" s="2" t="s">
        <v>695</v>
      </c>
      <c r="J141" s="2" t="s">
        <v>2537</v>
      </c>
      <c r="K141" s="2" t="s">
        <v>1855</v>
      </c>
      <c r="L141" s="2" t="s">
        <v>3386</v>
      </c>
      <c r="M141" s="2" t="str">
        <f t="shared" si="5"/>
        <v>13</v>
      </c>
      <c r="N141" s="2" t="s">
        <v>1428</v>
      </c>
      <c r="O141" s="2" t="s">
        <v>4373</v>
      </c>
      <c r="P141" s="2" t="s">
        <v>4379</v>
      </c>
    </row>
    <row r="142" spans="1:16">
      <c r="A142" s="4">
        <v>46248.657627314817</v>
      </c>
      <c r="B142" s="2" t="s">
        <v>846</v>
      </c>
      <c r="C142" s="2" t="s">
        <v>4120</v>
      </c>
      <c r="D142" s="2" t="s">
        <v>690</v>
      </c>
      <c r="E142" s="2">
        <v>14</v>
      </c>
      <c r="F142" s="2"/>
      <c r="G142" s="2">
        <v>14</v>
      </c>
      <c r="H142" s="2" t="s">
        <v>3132</v>
      </c>
      <c r="I142" s="2" t="s">
        <v>695</v>
      </c>
      <c r="J142" s="2" t="s">
        <v>2537</v>
      </c>
      <c r="K142" s="2" t="s">
        <v>1855</v>
      </c>
      <c r="L142" s="2" t="s">
        <v>3386</v>
      </c>
      <c r="M142" s="2" t="str">
        <f t="shared" si="5"/>
        <v>13</v>
      </c>
      <c r="N142" s="2" t="s">
        <v>1385</v>
      </c>
      <c r="O142" s="2" t="s">
        <v>4373</v>
      </c>
      <c r="P142" s="2" t="s">
        <v>4379</v>
      </c>
    </row>
    <row r="143" spans="1:16">
      <c r="A143" s="4">
        <v>46248.657476851855</v>
      </c>
      <c r="B143" s="2" t="s">
        <v>4219</v>
      </c>
      <c r="C143" s="2" t="s">
        <v>4120</v>
      </c>
      <c r="D143" s="2" t="s">
        <v>690</v>
      </c>
      <c r="E143" s="2">
        <v>14</v>
      </c>
      <c r="F143" s="2"/>
      <c r="G143" s="2">
        <v>14</v>
      </c>
      <c r="H143" s="2" t="s">
        <v>3132</v>
      </c>
      <c r="I143" s="2" t="s">
        <v>695</v>
      </c>
      <c r="J143" s="2" t="s">
        <v>2537</v>
      </c>
      <c r="K143" s="2" t="s">
        <v>1855</v>
      </c>
      <c r="L143" s="2" t="s">
        <v>3386</v>
      </c>
      <c r="M143" s="2" t="str">
        <f t="shared" si="5"/>
        <v>13</v>
      </c>
      <c r="N143" s="2" t="s">
        <v>3221</v>
      </c>
      <c r="O143" s="2" t="s">
        <v>4373</v>
      </c>
      <c r="P143" s="2" t="s">
        <v>4379</v>
      </c>
    </row>
    <row r="144" spans="1:16">
      <c r="A144" s="4">
        <v>46248.656157407408</v>
      </c>
      <c r="B144" s="2" t="s">
        <v>3436</v>
      </c>
      <c r="C144" s="2" t="s">
        <v>4120</v>
      </c>
      <c r="D144" s="2" t="s">
        <v>690</v>
      </c>
      <c r="E144" s="2">
        <v>14</v>
      </c>
      <c r="F144" s="2"/>
      <c r="G144" s="2">
        <v>14</v>
      </c>
      <c r="H144" s="2" t="s">
        <v>3132</v>
      </c>
      <c r="I144" s="2" t="s">
        <v>695</v>
      </c>
      <c r="J144" s="2" t="s">
        <v>2537</v>
      </c>
      <c r="K144" s="2" t="s">
        <v>1855</v>
      </c>
      <c r="L144" s="2" t="s">
        <v>3386</v>
      </c>
      <c r="M144" s="2" t="str">
        <f t="shared" si="5"/>
        <v>13</v>
      </c>
      <c r="N144" s="2" t="s">
        <v>1111</v>
      </c>
      <c r="O144" s="2" t="s">
        <v>4373</v>
      </c>
      <c r="P144" s="2" t="s">
        <v>4379</v>
      </c>
    </row>
    <row r="145" spans="1:16">
      <c r="A145" s="4">
        <v>46248.653645833336</v>
      </c>
      <c r="B145" s="2" t="s">
        <v>1720</v>
      </c>
      <c r="C145" s="2" t="s">
        <v>4120</v>
      </c>
      <c r="D145" s="2" t="s">
        <v>690</v>
      </c>
      <c r="E145" s="2">
        <v>14</v>
      </c>
      <c r="F145" s="2"/>
      <c r="G145" s="2">
        <v>14</v>
      </c>
      <c r="H145" s="2" t="s">
        <v>3132</v>
      </c>
      <c r="I145" s="2" t="s">
        <v>695</v>
      </c>
      <c r="J145" s="2" t="s">
        <v>2537</v>
      </c>
      <c r="K145" s="2" t="s">
        <v>1855</v>
      </c>
      <c r="L145" s="2" t="s">
        <v>3386</v>
      </c>
      <c r="M145" s="2" t="str">
        <f t="shared" si="5"/>
        <v>13</v>
      </c>
      <c r="N145" s="2" t="s">
        <v>860</v>
      </c>
      <c r="O145" s="2" t="s">
        <v>4373</v>
      </c>
      <c r="P145" s="2" t="s">
        <v>4379</v>
      </c>
    </row>
    <row r="146" spans="1:16">
      <c r="A146" s="4">
        <v>46248.652442129627</v>
      </c>
      <c r="B146" s="2" t="s">
        <v>94</v>
      </c>
      <c r="C146" s="2" t="s">
        <v>4120</v>
      </c>
      <c r="D146" s="2" t="s">
        <v>690</v>
      </c>
      <c r="E146" s="2">
        <v>14</v>
      </c>
      <c r="F146" s="2"/>
      <c r="G146" s="2">
        <v>14</v>
      </c>
      <c r="H146" s="2" t="s">
        <v>3132</v>
      </c>
      <c r="I146" s="2" t="s">
        <v>695</v>
      </c>
      <c r="J146" s="2" t="s">
        <v>2537</v>
      </c>
      <c r="K146" s="2" t="s">
        <v>1855</v>
      </c>
      <c r="L146" s="2" t="s">
        <v>3386</v>
      </c>
      <c r="M146" s="2" t="str">
        <f t="shared" si="5"/>
        <v>13</v>
      </c>
      <c r="N146" s="2" t="s">
        <v>2815</v>
      </c>
      <c r="O146" s="2" t="s">
        <v>4373</v>
      </c>
      <c r="P146" s="2" t="s">
        <v>4379</v>
      </c>
    </row>
    <row r="147" spans="1:16">
      <c r="A147" s="4">
        <v>46248.652314814812</v>
      </c>
      <c r="B147" s="2" t="s">
        <v>2917</v>
      </c>
      <c r="C147" s="2" t="s">
        <v>4120</v>
      </c>
      <c r="D147" s="2" t="s">
        <v>690</v>
      </c>
      <c r="E147" s="2">
        <v>14</v>
      </c>
      <c r="F147" s="2"/>
      <c r="G147" s="2">
        <v>14</v>
      </c>
      <c r="H147" s="2" t="s">
        <v>3132</v>
      </c>
      <c r="I147" s="2" t="s">
        <v>695</v>
      </c>
      <c r="J147" s="2" t="s">
        <v>2537</v>
      </c>
      <c r="K147" s="2" t="s">
        <v>1855</v>
      </c>
      <c r="L147" s="2" t="s">
        <v>3386</v>
      </c>
      <c r="M147" s="2" t="str">
        <f t="shared" si="5"/>
        <v>13</v>
      </c>
      <c r="N147" s="2" t="s">
        <v>721</v>
      </c>
      <c r="O147" s="2" t="s">
        <v>4373</v>
      </c>
      <c r="P147" s="2" t="s">
        <v>4379</v>
      </c>
    </row>
    <row r="148" spans="1:16">
      <c r="A148" s="4">
        <v>46248.651250000003</v>
      </c>
      <c r="B148" s="2" t="s">
        <v>3481</v>
      </c>
      <c r="C148" s="2" t="s">
        <v>4120</v>
      </c>
      <c r="D148" s="2" t="s">
        <v>690</v>
      </c>
      <c r="E148" s="2">
        <v>14</v>
      </c>
      <c r="F148" s="2"/>
      <c r="G148" s="2">
        <v>14</v>
      </c>
      <c r="H148" s="2" t="s">
        <v>3132</v>
      </c>
      <c r="I148" s="2" t="s">
        <v>695</v>
      </c>
      <c r="J148" s="2" t="s">
        <v>2537</v>
      </c>
      <c r="K148" s="2" t="s">
        <v>1855</v>
      </c>
      <c r="L148" s="2" t="s">
        <v>3386</v>
      </c>
      <c r="M148" s="2" t="str">
        <f t="shared" si="5"/>
        <v>13</v>
      </c>
      <c r="N148" s="2" t="s">
        <v>3336</v>
      </c>
      <c r="O148" s="2" t="s">
        <v>4373</v>
      </c>
      <c r="P148" s="2" t="s">
        <v>4379</v>
      </c>
    </row>
    <row r="149" spans="1:16">
      <c r="A149" s="4">
        <v>46248.651076388887</v>
      </c>
      <c r="B149" s="2" t="s">
        <v>1128</v>
      </c>
      <c r="C149" s="2" t="s">
        <v>4120</v>
      </c>
      <c r="D149" s="2" t="s">
        <v>690</v>
      </c>
      <c r="E149" s="2">
        <v>14</v>
      </c>
      <c r="F149" s="2"/>
      <c r="G149" s="2">
        <v>14</v>
      </c>
      <c r="H149" s="2" t="s">
        <v>3132</v>
      </c>
      <c r="I149" s="2" t="s">
        <v>695</v>
      </c>
      <c r="J149" s="2" t="s">
        <v>2537</v>
      </c>
      <c r="K149" s="2" t="s">
        <v>1855</v>
      </c>
      <c r="L149" s="2" t="s">
        <v>3386</v>
      </c>
      <c r="M149" s="2" t="str">
        <f t="shared" si="5"/>
        <v>13</v>
      </c>
      <c r="N149" s="2" t="s">
        <v>2104</v>
      </c>
      <c r="O149" s="2" t="s">
        <v>4373</v>
      </c>
      <c r="P149" s="2" t="s">
        <v>4379</v>
      </c>
    </row>
    <row r="150" spans="1:16">
      <c r="A150" s="4">
        <v>46248.650196759256</v>
      </c>
      <c r="B150" s="2" t="s">
        <v>2456</v>
      </c>
      <c r="C150" s="2" t="s">
        <v>4120</v>
      </c>
      <c r="D150" s="2" t="s">
        <v>690</v>
      </c>
      <c r="E150" s="2">
        <v>14</v>
      </c>
      <c r="F150" s="2"/>
      <c r="G150" s="2">
        <v>14</v>
      </c>
      <c r="H150" s="2" t="s">
        <v>3132</v>
      </c>
      <c r="I150" s="2" t="s">
        <v>695</v>
      </c>
      <c r="J150" s="2" t="s">
        <v>2537</v>
      </c>
      <c r="K150" s="2" t="s">
        <v>1855</v>
      </c>
      <c r="L150" s="2" t="s">
        <v>3386</v>
      </c>
      <c r="M150" s="2" t="str">
        <f t="shared" si="5"/>
        <v>13</v>
      </c>
      <c r="N150" s="2" t="s">
        <v>1632</v>
      </c>
      <c r="O150" s="2" t="s">
        <v>4373</v>
      </c>
      <c r="P150" s="2" t="s">
        <v>4379</v>
      </c>
    </row>
    <row r="151" spans="1:16">
      <c r="A151" s="4">
        <v>46248.650104166663</v>
      </c>
      <c r="B151" s="2" t="s">
        <v>1628</v>
      </c>
      <c r="C151" s="2" t="s">
        <v>4120</v>
      </c>
      <c r="D151" s="2" t="s">
        <v>690</v>
      </c>
      <c r="E151" s="2">
        <v>14</v>
      </c>
      <c r="F151" s="2"/>
      <c r="G151" s="2">
        <v>14</v>
      </c>
      <c r="H151" s="2" t="s">
        <v>3132</v>
      </c>
      <c r="I151" s="2" t="s">
        <v>695</v>
      </c>
      <c r="J151" s="2" t="s">
        <v>2537</v>
      </c>
      <c r="K151" s="2" t="s">
        <v>1855</v>
      </c>
      <c r="L151" s="2" t="s">
        <v>3386</v>
      </c>
      <c r="M151" s="2" t="str">
        <f t="shared" si="5"/>
        <v>13</v>
      </c>
      <c r="N151" s="2" t="s">
        <v>2398</v>
      </c>
      <c r="O151" s="2" t="s">
        <v>4373</v>
      </c>
      <c r="P151" s="2" t="s">
        <v>4379</v>
      </c>
    </row>
    <row r="152" spans="1:16">
      <c r="A152" s="4">
        <v>46248.650046296294</v>
      </c>
      <c r="B152" s="2" t="s">
        <v>2475</v>
      </c>
      <c r="C152" s="2" t="s">
        <v>4120</v>
      </c>
      <c r="D152" s="2" t="s">
        <v>690</v>
      </c>
      <c r="E152" s="2">
        <v>14</v>
      </c>
      <c r="F152" s="2"/>
      <c r="G152" s="2">
        <v>14</v>
      </c>
      <c r="H152" s="2" t="s">
        <v>3132</v>
      </c>
      <c r="I152" s="2" t="s">
        <v>695</v>
      </c>
      <c r="J152" s="2" t="s">
        <v>2537</v>
      </c>
      <c r="K152" s="2" t="s">
        <v>1855</v>
      </c>
      <c r="L152" s="2" t="s">
        <v>3386</v>
      </c>
      <c r="M152" s="2" t="str">
        <f t="shared" si="5"/>
        <v>13</v>
      </c>
      <c r="N152" s="2" t="s">
        <v>2959</v>
      </c>
      <c r="O152" s="2" t="s">
        <v>4373</v>
      </c>
      <c r="P152" s="2" t="s">
        <v>4379</v>
      </c>
    </row>
    <row r="153" spans="1:16">
      <c r="A153" s="4">
        <v>46248.649502314816</v>
      </c>
      <c r="B153" s="2" t="s">
        <v>4338</v>
      </c>
      <c r="C153" s="2" t="s">
        <v>4120</v>
      </c>
      <c r="D153" s="2" t="s">
        <v>690</v>
      </c>
      <c r="E153" s="2">
        <v>14</v>
      </c>
      <c r="F153" s="2"/>
      <c r="G153" s="2">
        <v>14</v>
      </c>
      <c r="H153" s="2" t="s">
        <v>3132</v>
      </c>
      <c r="I153" s="2" t="s">
        <v>695</v>
      </c>
      <c r="J153" s="2" t="s">
        <v>2537</v>
      </c>
      <c r="K153" s="2" t="s">
        <v>1855</v>
      </c>
      <c r="L153" s="2" t="s">
        <v>3386</v>
      </c>
      <c r="M153" s="2" t="str">
        <f t="shared" si="5"/>
        <v>13</v>
      </c>
      <c r="N153" s="2" t="s">
        <v>1702</v>
      </c>
      <c r="O153" s="2" t="s">
        <v>4373</v>
      </c>
      <c r="P153" s="2" t="s">
        <v>4379</v>
      </c>
    </row>
    <row r="154" spans="1:16">
      <c r="A154" s="4">
        <v>46248.648217592592</v>
      </c>
      <c r="B154" s="2" t="s">
        <v>924</v>
      </c>
      <c r="C154" s="2" t="s">
        <v>4120</v>
      </c>
      <c r="D154" s="2" t="s">
        <v>690</v>
      </c>
      <c r="E154" s="2">
        <v>14</v>
      </c>
      <c r="F154" s="2"/>
      <c r="G154" s="2">
        <v>14</v>
      </c>
      <c r="H154" s="2" t="s">
        <v>3132</v>
      </c>
      <c r="I154" s="2" t="s">
        <v>695</v>
      </c>
      <c r="J154" s="2" t="s">
        <v>2537</v>
      </c>
      <c r="K154" s="2" t="s">
        <v>1855</v>
      </c>
      <c r="L154" s="2" t="s">
        <v>3386</v>
      </c>
      <c r="M154" s="2" t="str">
        <f t="shared" si="5"/>
        <v>13</v>
      </c>
      <c r="N154" s="2" t="s">
        <v>3068</v>
      </c>
      <c r="O154" s="2" t="s">
        <v>4373</v>
      </c>
      <c r="P154" s="2" t="s">
        <v>4379</v>
      </c>
    </row>
    <row r="155" spans="1:16">
      <c r="A155" s="4">
        <v>46248.647997685184</v>
      </c>
      <c r="B155" s="2" t="s">
        <v>3689</v>
      </c>
      <c r="C155" s="2" t="s">
        <v>4120</v>
      </c>
      <c r="D155" s="2" t="s">
        <v>690</v>
      </c>
      <c r="E155" s="2">
        <v>14</v>
      </c>
      <c r="F155" s="2"/>
      <c r="G155" s="2">
        <v>14</v>
      </c>
      <c r="H155" s="2" t="s">
        <v>3132</v>
      </c>
      <c r="I155" s="2" t="s">
        <v>695</v>
      </c>
      <c r="J155" s="2" t="s">
        <v>2537</v>
      </c>
      <c r="K155" s="2" t="s">
        <v>1855</v>
      </c>
      <c r="L155" s="2" t="s">
        <v>3386</v>
      </c>
      <c r="M155" s="2" t="str">
        <f t="shared" si="5"/>
        <v>13</v>
      </c>
      <c r="N155" s="2" t="s">
        <v>3280</v>
      </c>
      <c r="O155" s="2" t="s">
        <v>4373</v>
      </c>
      <c r="P155" s="2" t="s">
        <v>4379</v>
      </c>
    </row>
    <row r="156" spans="1:16">
      <c r="A156" s="4">
        <v>46248.64707175926</v>
      </c>
      <c r="B156" s="2" t="s">
        <v>336</v>
      </c>
      <c r="C156" s="2" t="s">
        <v>4120</v>
      </c>
      <c r="D156" s="2" t="s">
        <v>690</v>
      </c>
      <c r="E156" s="2">
        <v>14</v>
      </c>
      <c r="F156" s="2"/>
      <c r="G156" s="2">
        <v>14</v>
      </c>
      <c r="H156" s="2" t="s">
        <v>3132</v>
      </c>
      <c r="I156" s="2" t="s">
        <v>695</v>
      </c>
      <c r="J156" s="2" t="s">
        <v>2537</v>
      </c>
      <c r="K156" s="2" t="s">
        <v>1855</v>
      </c>
      <c r="L156" s="2" t="s">
        <v>3386</v>
      </c>
      <c r="M156" s="2" t="str">
        <f t="shared" si="5"/>
        <v>13</v>
      </c>
      <c r="N156" s="2" t="s">
        <v>473</v>
      </c>
      <c r="O156" s="2" t="s">
        <v>4373</v>
      </c>
      <c r="P156" s="2" t="s">
        <v>4379</v>
      </c>
    </row>
    <row r="157" spans="1:16">
      <c r="A157" s="4">
        <v>46248.647013888891</v>
      </c>
      <c r="B157" s="2" t="s">
        <v>1313</v>
      </c>
      <c r="C157" s="2" t="s">
        <v>4120</v>
      </c>
      <c r="D157" s="2" t="s">
        <v>690</v>
      </c>
      <c r="E157" s="2">
        <v>14</v>
      </c>
      <c r="F157" s="2"/>
      <c r="G157" s="2">
        <v>14</v>
      </c>
      <c r="H157" s="2" t="s">
        <v>3132</v>
      </c>
      <c r="I157" s="2" t="s">
        <v>695</v>
      </c>
      <c r="J157" s="2" t="s">
        <v>2537</v>
      </c>
      <c r="K157" s="2" t="s">
        <v>1855</v>
      </c>
      <c r="L157" s="2" t="s">
        <v>3386</v>
      </c>
      <c r="M157" s="2" t="str">
        <f t="shared" si="5"/>
        <v>13</v>
      </c>
      <c r="N157" s="2" t="s">
        <v>656</v>
      </c>
      <c r="O157" s="2" t="s">
        <v>4373</v>
      </c>
      <c r="P157" s="2" t="s">
        <v>4379</v>
      </c>
    </row>
    <row r="158" spans="1:16">
      <c r="A158" s="4">
        <v>46248.64638888889</v>
      </c>
      <c r="B158" s="2" t="s">
        <v>264</v>
      </c>
      <c r="C158" s="2" t="s">
        <v>4120</v>
      </c>
      <c r="D158" s="2" t="s">
        <v>690</v>
      </c>
      <c r="E158" s="2">
        <v>14</v>
      </c>
      <c r="F158" s="2"/>
      <c r="G158" s="2">
        <v>14</v>
      </c>
      <c r="H158" s="2" t="s">
        <v>3132</v>
      </c>
      <c r="I158" s="2" t="s">
        <v>695</v>
      </c>
      <c r="J158" s="2" t="s">
        <v>2537</v>
      </c>
      <c r="K158" s="2" t="s">
        <v>1855</v>
      </c>
      <c r="L158" s="2" t="s">
        <v>3386</v>
      </c>
      <c r="M158" s="2" t="str">
        <f t="shared" si="5"/>
        <v>13</v>
      </c>
      <c r="N158" s="2" t="s">
        <v>2740</v>
      </c>
      <c r="O158" s="2" t="s">
        <v>4373</v>
      </c>
      <c r="P158" s="2" t="s">
        <v>4379</v>
      </c>
    </row>
    <row r="159" spans="1:16">
      <c r="A159" s="4">
        <v>46248.645868055559</v>
      </c>
      <c r="B159" s="2" t="s">
        <v>2414</v>
      </c>
      <c r="C159" s="2" t="s">
        <v>4120</v>
      </c>
      <c r="D159" s="2" t="s">
        <v>690</v>
      </c>
      <c r="E159" s="2">
        <v>14</v>
      </c>
      <c r="F159" s="2"/>
      <c r="G159" s="2">
        <v>14</v>
      </c>
      <c r="H159" s="2" t="s">
        <v>3132</v>
      </c>
      <c r="I159" s="2" t="s">
        <v>695</v>
      </c>
      <c r="J159" s="2" t="s">
        <v>2537</v>
      </c>
      <c r="K159" s="2" t="s">
        <v>1855</v>
      </c>
      <c r="L159" s="2" t="s">
        <v>3386</v>
      </c>
      <c r="M159" s="2" t="str">
        <f t="shared" si="5"/>
        <v>13</v>
      </c>
      <c r="N159" s="2" t="s">
        <v>637</v>
      </c>
      <c r="O159" s="2" t="s">
        <v>4373</v>
      </c>
      <c r="P159" s="2" t="s">
        <v>4379</v>
      </c>
    </row>
    <row r="160" spans="1:16">
      <c r="A160" s="4">
        <v>46248.645231481481</v>
      </c>
      <c r="B160" s="2" t="s">
        <v>858</v>
      </c>
      <c r="C160" s="2" t="s">
        <v>4120</v>
      </c>
      <c r="D160" s="2" t="s">
        <v>690</v>
      </c>
      <c r="E160" s="2">
        <v>14</v>
      </c>
      <c r="F160" s="2"/>
      <c r="G160" s="2">
        <v>14</v>
      </c>
      <c r="H160" s="2" t="s">
        <v>3132</v>
      </c>
      <c r="I160" s="2" t="s">
        <v>695</v>
      </c>
      <c r="J160" s="2" t="s">
        <v>2537</v>
      </c>
      <c r="K160" s="2" t="s">
        <v>1855</v>
      </c>
      <c r="L160" s="2" t="s">
        <v>3386</v>
      </c>
      <c r="M160" s="2" t="str">
        <f t="shared" si="5"/>
        <v>13</v>
      </c>
      <c r="N160" s="2" t="s">
        <v>163</v>
      </c>
      <c r="O160" s="2" t="s">
        <v>4373</v>
      </c>
      <c r="P160" s="2" t="s">
        <v>4379</v>
      </c>
    </row>
    <row r="161" spans="1:16">
      <c r="A161" s="4">
        <v>46248.645127314812</v>
      </c>
      <c r="B161" s="2" t="s">
        <v>368</v>
      </c>
      <c r="C161" s="2" t="s">
        <v>4120</v>
      </c>
      <c r="D161" s="2" t="s">
        <v>690</v>
      </c>
      <c r="E161" s="2">
        <v>14</v>
      </c>
      <c r="F161" s="2"/>
      <c r="G161" s="2">
        <v>14</v>
      </c>
      <c r="H161" s="2" t="s">
        <v>3132</v>
      </c>
      <c r="I161" s="2" t="s">
        <v>695</v>
      </c>
      <c r="J161" s="2" t="s">
        <v>2537</v>
      </c>
      <c r="K161" s="2" t="s">
        <v>1855</v>
      </c>
      <c r="L161" s="2" t="s">
        <v>3386</v>
      </c>
      <c r="M161" s="2" t="str">
        <f t="shared" si="5"/>
        <v>13</v>
      </c>
      <c r="N161" s="2" t="s">
        <v>4258</v>
      </c>
      <c r="O161" s="2" t="s">
        <v>4373</v>
      </c>
      <c r="P161" s="2" t="s">
        <v>4379</v>
      </c>
    </row>
    <row r="162" spans="1:16">
      <c r="A162" s="4">
        <v>46248.643935185188</v>
      </c>
      <c r="B162" s="2" t="s">
        <v>1764</v>
      </c>
      <c r="C162" s="2" t="s">
        <v>4120</v>
      </c>
      <c r="D162" s="2" t="s">
        <v>690</v>
      </c>
      <c r="E162" s="2">
        <v>14</v>
      </c>
      <c r="F162" s="2"/>
      <c r="G162" s="2">
        <v>14</v>
      </c>
      <c r="H162" s="2" t="s">
        <v>3132</v>
      </c>
      <c r="I162" s="2" t="s">
        <v>695</v>
      </c>
      <c r="J162" s="2" t="s">
        <v>2537</v>
      </c>
      <c r="K162" s="2" t="s">
        <v>1855</v>
      </c>
      <c r="L162" s="2" t="s">
        <v>3386</v>
      </c>
      <c r="M162" s="2" t="str">
        <f t="shared" si="5"/>
        <v>13</v>
      </c>
      <c r="N162" s="2" t="s">
        <v>611</v>
      </c>
      <c r="O162" s="2" t="s">
        <v>4373</v>
      </c>
      <c r="P162" s="2" t="s">
        <v>4379</v>
      </c>
    </row>
    <row r="163" spans="1:16">
      <c r="A163" s="4">
        <v>46248.643831018519</v>
      </c>
      <c r="B163" s="2" t="s">
        <v>2934</v>
      </c>
      <c r="C163" s="2" t="s">
        <v>4120</v>
      </c>
      <c r="D163" s="2" t="s">
        <v>690</v>
      </c>
      <c r="E163" s="2">
        <v>14</v>
      </c>
      <c r="F163" s="2"/>
      <c r="G163" s="2">
        <v>14</v>
      </c>
      <c r="H163" s="2" t="s">
        <v>3132</v>
      </c>
      <c r="I163" s="2" t="s">
        <v>695</v>
      </c>
      <c r="J163" s="2" t="s">
        <v>2537</v>
      </c>
      <c r="K163" s="2" t="s">
        <v>1855</v>
      </c>
      <c r="L163" s="2" t="s">
        <v>3386</v>
      </c>
      <c r="M163" s="2" t="str">
        <f t="shared" si="5"/>
        <v>13</v>
      </c>
      <c r="N163" s="2" t="s">
        <v>2240</v>
      </c>
      <c r="O163" s="2" t="s">
        <v>4373</v>
      </c>
      <c r="P163" s="2" t="s">
        <v>4379</v>
      </c>
    </row>
    <row r="164" spans="1:16">
      <c r="A164" s="4">
        <v>46248.436238425929</v>
      </c>
      <c r="B164" s="2" t="s">
        <v>3189</v>
      </c>
      <c r="C164" s="2" t="s">
        <v>4120</v>
      </c>
      <c r="D164" s="2" t="s">
        <v>690</v>
      </c>
      <c r="E164" s="2">
        <v>14</v>
      </c>
      <c r="F164" s="2"/>
      <c r="G164" s="2">
        <v>14</v>
      </c>
      <c r="H164" s="2" t="s">
        <v>3132</v>
      </c>
      <c r="I164" s="2" t="s">
        <v>695</v>
      </c>
      <c r="J164" s="2" t="s">
        <v>2537</v>
      </c>
      <c r="K164" s="2" t="s">
        <v>1855</v>
      </c>
      <c r="L164" s="2" t="s">
        <v>1188</v>
      </c>
      <c r="M164" s="2" t="str">
        <f t="shared" si="5"/>
        <v>10</v>
      </c>
      <c r="N164" s="2" t="s">
        <v>2117</v>
      </c>
      <c r="O164" s="2" t="s">
        <v>4373</v>
      </c>
      <c r="P164" s="2" t="s">
        <v>4379</v>
      </c>
    </row>
    <row r="165" spans="1:16">
      <c r="A165" s="4">
        <v>46248.436203703706</v>
      </c>
      <c r="B165" s="2" t="s">
        <v>1793</v>
      </c>
      <c r="C165" s="2" t="s">
        <v>4120</v>
      </c>
      <c r="D165" s="2" t="s">
        <v>690</v>
      </c>
      <c r="E165" s="2">
        <v>12</v>
      </c>
      <c r="F165" s="2"/>
      <c r="G165" s="2">
        <v>12</v>
      </c>
      <c r="H165" s="2" t="s">
        <v>3132</v>
      </c>
      <c r="I165" s="2" t="s">
        <v>695</v>
      </c>
      <c r="J165" s="2" t="s">
        <v>2537</v>
      </c>
      <c r="K165" s="2" t="s">
        <v>1855</v>
      </c>
      <c r="L165" s="2" t="s">
        <v>1188</v>
      </c>
      <c r="M165" s="2" t="str">
        <f t="shared" si="5"/>
        <v>10</v>
      </c>
      <c r="N165" s="2" t="s">
        <v>3375</v>
      </c>
      <c r="O165" s="2" t="s">
        <v>4373</v>
      </c>
      <c r="P165" s="2" t="s">
        <v>4379</v>
      </c>
    </row>
    <row r="166" spans="1:16">
      <c r="A166" s="4">
        <v>46248.435277777775</v>
      </c>
      <c r="B166" s="2" t="s">
        <v>1621</v>
      </c>
      <c r="C166" s="2" t="s">
        <v>4120</v>
      </c>
      <c r="D166" s="2" t="s">
        <v>690</v>
      </c>
      <c r="E166" s="2">
        <v>14</v>
      </c>
      <c r="F166" s="2"/>
      <c r="G166" s="2">
        <v>14</v>
      </c>
      <c r="H166" s="2" t="s">
        <v>3132</v>
      </c>
      <c r="I166" s="2" t="s">
        <v>695</v>
      </c>
      <c r="J166" s="2" t="s">
        <v>2537</v>
      </c>
      <c r="K166" s="2" t="s">
        <v>1855</v>
      </c>
      <c r="L166" s="2" t="s">
        <v>1188</v>
      </c>
      <c r="M166" s="2" t="str">
        <f t="shared" si="5"/>
        <v>10</v>
      </c>
      <c r="N166" s="2" t="s">
        <v>3644</v>
      </c>
      <c r="O166" s="2" t="s">
        <v>4373</v>
      </c>
      <c r="P166" s="2" t="s">
        <v>4379</v>
      </c>
    </row>
    <row r="167" spans="1:16">
      <c r="A167" s="4">
        <v>46248.435219907406</v>
      </c>
      <c r="B167" s="2" t="s">
        <v>1065</v>
      </c>
      <c r="C167" s="2" t="s">
        <v>4120</v>
      </c>
      <c r="D167" s="2" t="s">
        <v>690</v>
      </c>
      <c r="E167" s="2">
        <v>14</v>
      </c>
      <c r="F167" s="2"/>
      <c r="G167" s="2">
        <v>14</v>
      </c>
      <c r="H167" s="2" t="s">
        <v>3132</v>
      </c>
      <c r="I167" s="2" t="s">
        <v>695</v>
      </c>
      <c r="J167" s="2" t="s">
        <v>2537</v>
      </c>
      <c r="K167" s="2" t="s">
        <v>1855</v>
      </c>
      <c r="L167" s="2" t="s">
        <v>1188</v>
      </c>
      <c r="M167" s="2" t="str">
        <f t="shared" si="5"/>
        <v>10</v>
      </c>
      <c r="N167" s="2" t="s">
        <v>661</v>
      </c>
      <c r="O167" s="2" t="s">
        <v>4373</v>
      </c>
      <c r="P167" s="2" t="s">
        <v>4379</v>
      </c>
    </row>
    <row r="168" spans="1:16">
      <c r="A168" s="4">
        <v>46248.43509259259</v>
      </c>
      <c r="B168" s="2" t="s">
        <v>3876</v>
      </c>
      <c r="C168" s="2" t="s">
        <v>4120</v>
      </c>
      <c r="D168" s="2" t="s">
        <v>690</v>
      </c>
      <c r="E168" s="2">
        <v>14</v>
      </c>
      <c r="F168" s="2"/>
      <c r="G168" s="2">
        <v>14</v>
      </c>
      <c r="H168" s="2" t="s">
        <v>3132</v>
      </c>
      <c r="I168" s="2" t="s">
        <v>695</v>
      </c>
      <c r="J168" s="2" t="s">
        <v>2537</v>
      </c>
      <c r="K168" s="2" t="s">
        <v>1855</v>
      </c>
      <c r="L168" s="2" t="s">
        <v>1188</v>
      </c>
      <c r="M168" s="2" t="str">
        <f t="shared" si="5"/>
        <v>10</v>
      </c>
      <c r="N168" s="2" t="s">
        <v>2709</v>
      </c>
      <c r="O168" s="2" t="s">
        <v>4373</v>
      </c>
      <c r="P168" s="2" t="s">
        <v>4379</v>
      </c>
    </row>
    <row r="169" spans="1:16">
      <c r="A169" s="4">
        <v>46248.434039351851</v>
      </c>
      <c r="B169" s="2" t="s">
        <v>3562</v>
      </c>
      <c r="C169" s="2" t="s">
        <v>4120</v>
      </c>
      <c r="D169" s="2" t="s">
        <v>690</v>
      </c>
      <c r="E169" s="2">
        <v>14</v>
      </c>
      <c r="F169" s="2"/>
      <c r="G169" s="2">
        <v>14</v>
      </c>
      <c r="H169" s="2" t="s">
        <v>3132</v>
      </c>
      <c r="I169" s="2" t="s">
        <v>695</v>
      </c>
      <c r="J169" s="2" t="s">
        <v>2537</v>
      </c>
      <c r="K169" s="2" t="s">
        <v>1855</v>
      </c>
      <c r="L169" s="2" t="s">
        <v>1188</v>
      </c>
      <c r="M169" s="2" t="str">
        <f t="shared" si="5"/>
        <v>10</v>
      </c>
      <c r="N169" s="2" t="s">
        <v>2334</v>
      </c>
      <c r="O169" s="2" t="s">
        <v>4373</v>
      </c>
      <c r="P169" s="2" t="s">
        <v>4379</v>
      </c>
    </row>
    <row r="170" spans="1:16">
      <c r="A170" s="4">
        <v>46248.433923611112</v>
      </c>
      <c r="B170" s="2" t="s">
        <v>3272</v>
      </c>
      <c r="C170" s="2" t="s">
        <v>4120</v>
      </c>
      <c r="D170" s="2" t="s">
        <v>690</v>
      </c>
      <c r="E170" s="2">
        <v>14</v>
      </c>
      <c r="F170" s="2"/>
      <c r="G170" s="2">
        <v>14</v>
      </c>
      <c r="H170" s="2" t="s">
        <v>3132</v>
      </c>
      <c r="I170" s="2" t="s">
        <v>695</v>
      </c>
      <c r="J170" s="2" t="s">
        <v>2537</v>
      </c>
      <c r="K170" s="2" t="s">
        <v>1855</v>
      </c>
      <c r="L170" s="2" t="s">
        <v>1188</v>
      </c>
      <c r="M170" s="2" t="str">
        <f t="shared" si="5"/>
        <v>10</v>
      </c>
      <c r="N170" s="2" t="s">
        <v>674</v>
      </c>
      <c r="O170" s="2" t="s">
        <v>4373</v>
      </c>
      <c r="P170" s="2" t="s">
        <v>4379</v>
      </c>
    </row>
    <row r="171" spans="1:16">
      <c r="A171" s="4">
        <v>46248.432569444441</v>
      </c>
      <c r="B171" s="2" t="s">
        <v>257</v>
      </c>
      <c r="C171" s="2" t="s">
        <v>4120</v>
      </c>
      <c r="D171" s="2" t="s">
        <v>690</v>
      </c>
      <c r="E171" s="2">
        <v>14</v>
      </c>
      <c r="F171" s="2"/>
      <c r="G171" s="2">
        <v>14</v>
      </c>
      <c r="H171" s="2" t="s">
        <v>3132</v>
      </c>
      <c r="I171" s="2" t="s">
        <v>695</v>
      </c>
      <c r="J171" s="2" t="s">
        <v>2537</v>
      </c>
      <c r="K171" s="2" t="s">
        <v>1855</v>
      </c>
      <c r="L171" s="2" t="s">
        <v>1188</v>
      </c>
      <c r="M171" s="2" t="str">
        <f t="shared" si="5"/>
        <v>10</v>
      </c>
      <c r="N171" s="2" t="s">
        <v>1744</v>
      </c>
      <c r="O171" s="2" t="s">
        <v>4373</v>
      </c>
      <c r="P171" s="2" t="s">
        <v>4379</v>
      </c>
    </row>
    <row r="172" spans="1:16">
      <c r="A172" s="4">
        <v>46248.432245370372</v>
      </c>
      <c r="B172" s="2" t="s">
        <v>1634</v>
      </c>
      <c r="C172" s="2" t="s">
        <v>4120</v>
      </c>
      <c r="D172" s="2" t="s">
        <v>690</v>
      </c>
      <c r="E172" s="2">
        <v>14</v>
      </c>
      <c r="F172" s="2"/>
      <c r="G172" s="2">
        <v>14</v>
      </c>
      <c r="H172" s="2" t="s">
        <v>3132</v>
      </c>
      <c r="I172" s="2" t="s">
        <v>695</v>
      </c>
      <c r="J172" s="2" t="s">
        <v>2537</v>
      </c>
      <c r="K172" s="2" t="s">
        <v>1855</v>
      </c>
      <c r="L172" s="2" t="s">
        <v>1188</v>
      </c>
      <c r="M172" s="2" t="str">
        <f t="shared" si="5"/>
        <v>10</v>
      </c>
      <c r="N172" s="2" t="s">
        <v>552</v>
      </c>
      <c r="O172" s="2" t="s">
        <v>4373</v>
      </c>
      <c r="P172" s="2" t="s">
        <v>4379</v>
      </c>
    </row>
    <row r="173" spans="1:16">
      <c r="A173" s="4">
        <v>46248.431932870371</v>
      </c>
      <c r="B173" s="2" t="s">
        <v>409</v>
      </c>
      <c r="C173" s="2" t="s">
        <v>4120</v>
      </c>
      <c r="D173" s="2" t="s">
        <v>690</v>
      </c>
      <c r="E173" s="2">
        <v>14</v>
      </c>
      <c r="F173" s="2"/>
      <c r="G173" s="2">
        <v>14</v>
      </c>
      <c r="H173" s="2" t="s">
        <v>3132</v>
      </c>
      <c r="I173" s="2" t="s">
        <v>695</v>
      </c>
      <c r="J173" s="2" t="s">
        <v>2537</v>
      </c>
      <c r="K173" s="2" t="s">
        <v>1855</v>
      </c>
      <c r="L173" s="2" t="s">
        <v>1188</v>
      </c>
      <c r="M173" s="2" t="str">
        <f t="shared" si="5"/>
        <v>10</v>
      </c>
      <c r="N173" s="2" t="s">
        <v>2084</v>
      </c>
      <c r="O173" s="2" t="s">
        <v>4373</v>
      </c>
      <c r="P173" s="2" t="s">
        <v>4379</v>
      </c>
    </row>
    <row r="174" spans="1:16">
      <c r="A174" s="4">
        <v>46248.43068287037</v>
      </c>
      <c r="B174" s="2" t="s">
        <v>3893</v>
      </c>
      <c r="C174" s="2" t="s">
        <v>4120</v>
      </c>
      <c r="D174" s="2" t="s">
        <v>690</v>
      </c>
      <c r="E174" s="2">
        <v>14</v>
      </c>
      <c r="F174" s="2"/>
      <c r="G174" s="2">
        <v>14</v>
      </c>
      <c r="H174" s="2" t="s">
        <v>3132</v>
      </c>
      <c r="I174" s="2" t="s">
        <v>695</v>
      </c>
      <c r="J174" s="2" t="s">
        <v>2537</v>
      </c>
      <c r="K174" s="2" t="s">
        <v>1855</v>
      </c>
      <c r="L174" s="2" t="s">
        <v>1188</v>
      </c>
      <c r="M174" s="2" t="str">
        <f t="shared" si="5"/>
        <v>10</v>
      </c>
      <c r="N174" s="2" t="s">
        <v>3543</v>
      </c>
      <c r="O174" s="2" t="s">
        <v>4373</v>
      </c>
      <c r="P174" s="2" t="s">
        <v>4379</v>
      </c>
    </row>
    <row r="175" spans="1:16">
      <c r="A175" s="4">
        <v>46248.430648148147</v>
      </c>
      <c r="B175" s="2" t="s">
        <v>1014</v>
      </c>
      <c r="C175" s="2" t="s">
        <v>4120</v>
      </c>
      <c r="D175" s="2" t="s">
        <v>690</v>
      </c>
      <c r="E175" s="2">
        <v>14</v>
      </c>
      <c r="F175" s="2"/>
      <c r="G175" s="2">
        <v>14</v>
      </c>
      <c r="H175" s="2" t="s">
        <v>3132</v>
      </c>
      <c r="I175" s="2" t="s">
        <v>695</v>
      </c>
      <c r="J175" s="2" t="s">
        <v>2537</v>
      </c>
      <c r="K175" s="2" t="s">
        <v>1855</v>
      </c>
      <c r="L175" s="2" t="s">
        <v>1188</v>
      </c>
      <c r="M175" s="2" t="str">
        <f t="shared" si="5"/>
        <v>10</v>
      </c>
      <c r="N175" s="2" t="s">
        <v>2686</v>
      </c>
      <c r="O175" s="2" t="s">
        <v>4373</v>
      </c>
      <c r="P175" s="2" t="s">
        <v>4379</v>
      </c>
    </row>
    <row r="176" spans="1:16">
      <c r="A176" s="4">
        <v>46248.430393518516</v>
      </c>
      <c r="B176" s="2" t="s">
        <v>3951</v>
      </c>
      <c r="C176" s="2" t="s">
        <v>4120</v>
      </c>
      <c r="D176" s="2" t="s">
        <v>690</v>
      </c>
      <c r="E176" s="2">
        <v>14</v>
      </c>
      <c r="F176" s="2"/>
      <c r="G176" s="2">
        <v>14</v>
      </c>
      <c r="H176" s="2" t="s">
        <v>3132</v>
      </c>
      <c r="I176" s="2" t="s">
        <v>695</v>
      </c>
      <c r="J176" s="2" t="s">
        <v>2537</v>
      </c>
      <c r="K176" s="2" t="s">
        <v>1855</v>
      </c>
      <c r="L176" s="2" t="s">
        <v>1188</v>
      </c>
      <c r="M176" s="2" t="str">
        <f t="shared" si="5"/>
        <v>10</v>
      </c>
      <c r="N176" s="2" t="s">
        <v>3</v>
      </c>
      <c r="O176" s="2" t="s">
        <v>4373</v>
      </c>
      <c r="P176" s="2" t="s">
        <v>4379</v>
      </c>
    </row>
    <row r="177" spans="1:16">
      <c r="A177" s="4">
        <v>46248.414537037039</v>
      </c>
      <c r="B177" s="2" t="s">
        <v>71</v>
      </c>
      <c r="C177" s="2" t="s">
        <v>4120</v>
      </c>
      <c r="D177" s="2" t="s">
        <v>690</v>
      </c>
      <c r="E177" s="2">
        <v>14</v>
      </c>
      <c r="F177" s="2"/>
      <c r="G177" s="2">
        <v>14</v>
      </c>
      <c r="H177" s="2" t="s">
        <v>3132</v>
      </c>
      <c r="I177" s="2" t="s">
        <v>695</v>
      </c>
      <c r="J177" s="2" t="s">
        <v>2537</v>
      </c>
      <c r="K177" s="2" t="s">
        <v>1855</v>
      </c>
      <c r="L177" s="2" t="s">
        <v>1188</v>
      </c>
      <c r="M177" s="2" t="str">
        <f t="shared" si="5"/>
        <v>10</v>
      </c>
      <c r="N177" s="2" t="s">
        <v>4069</v>
      </c>
      <c r="O177" s="2" t="s">
        <v>4373</v>
      </c>
      <c r="P177" s="2" t="s">
        <v>4379</v>
      </c>
    </row>
    <row r="178" spans="1:16">
      <c r="A178" s="4">
        <v>46248.414479166669</v>
      </c>
      <c r="B178" s="2" t="s">
        <v>3357</v>
      </c>
      <c r="C178" s="2" t="s">
        <v>4120</v>
      </c>
      <c r="D178" s="2" t="s">
        <v>690</v>
      </c>
      <c r="E178" s="2">
        <v>14</v>
      </c>
      <c r="F178" s="2"/>
      <c r="G178" s="2">
        <v>14</v>
      </c>
      <c r="H178" s="2" t="s">
        <v>3132</v>
      </c>
      <c r="I178" s="2" t="s">
        <v>695</v>
      </c>
      <c r="J178" s="2" t="s">
        <v>2537</v>
      </c>
      <c r="K178" s="2" t="s">
        <v>1855</v>
      </c>
      <c r="L178" s="2" t="s">
        <v>1188</v>
      </c>
      <c r="M178" s="2" t="str">
        <f t="shared" si="5"/>
        <v>10</v>
      </c>
      <c r="N178" s="2" t="s">
        <v>363</v>
      </c>
      <c r="O178" s="2" t="s">
        <v>4373</v>
      </c>
      <c r="P178" s="2" t="s">
        <v>4379</v>
      </c>
    </row>
    <row r="179" spans="1:16">
      <c r="A179" s="4">
        <v>46248.413206018522</v>
      </c>
      <c r="B179" s="2" t="s">
        <v>4118</v>
      </c>
      <c r="C179" s="2" t="s">
        <v>4120</v>
      </c>
      <c r="D179" s="2" t="s">
        <v>690</v>
      </c>
      <c r="E179" s="2">
        <v>14</v>
      </c>
      <c r="F179" s="2"/>
      <c r="G179" s="2">
        <v>14</v>
      </c>
      <c r="H179" s="2" t="s">
        <v>3132</v>
      </c>
      <c r="I179" s="2" t="s">
        <v>695</v>
      </c>
      <c r="J179" s="2" t="s">
        <v>2537</v>
      </c>
      <c r="K179" s="2" t="s">
        <v>1855</v>
      </c>
      <c r="L179" s="2" t="s">
        <v>1188</v>
      </c>
      <c r="M179" s="2" t="str">
        <f t="shared" si="5"/>
        <v>10</v>
      </c>
      <c r="N179" s="2" t="s">
        <v>2509</v>
      </c>
      <c r="O179" s="2" t="s">
        <v>4373</v>
      </c>
      <c r="P179" s="2" t="s">
        <v>4379</v>
      </c>
    </row>
    <row r="180" spans="1:16">
      <c r="A180" s="4">
        <v>46248.412986111114</v>
      </c>
      <c r="B180" s="2" t="s">
        <v>4247</v>
      </c>
      <c r="C180" s="2" t="s">
        <v>4120</v>
      </c>
      <c r="D180" s="2" t="s">
        <v>690</v>
      </c>
      <c r="E180" s="2">
        <v>14</v>
      </c>
      <c r="F180" s="2"/>
      <c r="G180" s="2">
        <v>14</v>
      </c>
      <c r="H180" s="2" t="s">
        <v>3132</v>
      </c>
      <c r="I180" s="2" t="s">
        <v>695</v>
      </c>
      <c r="J180" s="2" t="s">
        <v>2537</v>
      </c>
      <c r="K180" s="2" t="s">
        <v>1855</v>
      </c>
      <c r="L180" s="2" t="s">
        <v>1188</v>
      </c>
      <c r="M180" s="2" t="str">
        <f t="shared" si="5"/>
        <v>10</v>
      </c>
      <c r="N180" s="2" t="s">
        <v>3631</v>
      </c>
      <c r="O180" s="2" t="s">
        <v>4373</v>
      </c>
      <c r="P180" s="2" t="s">
        <v>4379</v>
      </c>
    </row>
    <row r="181" spans="1:16">
      <c r="A181" s="4">
        <v>46248.412800925929</v>
      </c>
      <c r="B181" s="2" t="s">
        <v>3879</v>
      </c>
      <c r="C181" s="2" t="s">
        <v>4120</v>
      </c>
      <c r="D181" s="2" t="s">
        <v>690</v>
      </c>
      <c r="E181" s="2">
        <v>14</v>
      </c>
      <c r="F181" s="2"/>
      <c r="G181" s="2">
        <v>14</v>
      </c>
      <c r="H181" s="2" t="s">
        <v>3132</v>
      </c>
      <c r="I181" s="2" t="s">
        <v>695</v>
      </c>
      <c r="J181" s="2" t="s">
        <v>2537</v>
      </c>
      <c r="K181" s="2" t="s">
        <v>1855</v>
      </c>
      <c r="L181" s="2" t="s">
        <v>1188</v>
      </c>
      <c r="M181" s="2" t="str">
        <f t="shared" si="5"/>
        <v>10</v>
      </c>
      <c r="N181" s="2" t="s">
        <v>974</v>
      </c>
      <c r="O181" s="2" t="s">
        <v>4373</v>
      </c>
      <c r="P181" s="2" t="s">
        <v>4379</v>
      </c>
    </row>
    <row r="182" spans="1:16">
      <c r="A182" s="4">
        <v>46248.41138888889</v>
      </c>
      <c r="B182" s="2" t="s">
        <v>1692</v>
      </c>
      <c r="C182" s="2" t="s">
        <v>4120</v>
      </c>
      <c r="D182" s="2" t="s">
        <v>690</v>
      </c>
      <c r="E182" s="2">
        <v>14</v>
      </c>
      <c r="F182" s="2"/>
      <c r="G182" s="2">
        <v>14</v>
      </c>
      <c r="H182" s="2" t="s">
        <v>3132</v>
      </c>
      <c r="I182" s="2" t="s">
        <v>695</v>
      </c>
      <c r="J182" s="2" t="s">
        <v>2537</v>
      </c>
      <c r="K182" s="2" t="s">
        <v>1855</v>
      </c>
      <c r="L182" s="2" t="s">
        <v>1188</v>
      </c>
      <c r="M182" s="2" t="str">
        <f t="shared" si="5"/>
        <v>10</v>
      </c>
      <c r="N182" s="2" t="s">
        <v>1300</v>
      </c>
      <c r="O182" s="2" t="s">
        <v>4373</v>
      </c>
      <c r="P182" s="2" t="s">
        <v>4379</v>
      </c>
    </row>
    <row r="183" spans="1:16">
      <c r="A183" s="4">
        <v>46248.411319444444</v>
      </c>
      <c r="B183" s="2" t="s">
        <v>816</v>
      </c>
      <c r="C183" s="2" t="s">
        <v>4120</v>
      </c>
      <c r="D183" s="2" t="s">
        <v>690</v>
      </c>
      <c r="E183" s="2">
        <v>14</v>
      </c>
      <c r="F183" s="2"/>
      <c r="G183" s="2">
        <v>14</v>
      </c>
      <c r="H183" s="2" t="s">
        <v>3132</v>
      </c>
      <c r="I183" s="2" t="s">
        <v>695</v>
      </c>
      <c r="J183" s="2" t="s">
        <v>2537</v>
      </c>
      <c r="K183" s="2" t="s">
        <v>1855</v>
      </c>
      <c r="L183" s="2" t="s">
        <v>3493</v>
      </c>
      <c r="M183" s="2" t="str">
        <f t="shared" si="5"/>
        <v>03</v>
      </c>
      <c r="N183" s="2" t="s">
        <v>1596</v>
      </c>
      <c r="O183" s="2" t="s">
        <v>4373</v>
      </c>
      <c r="P183" s="2" t="s">
        <v>4379</v>
      </c>
    </row>
    <row r="184" spans="1:16">
      <c r="A184" s="4">
        <v>46248.411261574074</v>
      </c>
      <c r="B184" s="2" t="s">
        <v>1806</v>
      </c>
      <c r="C184" s="2" t="s">
        <v>4120</v>
      </c>
      <c r="D184" s="2" t="s">
        <v>690</v>
      </c>
      <c r="E184" s="2">
        <v>14</v>
      </c>
      <c r="F184" s="2"/>
      <c r="G184" s="2">
        <v>14</v>
      </c>
      <c r="H184" s="2" t="s">
        <v>3132</v>
      </c>
      <c r="I184" s="2" t="s">
        <v>695</v>
      </c>
      <c r="J184" s="2" t="s">
        <v>2537</v>
      </c>
      <c r="K184" s="2" t="s">
        <v>1855</v>
      </c>
      <c r="L184" s="2" t="s">
        <v>1188</v>
      </c>
      <c r="M184" s="2" t="str">
        <f t="shared" si="5"/>
        <v>10</v>
      </c>
      <c r="N184" s="2" t="s">
        <v>1345</v>
      </c>
      <c r="O184" s="2" t="s">
        <v>4373</v>
      </c>
      <c r="P184" s="2" t="s">
        <v>4379</v>
      </c>
    </row>
    <row r="185" spans="1:16">
      <c r="A185" s="4">
        <v>46248.411134259259</v>
      </c>
      <c r="B185" s="2" t="s">
        <v>1217</v>
      </c>
      <c r="C185" s="2" t="s">
        <v>4120</v>
      </c>
      <c r="D185" s="2" t="s">
        <v>690</v>
      </c>
      <c r="E185" s="2">
        <v>14</v>
      </c>
      <c r="F185" s="2"/>
      <c r="G185" s="2">
        <v>14</v>
      </c>
      <c r="H185" s="2" t="s">
        <v>3132</v>
      </c>
      <c r="I185" s="2" t="s">
        <v>695</v>
      </c>
      <c r="J185" s="2" t="s">
        <v>2537</v>
      </c>
      <c r="K185" s="2" t="s">
        <v>1855</v>
      </c>
      <c r="L185" s="2" t="s">
        <v>1188</v>
      </c>
      <c r="M185" s="2" t="str">
        <f t="shared" si="5"/>
        <v>10</v>
      </c>
      <c r="N185" s="2" t="s">
        <v>2345</v>
      </c>
      <c r="O185" s="2" t="s">
        <v>4373</v>
      </c>
      <c r="P185" s="2" t="s">
        <v>4379</v>
      </c>
    </row>
    <row r="186" spans="1:16">
      <c r="A186" s="4">
        <v>46248.410150462965</v>
      </c>
      <c r="B186" s="2" t="s">
        <v>791</v>
      </c>
      <c r="C186" s="2" t="s">
        <v>4120</v>
      </c>
      <c r="D186" s="2" t="s">
        <v>690</v>
      </c>
      <c r="E186" s="2">
        <v>14</v>
      </c>
      <c r="F186" s="2"/>
      <c r="G186" s="2">
        <v>14</v>
      </c>
      <c r="H186" s="2" t="s">
        <v>3132</v>
      </c>
      <c r="I186" s="2" t="s">
        <v>695</v>
      </c>
      <c r="J186" s="2" t="s">
        <v>2537</v>
      </c>
      <c r="K186" s="2" t="s">
        <v>1855</v>
      </c>
      <c r="L186" s="2" t="s">
        <v>1188</v>
      </c>
      <c r="M186" s="2" t="str">
        <f t="shared" si="5"/>
        <v>10</v>
      </c>
      <c r="N186" s="2" t="s">
        <v>2262</v>
      </c>
      <c r="O186" s="2" t="s">
        <v>4373</v>
      </c>
      <c r="P186" s="2" t="s">
        <v>4379</v>
      </c>
    </row>
    <row r="187" spans="1:16">
      <c r="A187" s="4">
        <v>46248.409849537034</v>
      </c>
      <c r="B187" s="2" t="s">
        <v>1695</v>
      </c>
      <c r="C187" s="2" t="s">
        <v>4120</v>
      </c>
      <c r="D187" s="2" t="s">
        <v>690</v>
      </c>
      <c r="E187" s="2">
        <v>14</v>
      </c>
      <c r="F187" s="2"/>
      <c r="G187" s="2">
        <v>14</v>
      </c>
      <c r="H187" s="2" t="s">
        <v>3132</v>
      </c>
      <c r="I187" s="2" t="s">
        <v>695</v>
      </c>
      <c r="J187" s="2" t="s">
        <v>2537</v>
      </c>
      <c r="K187" s="2" t="s">
        <v>1855</v>
      </c>
      <c r="L187" s="2" t="s">
        <v>1188</v>
      </c>
      <c r="M187" s="2" t="str">
        <f t="shared" si="5"/>
        <v>10</v>
      </c>
      <c r="N187" s="2" t="s">
        <v>2735</v>
      </c>
      <c r="O187" s="2" t="s">
        <v>4373</v>
      </c>
      <c r="P187" s="2" t="s">
        <v>4379</v>
      </c>
    </row>
    <row r="188" spans="1:16">
      <c r="A188" s="4">
        <v>46248.366631944446</v>
      </c>
      <c r="B188" s="2" t="s">
        <v>897</v>
      </c>
      <c r="C188" s="2" t="s">
        <v>4120</v>
      </c>
      <c r="D188" s="2" t="s">
        <v>690</v>
      </c>
      <c r="E188" s="2">
        <v>12</v>
      </c>
      <c r="F188" s="2"/>
      <c r="G188" s="2">
        <v>12</v>
      </c>
      <c r="H188" s="2" t="s">
        <v>3132</v>
      </c>
      <c r="I188" s="2" t="s">
        <v>695</v>
      </c>
      <c r="J188" s="2" t="s">
        <v>2537</v>
      </c>
      <c r="K188" s="2" t="s">
        <v>1855</v>
      </c>
      <c r="L188" s="2" t="s">
        <v>3493</v>
      </c>
      <c r="M188" s="2" t="str">
        <f t="shared" si="5"/>
        <v>03</v>
      </c>
      <c r="N188" s="2" t="s">
        <v>3658</v>
      </c>
      <c r="O188" s="2" t="s">
        <v>4373</v>
      </c>
      <c r="P188" s="2" t="s">
        <v>4379</v>
      </c>
    </row>
    <row r="189" spans="1:16">
      <c r="A189" s="4">
        <v>46248.36650462963</v>
      </c>
      <c r="B189" s="2" t="s">
        <v>2727</v>
      </c>
      <c r="C189" s="2" t="s">
        <v>4120</v>
      </c>
      <c r="D189" s="2" t="s">
        <v>690</v>
      </c>
      <c r="E189" s="2">
        <v>14</v>
      </c>
      <c r="F189" s="2"/>
      <c r="G189" s="2">
        <v>14</v>
      </c>
      <c r="H189" s="2" t="s">
        <v>3132</v>
      </c>
      <c r="I189" s="2" t="s">
        <v>695</v>
      </c>
      <c r="J189" s="2" t="s">
        <v>2537</v>
      </c>
      <c r="K189" s="2" t="s">
        <v>1855</v>
      </c>
      <c r="L189" s="2" t="s">
        <v>3493</v>
      </c>
      <c r="M189" s="2" t="str">
        <f t="shared" si="5"/>
        <v>03</v>
      </c>
      <c r="N189" s="2" t="s">
        <v>1929</v>
      </c>
      <c r="O189" s="2" t="s">
        <v>4373</v>
      </c>
      <c r="P189" s="2" t="s">
        <v>4379</v>
      </c>
    </row>
    <row r="190" spans="1:16">
      <c r="A190" s="4">
        <v>46248.366493055553</v>
      </c>
      <c r="B190" s="2" t="s">
        <v>994</v>
      </c>
      <c r="C190" s="2" t="s">
        <v>4120</v>
      </c>
      <c r="D190" s="2" t="s">
        <v>690</v>
      </c>
      <c r="E190" s="2">
        <v>14</v>
      </c>
      <c r="F190" s="2"/>
      <c r="G190" s="2">
        <v>14</v>
      </c>
      <c r="H190" s="2" t="s">
        <v>3132</v>
      </c>
      <c r="I190" s="2" t="s">
        <v>695</v>
      </c>
      <c r="J190" s="2" t="s">
        <v>2537</v>
      </c>
      <c r="K190" s="2" t="s">
        <v>1855</v>
      </c>
      <c r="L190" s="2" t="s">
        <v>3493</v>
      </c>
      <c r="M190" s="2" t="str">
        <f t="shared" si="5"/>
        <v>03</v>
      </c>
      <c r="N190" s="2" t="s">
        <v>1131</v>
      </c>
      <c r="O190" s="2" t="s">
        <v>4373</v>
      </c>
      <c r="P190" s="2" t="s">
        <v>4379</v>
      </c>
    </row>
    <row r="191" spans="1:16">
      <c r="A191" s="4">
        <v>46248.365173611113</v>
      </c>
      <c r="B191" s="2" t="s">
        <v>2133</v>
      </c>
      <c r="C191" s="2" t="s">
        <v>4120</v>
      </c>
      <c r="D191" s="2" t="s">
        <v>690</v>
      </c>
      <c r="E191" s="2">
        <v>14</v>
      </c>
      <c r="F191" s="2"/>
      <c r="G191" s="2">
        <v>14</v>
      </c>
      <c r="H191" s="2" t="s">
        <v>3132</v>
      </c>
      <c r="I191" s="2" t="s">
        <v>695</v>
      </c>
      <c r="J191" s="2" t="s">
        <v>2537</v>
      </c>
      <c r="K191" s="2" t="s">
        <v>1855</v>
      </c>
      <c r="L191" s="2" t="s">
        <v>3493</v>
      </c>
      <c r="M191" s="2" t="str">
        <f t="shared" si="5"/>
        <v>03</v>
      </c>
      <c r="N191" s="2" t="s">
        <v>1180</v>
      </c>
      <c r="O191" s="2" t="s">
        <v>4373</v>
      </c>
      <c r="P191" s="2" t="s">
        <v>4379</v>
      </c>
    </row>
    <row r="192" spans="1:16">
      <c r="A192" s="4">
        <v>46248.364976851852</v>
      </c>
      <c r="B192" s="2" t="s">
        <v>3541</v>
      </c>
      <c r="C192" s="2" t="s">
        <v>4120</v>
      </c>
      <c r="D192" s="2" t="s">
        <v>690</v>
      </c>
      <c r="E192" s="2">
        <v>14</v>
      </c>
      <c r="F192" s="2"/>
      <c r="G192" s="2">
        <v>14</v>
      </c>
      <c r="H192" s="2" t="s">
        <v>3132</v>
      </c>
      <c r="I192" s="2" t="s">
        <v>695</v>
      </c>
      <c r="J192" s="2" t="s">
        <v>2537</v>
      </c>
      <c r="K192" s="2" t="s">
        <v>1855</v>
      </c>
      <c r="L192" s="2" t="s">
        <v>3493</v>
      </c>
      <c r="M192" s="2" t="str">
        <f t="shared" si="5"/>
        <v>03</v>
      </c>
      <c r="N192" s="2" t="s">
        <v>4116</v>
      </c>
      <c r="O192" s="2" t="s">
        <v>4373</v>
      </c>
      <c r="P192" s="2" t="s">
        <v>4379</v>
      </c>
    </row>
    <row r="193" spans="1:16">
      <c r="A193" s="4">
        <v>46248.363333333335</v>
      </c>
      <c r="B193" s="2" t="s">
        <v>448</v>
      </c>
      <c r="C193" s="2" t="s">
        <v>4120</v>
      </c>
      <c r="D193" s="2" t="s">
        <v>690</v>
      </c>
      <c r="E193" s="2">
        <v>14</v>
      </c>
      <c r="F193" s="2"/>
      <c r="G193" s="2">
        <v>14</v>
      </c>
      <c r="H193" s="2" t="s">
        <v>3132</v>
      </c>
      <c r="I193" s="2" t="s">
        <v>695</v>
      </c>
      <c r="J193" s="2" t="s">
        <v>2537</v>
      </c>
      <c r="K193" s="2" t="s">
        <v>1855</v>
      </c>
      <c r="L193" s="2" t="s">
        <v>3493</v>
      </c>
      <c r="M193" s="2" t="str">
        <f t="shared" si="5"/>
        <v>03</v>
      </c>
      <c r="N193" s="2" t="s">
        <v>3608</v>
      </c>
      <c r="O193" s="2" t="s">
        <v>4373</v>
      </c>
      <c r="P193" s="2" t="s">
        <v>4379</v>
      </c>
    </row>
    <row r="194" spans="1:16">
      <c r="A194" s="4">
        <v>46248.363171296296</v>
      </c>
      <c r="B194" s="2" t="s">
        <v>4095</v>
      </c>
      <c r="C194" s="2" t="s">
        <v>4120</v>
      </c>
      <c r="D194" s="2" t="s">
        <v>690</v>
      </c>
      <c r="E194" s="2">
        <v>14</v>
      </c>
      <c r="F194" s="2"/>
      <c r="G194" s="2">
        <v>14</v>
      </c>
      <c r="H194" s="2" t="s">
        <v>3132</v>
      </c>
      <c r="I194" s="2" t="s">
        <v>695</v>
      </c>
      <c r="J194" s="2" t="s">
        <v>2537</v>
      </c>
      <c r="K194" s="2" t="s">
        <v>1855</v>
      </c>
      <c r="L194" s="2" t="s">
        <v>3493</v>
      </c>
      <c r="M194" s="2" t="str">
        <f t="shared" ref="M194:M257" si="6">RIGHT(L194,2)</f>
        <v>03</v>
      </c>
      <c r="N194" s="2" t="s">
        <v>2619</v>
      </c>
      <c r="O194" s="2" t="s">
        <v>4373</v>
      </c>
      <c r="P194" s="2" t="s">
        <v>4379</v>
      </c>
    </row>
    <row r="195" spans="1:16">
      <c r="A195" s="4">
        <v>46248.361747685187</v>
      </c>
      <c r="B195" s="2" t="s">
        <v>2810</v>
      </c>
      <c r="C195" s="2" t="s">
        <v>4120</v>
      </c>
      <c r="D195" s="2" t="s">
        <v>690</v>
      </c>
      <c r="E195" s="2">
        <v>14</v>
      </c>
      <c r="F195" s="2"/>
      <c r="G195" s="2">
        <v>14</v>
      </c>
      <c r="H195" s="2" t="s">
        <v>3132</v>
      </c>
      <c r="I195" s="2" t="s">
        <v>695</v>
      </c>
      <c r="J195" s="2" t="s">
        <v>2537</v>
      </c>
      <c r="K195" s="2" t="s">
        <v>1855</v>
      </c>
      <c r="L195" s="2" t="s">
        <v>3493</v>
      </c>
      <c r="M195" s="2" t="str">
        <f t="shared" si="6"/>
        <v>03</v>
      </c>
      <c r="N195" s="2" t="s">
        <v>3855</v>
      </c>
      <c r="O195" s="2" t="s">
        <v>4373</v>
      </c>
      <c r="P195" s="2" t="s">
        <v>4379</v>
      </c>
    </row>
    <row r="196" spans="1:16">
      <c r="A196" s="4">
        <v>46248.361539351848</v>
      </c>
      <c r="B196" s="2" t="s">
        <v>188</v>
      </c>
      <c r="C196" s="2" t="s">
        <v>4120</v>
      </c>
      <c r="D196" s="2" t="s">
        <v>690</v>
      </c>
      <c r="E196" s="2">
        <v>14</v>
      </c>
      <c r="F196" s="2"/>
      <c r="G196" s="2">
        <v>14</v>
      </c>
      <c r="H196" s="2" t="s">
        <v>3132</v>
      </c>
      <c r="I196" s="2" t="s">
        <v>695</v>
      </c>
      <c r="J196" s="2" t="s">
        <v>2537</v>
      </c>
      <c r="K196" s="2" t="s">
        <v>1855</v>
      </c>
      <c r="L196" s="2" t="s">
        <v>3493</v>
      </c>
      <c r="M196" s="2" t="str">
        <f t="shared" si="6"/>
        <v>03</v>
      </c>
      <c r="N196" s="2" t="s">
        <v>235</v>
      </c>
      <c r="O196" s="2" t="s">
        <v>4373</v>
      </c>
      <c r="P196" s="2" t="s">
        <v>4379</v>
      </c>
    </row>
    <row r="197" spans="1:16">
      <c r="A197" s="4">
        <v>46248.361018518517</v>
      </c>
      <c r="B197" s="2" t="s">
        <v>1292</v>
      </c>
      <c r="C197" s="2" t="s">
        <v>4120</v>
      </c>
      <c r="D197" s="2" t="s">
        <v>690</v>
      </c>
      <c r="E197" s="2">
        <v>14</v>
      </c>
      <c r="F197" s="2"/>
      <c r="G197" s="2">
        <v>14</v>
      </c>
      <c r="H197" s="2" t="s">
        <v>3132</v>
      </c>
      <c r="I197" s="2" t="s">
        <v>695</v>
      </c>
      <c r="J197" s="2" t="s">
        <v>2537</v>
      </c>
      <c r="K197" s="2" t="s">
        <v>1855</v>
      </c>
      <c r="L197" s="2" t="s">
        <v>3493</v>
      </c>
      <c r="M197" s="2" t="str">
        <f t="shared" si="6"/>
        <v>03</v>
      </c>
      <c r="N197" s="2" t="s">
        <v>3363</v>
      </c>
      <c r="O197" s="2" t="s">
        <v>4373</v>
      </c>
      <c r="P197" s="2" t="s">
        <v>4379</v>
      </c>
    </row>
    <row r="198" spans="1:16">
      <c r="A198" s="4">
        <v>46248.36041666667</v>
      </c>
      <c r="B198" s="2" t="s">
        <v>3544</v>
      </c>
      <c r="C198" s="2" t="s">
        <v>4120</v>
      </c>
      <c r="D198" s="2" t="s">
        <v>690</v>
      </c>
      <c r="E198" s="2">
        <v>14</v>
      </c>
      <c r="F198" s="2"/>
      <c r="G198" s="2">
        <v>14</v>
      </c>
      <c r="H198" s="2" t="s">
        <v>3132</v>
      </c>
      <c r="I198" s="2" t="s">
        <v>695</v>
      </c>
      <c r="J198" s="2" t="s">
        <v>2537</v>
      </c>
      <c r="K198" s="2" t="s">
        <v>1855</v>
      </c>
      <c r="L198" s="2" t="s">
        <v>3493</v>
      </c>
      <c r="M198" s="2" t="str">
        <f t="shared" si="6"/>
        <v>03</v>
      </c>
      <c r="N198" s="2" t="s">
        <v>2041</v>
      </c>
      <c r="O198" s="2" t="s">
        <v>4373</v>
      </c>
      <c r="P198" s="2" t="s">
        <v>4379</v>
      </c>
    </row>
    <row r="199" spans="1:16">
      <c r="A199" s="4">
        <v>46248.359432870369</v>
      </c>
      <c r="B199" s="2" t="s">
        <v>17</v>
      </c>
      <c r="C199" s="2" t="s">
        <v>4120</v>
      </c>
      <c r="D199" s="2" t="s">
        <v>690</v>
      </c>
      <c r="E199" s="2">
        <v>14</v>
      </c>
      <c r="F199" s="2"/>
      <c r="G199" s="2">
        <v>14</v>
      </c>
      <c r="H199" s="2" t="s">
        <v>3132</v>
      </c>
      <c r="I199" s="2" t="s">
        <v>695</v>
      </c>
      <c r="J199" s="2" t="s">
        <v>2537</v>
      </c>
      <c r="K199" s="2" t="s">
        <v>1855</v>
      </c>
      <c r="L199" s="2" t="s">
        <v>3493</v>
      </c>
      <c r="M199" s="2" t="str">
        <f t="shared" si="6"/>
        <v>03</v>
      </c>
      <c r="N199" s="2" t="s">
        <v>4074</v>
      </c>
      <c r="O199" s="2" t="s">
        <v>4373</v>
      </c>
      <c r="P199" s="2" t="s">
        <v>4379</v>
      </c>
    </row>
    <row r="200" spans="1:16">
      <c r="A200" s="4">
        <v>46248.359317129631</v>
      </c>
      <c r="B200" s="2" t="s">
        <v>3844</v>
      </c>
      <c r="C200" s="2" t="s">
        <v>4120</v>
      </c>
      <c r="D200" s="2" t="s">
        <v>690</v>
      </c>
      <c r="E200" s="2">
        <v>14</v>
      </c>
      <c r="F200" s="2"/>
      <c r="G200" s="2">
        <v>14</v>
      </c>
      <c r="H200" s="2" t="s">
        <v>3132</v>
      </c>
      <c r="I200" s="2" t="s">
        <v>695</v>
      </c>
      <c r="J200" s="2" t="s">
        <v>2537</v>
      </c>
      <c r="K200" s="2" t="s">
        <v>1855</v>
      </c>
      <c r="L200" s="2" t="s">
        <v>3493</v>
      </c>
      <c r="M200" s="2" t="str">
        <f t="shared" si="6"/>
        <v>03</v>
      </c>
      <c r="N200" s="2" t="s">
        <v>1011</v>
      </c>
      <c r="O200" s="2" t="s">
        <v>4373</v>
      </c>
      <c r="P200" s="2" t="s">
        <v>4379</v>
      </c>
    </row>
    <row r="201" spans="1:16">
      <c r="A201" s="4">
        <v>46248.357256944444</v>
      </c>
      <c r="B201" s="2" t="s">
        <v>4296</v>
      </c>
      <c r="C201" s="2" t="s">
        <v>4120</v>
      </c>
      <c r="D201" s="2" t="s">
        <v>690</v>
      </c>
      <c r="E201" s="2">
        <v>14</v>
      </c>
      <c r="F201" s="2"/>
      <c r="G201" s="2">
        <v>14</v>
      </c>
      <c r="H201" s="2" t="s">
        <v>3132</v>
      </c>
      <c r="I201" s="2" t="s">
        <v>695</v>
      </c>
      <c r="J201" s="2" t="s">
        <v>2537</v>
      </c>
      <c r="K201" s="2" t="s">
        <v>1855</v>
      </c>
      <c r="L201" s="2" t="s">
        <v>3493</v>
      </c>
      <c r="M201" s="2" t="str">
        <f t="shared" si="6"/>
        <v>03</v>
      </c>
      <c r="N201" s="2" t="s">
        <v>4114</v>
      </c>
      <c r="O201" s="2" t="s">
        <v>4373</v>
      </c>
      <c r="P201" s="2" t="s">
        <v>4379</v>
      </c>
    </row>
    <row r="202" spans="1:16">
      <c r="A202" s="4">
        <v>46248.357037037036</v>
      </c>
      <c r="B202" s="2" t="s">
        <v>2586</v>
      </c>
      <c r="C202" s="2" t="s">
        <v>4120</v>
      </c>
      <c r="D202" s="2" t="s">
        <v>690</v>
      </c>
      <c r="E202" s="2">
        <v>14</v>
      </c>
      <c r="F202" s="2"/>
      <c r="G202" s="2">
        <v>14</v>
      </c>
      <c r="H202" s="2" t="s">
        <v>3132</v>
      </c>
      <c r="I202" s="2" t="s">
        <v>695</v>
      </c>
      <c r="J202" s="2" t="s">
        <v>2537</v>
      </c>
      <c r="K202" s="2" t="s">
        <v>1855</v>
      </c>
      <c r="L202" s="2" t="s">
        <v>3493</v>
      </c>
      <c r="M202" s="2" t="str">
        <f t="shared" si="6"/>
        <v>03</v>
      </c>
      <c r="N202" s="2" t="s">
        <v>88</v>
      </c>
      <c r="O202" s="2" t="s">
        <v>4373</v>
      </c>
      <c r="P202" s="2" t="s">
        <v>4379</v>
      </c>
    </row>
    <row r="203" spans="1:16">
      <c r="A203" s="4">
        <v>46248.356944444444</v>
      </c>
      <c r="B203" s="2" t="s">
        <v>714</v>
      </c>
      <c r="C203" s="2" t="s">
        <v>4120</v>
      </c>
      <c r="D203" s="2" t="s">
        <v>690</v>
      </c>
      <c r="E203" s="2">
        <v>14</v>
      </c>
      <c r="F203" s="2"/>
      <c r="G203" s="2">
        <v>14</v>
      </c>
      <c r="H203" s="2" t="s">
        <v>3132</v>
      </c>
      <c r="I203" s="2" t="s">
        <v>695</v>
      </c>
      <c r="J203" s="2" t="s">
        <v>2537</v>
      </c>
      <c r="K203" s="2" t="s">
        <v>1855</v>
      </c>
      <c r="L203" s="2" t="s">
        <v>3493</v>
      </c>
      <c r="M203" s="2" t="str">
        <f t="shared" si="6"/>
        <v>03</v>
      </c>
      <c r="N203" s="2" t="s">
        <v>1030</v>
      </c>
      <c r="O203" s="2" t="s">
        <v>4373</v>
      </c>
      <c r="P203" s="2" t="s">
        <v>4379</v>
      </c>
    </row>
    <row r="204" spans="1:16">
      <c r="A204" s="4">
        <v>46248.356122685182</v>
      </c>
      <c r="B204" s="2" t="s">
        <v>3020</v>
      </c>
      <c r="C204" s="2" t="s">
        <v>4120</v>
      </c>
      <c r="D204" s="2" t="s">
        <v>690</v>
      </c>
      <c r="E204" s="2">
        <v>14</v>
      </c>
      <c r="F204" s="2"/>
      <c r="G204" s="2">
        <v>14</v>
      </c>
      <c r="H204" s="2" t="s">
        <v>3132</v>
      </c>
      <c r="I204" s="2" t="s">
        <v>695</v>
      </c>
      <c r="J204" s="2" t="s">
        <v>2537</v>
      </c>
      <c r="K204" s="2" t="s">
        <v>1855</v>
      </c>
      <c r="L204" s="2" t="s">
        <v>3493</v>
      </c>
      <c r="M204" s="2" t="str">
        <f t="shared" si="6"/>
        <v>03</v>
      </c>
      <c r="N204" s="2" t="s">
        <v>2837</v>
      </c>
      <c r="O204" s="2" t="s">
        <v>4373</v>
      </c>
      <c r="P204" s="2" t="s">
        <v>4379</v>
      </c>
    </row>
    <row r="205" spans="1:16">
      <c r="A205" s="4">
        <v>46248.356041666666</v>
      </c>
      <c r="B205" s="2" t="s">
        <v>2821</v>
      </c>
      <c r="C205" s="2" t="s">
        <v>4120</v>
      </c>
      <c r="D205" s="2" t="s">
        <v>690</v>
      </c>
      <c r="E205" s="2">
        <v>14</v>
      </c>
      <c r="F205" s="2"/>
      <c r="G205" s="2">
        <v>14</v>
      </c>
      <c r="H205" s="2" t="s">
        <v>3132</v>
      </c>
      <c r="I205" s="2" t="s">
        <v>695</v>
      </c>
      <c r="J205" s="2" t="s">
        <v>2537</v>
      </c>
      <c r="K205" s="2" t="s">
        <v>1855</v>
      </c>
      <c r="L205" s="2" t="s">
        <v>3493</v>
      </c>
      <c r="M205" s="2" t="str">
        <f t="shared" si="6"/>
        <v>03</v>
      </c>
      <c r="N205" s="2" t="s">
        <v>1445</v>
      </c>
      <c r="O205" s="2" t="s">
        <v>4373</v>
      </c>
      <c r="P205" s="2" t="s">
        <v>4379</v>
      </c>
    </row>
    <row r="206" spans="1:16">
      <c r="A206" s="4">
        <v>46248.354791666665</v>
      </c>
      <c r="B206" s="2" t="s">
        <v>1384</v>
      </c>
      <c r="C206" s="2" t="s">
        <v>4120</v>
      </c>
      <c r="D206" s="2" t="s">
        <v>690</v>
      </c>
      <c r="E206" s="2">
        <v>14</v>
      </c>
      <c r="F206" s="2"/>
      <c r="G206" s="2">
        <v>14</v>
      </c>
      <c r="H206" s="2" t="s">
        <v>3132</v>
      </c>
      <c r="I206" s="2" t="s">
        <v>695</v>
      </c>
      <c r="J206" s="2" t="s">
        <v>2537</v>
      </c>
      <c r="K206" s="2" t="s">
        <v>1855</v>
      </c>
      <c r="L206" s="2" t="s">
        <v>3493</v>
      </c>
      <c r="M206" s="2" t="str">
        <f t="shared" si="6"/>
        <v>03</v>
      </c>
      <c r="N206" s="2" t="s">
        <v>3371</v>
      </c>
      <c r="O206" s="2" t="s">
        <v>4373</v>
      </c>
      <c r="P206" s="2" t="s">
        <v>4379</v>
      </c>
    </row>
    <row r="207" spans="1:16">
      <c r="A207" s="4">
        <v>46248.352870370371</v>
      </c>
      <c r="B207" s="2" t="s">
        <v>417</v>
      </c>
      <c r="C207" s="2" t="s">
        <v>4120</v>
      </c>
      <c r="D207" s="2" t="s">
        <v>690</v>
      </c>
      <c r="E207" s="2">
        <v>14</v>
      </c>
      <c r="F207" s="2"/>
      <c r="G207" s="2">
        <v>14</v>
      </c>
      <c r="H207" s="2" t="s">
        <v>3132</v>
      </c>
      <c r="I207" s="2" t="s">
        <v>695</v>
      </c>
      <c r="J207" s="2" t="s">
        <v>2537</v>
      </c>
      <c r="K207" s="2" t="s">
        <v>1855</v>
      </c>
      <c r="L207" s="2" t="s">
        <v>3493</v>
      </c>
      <c r="M207" s="2" t="str">
        <f t="shared" si="6"/>
        <v>03</v>
      </c>
      <c r="N207" s="2" t="s">
        <v>2657</v>
      </c>
      <c r="O207" s="2" t="s">
        <v>4373</v>
      </c>
      <c r="P207" s="2" t="s">
        <v>4379</v>
      </c>
    </row>
    <row r="208" spans="1:16">
      <c r="A208" s="4">
        <v>46248.352083333331</v>
      </c>
      <c r="B208" s="2" t="s">
        <v>2694</v>
      </c>
      <c r="C208" s="2" t="s">
        <v>4120</v>
      </c>
      <c r="D208" s="2" t="s">
        <v>690</v>
      </c>
      <c r="E208" s="2">
        <v>14</v>
      </c>
      <c r="F208" s="2"/>
      <c r="G208" s="2">
        <v>14</v>
      </c>
      <c r="H208" s="2" t="s">
        <v>3132</v>
      </c>
      <c r="I208" s="2" t="s">
        <v>695</v>
      </c>
      <c r="J208" s="2" t="s">
        <v>2537</v>
      </c>
      <c r="K208" s="2" t="s">
        <v>1855</v>
      </c>
      <c r="L208" s="2" t="s">
        <v>3493</v>
      </c>
      <c r="M208" s="2" t="str">
        <f t="shared" si="6"/>
        <v>03</v>
      </c>
      <c r="N208" s="2" t="s">
        <v>3835</v>
      </c>
      <c r="O208" s="2" t="s">
        <v>4373</v>
      </c>
      <c r="P208" s="2" t="s">
        <v>4379</v>
      </c>
    </row>
    <row r="209" spans="1:16">
      <c r="A209" s="4">
        <v>46248.3515625</v>
      </c>
      <c r="B209" s="2" t="s">
        <v>3368</v>
      </c>
      <c r="C209" s="2" t="s">
        <v>4120</v>
      </c>
      <c r="D209" s="2" t="s">
        <v>690</v>
      </c>
      <c r="E209" s="2">
        <v>14</v>
      </c>
      <c r="F209" s="2"/>
      <c r="G209" s="2">
        <v>14</v>
      </c>
      <c r="H209" s="2" t="s">
        <v>3132</v>
      </c>
      <c r="I209" s="2" t="s">
        <v>695</v>
      </c>
      <c r="J209" s="2" t="s">
        <v>2537</v>
      </c>
      <c r="K209" s="2" t="s">
        <v>1855</v>
      </c>
      <c r="L209" s="2" t="s">
        <v>3493</v>
      </c>
      <c r="M209" s="2" t="str">
        <f t="shared" si="6"/>
        <v>03</v>
      </c>
      <c r="N209" s="2" t="s">
        <v>3347</v>
      </c>
      <c r="O209" s="2" t="s">
        <v>4373</v>
      </c>
      <c r="P209" s="2" t="s">
        <v>4379</v>
      </c>
    </row>
    <row r="210" spans="1:16">
      <c r="A210" s="4">
        <v>46247.724085648151</v>
      </c>
      <c r="B210" s="2" t="s">
        <v>4065</v>
      </c>
      <c r="C210" s="2" t="s">
        <v>4120</v>
      </c>
      <c r="D210" s="2" t="s">
        <v>690</v>
      </c>
      <c r="E210" s="2">
        <v>12</v>
      </c>
      <c r="F210" s="2"/>
      <c r="G210" s="2">
        <v>12</v>
      </c>
      <c r="H210" s="2" t="s">
        <v>3132</v>
      </c>
      <c r="I210" s="2" t="s">
        <v>695</v>
      </c>
      <c r="J210" s="2" t="s">
        <v>2537</v>
      </c>
      <c r="K210" s="2" t="s">
        <v>1855</v>
      </c>
      <c r="L210" s="2" t="s">
        <v>3386</v>
      </c>
      <c r="M210" s="2" t="str">
        <f t="shared" si="6"/>
        <v>13</v>
      </c>
      <c r="N210" s="2" t="s">
        <v>1614</v>
      </c>
      <c r="O210" s="2" t="s">
        <v>4373</v>
      </c>
      <c r="P210" s="2" t="s">
        <v>4380</v>
      </c>
    </row>
    <row r="211" spans="1:16">
      <c r="A211" s="4">
        <v>46247.724074074074</v>
      </c>
      <c r="B211" s="2" t="s">
        <v>1481</v>
      </c>
      <c r="C211" s="2" t="s">
        <v>4120</v>
      </c>
      <c r="D211" s="2" t="s">
        <v>690</v>
      </c>
      <c r="E211" s="2">
        <v>14</v>
      </c>
      <c r="F211" s="2"/>
      <c r="G211" s="2">
        <v>14</v>
      </c>
      <c r="H211" s="2" t="s">
        <v>3132</v>
      </c>
      <c r="I211" s="2" t="s">
        <v>695</v>
      </c>
      <c r="J211" s="2" t="s">
        <v>2537</v>
      </c>
      <c r="K211" s="2" t="s">
        <v>1855</v>
      </c>
      <c r="L211" s="2" t="s">
        <v>3386</v>
      </c>
      <c r="M211" s="2" t="str">
        <f t="shared" si="6"/>
        <v>13</v>
      </c>
      <c r="N211" s="2" t="s">
        <v>647</v>
      </c>
      <c r="O211" s="2" t="s">
        <v>4373</v>
      </c>
      <c r="P211" s="2" t="s">
        <v>4380</v>
      </c>
    </row>
    <row r="212" spans="1:16">
      <c r="A212" s="4">
        <v>46247.724004629628</v>
      </c>
      <c r="B212" s="2" t="s">
        <v>2302</v>
      </c>
      <c r="C212" s="2" t="s">
        <v>4120</v>
      </c>
      <c r="D212" s="2" t="s">
        <v>690</v>
      </c>
      <c r="E212" s="2">
        <v>14</v>
      </c>
      <c r="F212" s="2"/>
      <c r="G212" s="2">
        <v>14</v>
      </c>
      <c r="H212" s="2" t="s">
        <v>3132</v>
      </c>
      <c r="I212" s="2" t="s">
        <v>695</v>
      </c>
      <c r="J212" s="2" t="s">
        <v>2537</v>
      </c>
      <c r="K212" s="2" t="s">
        <v>1855</v>
      </c>
      <c r="L212" s="2" t="s">
        <v>3386</v>
      </c>
      <c r="M212" s="2" t="str">
        <f t="shared" si="6"/>
        <v>13</v>
      </c>
      <c r="N212" s="2" t="s">
        <v>1970</v>
      </c>
      <c r="O212" s="2" t="s">
        <v>4373</v>
      </c>
      <c r="P212" s="2" t="s">
        <v>4380</v>
      </c>
    </row>
    <row r="213" spans="1:16">
      <c r="A213" s="4">
        <v>46247.705497685187</v>
      </c>
      <c r="B213" s="2" t="s">
        <v>4274</v>
      </c>
      <c r="C213" s="2" t="s">
        <v>4120</v>
      </c>
      <c r="D213" s="2" t="s">
        <v>690</v>
      </c>
      <c r="E213" s="2">
        <v>14</v>
      </c>
      <c r="F213" s="2"/>
      <c r="G213" s="2">
        <v>14</v>
      </c>
      <c r="H213" s="2" t="s">
        <v>3132</v>
      </c>
      <c r="I213" s="2" t="s">
        <v>695</v>
      </c>
      <c r="J213" s="2" t="s">
        <v>2537</v>
      </c>
      <c r="K213" s="2" t="s">
        <v>1855</v>
      </c>
      <c r="L213" s="2" t="s">
        <v>3386</v>
      </c>
      <c r="M213" s="2" t="str">
        <f t="shared" si="6"/>
        <v>13</v>
      </c>
      <c r="N213" s="2" t="s">
        <v>4320</v>
      </c>
      <c r="O213" s="2" t="s">
        <v>4373</v>
      </c>
      <c r="P213" s="2" t="s">
        <v>4380</v>
      </c>
    </row>
    <row r="214" spans="1:16">
      <c r="A214" s="4">
        <v>46247.704907407409</v>
      </c>
      <c r="B214" s="2" t="s">
        <v>2131</v>
      </c>
      <c r="C214" s="2" t="s">
        <v>4120</v>
      </c>
      <c r="D214" s="2" t="s">
        <v>690</v>
      </c>
      <c r="E214" s="2">
        <v>14</v>
      </c>
      <c r="F214" s="2"/>
      <c r="G214" s="2">
        <v>14</v>
      </c>
      <c r="H214" s="2" t="s">
        <v>3132</v>
      </c>
      <c r="I214" s="2" t="s">
        <v>695</v>
      </c>
      <c r="J214" s="2" t="s">
        <v>2537</v>
      </c>
      <c r="K214" s="2" t="s">
        <v>1855</v>
      </c>
      <c r="L214" s="2" t="s">
        <v>3386</v>
      </c>
      <c r="M214" s="2" t="str">
        <f t="shared" si="6"/>
        <v>13</v>
      </c>
      <c r="N214" s="2" t="s">
        <v>100</v>
      </c>
      <c r="O214" s="2" t="s">
        <v>4373</v>
      </c>
      <c r="P214" s="2" t="s">
        <v>4380</v>
      </c>
    </row>
    <row r="215" spans="1:16">
      <c r="A215" s="4">
        <v>46247.704085648147</v>
      </c>
      <c r="B215" s="2" t="s">
        <v>2664</v>
      </c>
      <c r="C215" s="2" t="s">
        <v>4120</v>
      </c>
      <c r="D215" s="2" t="s">
        <v>690</v>
      </c>
      <c r="E215" s="2">
        <v>14</v>
      </c>
      <c r="F215" s="2"/>
      <c r="G215" s="2">
        <v>14</v>
      </c>
      <c r="H215" s="2" t="s">
        <v>3132</v>
      </c>
      <c r="I215" s="2" t="s">
        <v>695</v>
      </c>
      <c r="J215" s="2" t="s">
        <v>2537</v>
      </c>
      <c r="K215" s="2" t="s">
        <v>1855</v>
      </c>
      <c r="L215" s="2" t="s">
        <v>3386</v>
      </c>
      <c r="M215" s="2" t="str">
        <f t="shared" si="6"/>
        <v>13</v>
      </c>
      <c r="N215" s="2" t="s">
        <v>1101</v>
      </c>
      <c r="O215" s="2" t="s">
        <v>4373</v>
      </c>
      <c r="P215" s="2" t="s">
        <v>4380</v>
      </c>
    </row>
    <row r="216" spans="1:16">
      <c r="A216" s="4">
        <v>46247.703969907408</v>
      </c>
      <c r="B216" s="2" t="s">
        <v>971</v>
      </c>
      <c r="C216" s="2" t="s">
        <v>4120</v>
      </c>
      <c r="D216" s="2" t="s">
        <v>690</v>
      </c>
      <c r="E216" s="2">
        <v>14</v>
      </c>
      <c r="F216" s="2"/>
      <c r="G216" s="2">
        <v>14</v>
      </c>
      <c r="H216" s="2" t="s">
        <v>3132</v>
      </c>
      <c r="I216" s="2" t="s">
        <v>695</v>
      </c>
      <c r="J216" s="2" t="s">
        <v>2537</v>
      </c>
      <c r="K216" s="2" t="s">
        <v>1855</v>
      </c>
      <c r="L216" s="2" t="s">
        <v>3386</v>
      </c>
      <c r="M216" s="2" t="str">
        <f t="shared" si="6"/>
        <v>13</v>
      </c>
      <c r="N216" s="2" t="s">
        <v>891</v>
      </c>
      <c r="O216" s="2" t="s">
        <v>4373</v>
      </c>
      <c r="P216" s="2" t="s">
        <v>4380</v>
      </c>
    </row>
    <row r="217" spans="1:16">
      <c r="A217" s="4">
        <v>46247.703067129631</v>
      </c>
      <c r="B217" s="2" t="s">
        <v>2215</v>
      </c>
      <c r="C217" s="2" t="s">
        <v>4120</v>
      </c>
      <c r="D217" s="2" t="s">
        <v>690</v>
      </c>
      <c r="E217" s="2">
        <v>14</v>
      </c>
      <c r="F217" s="2"/>
      <c r="G217" s="2">
        <v>14</v>
      </c>
      <c r="H217" s="2" t="s">
        <v>3132</v>
      </c>
      <c r="I217" s="2" t="s">
        <v>695</v>
      </c>
      <c r="J217" s="2" t="s">
        <v>2537</v>
      </c>
      <c r="K217" s="2" t="s">
        <v>1855</v>
      </c>
      <c r="L217" s="2" t="s">
        <v>3386</v>
      </c>
      <c r="M217" s="2" t="str">
        <f t="shared" si="6"/>
        <v>13</v>
      </c>
      <c r="N217" s="2" t="s">
        <v>1259</v>
      </c>
      <c r="O217" s="2" t="s">
        <v>4373</v>
      </c>
      <c r="P217" s="2" t="s">
        <v>4380</v>
      </c>
    </row>
    <row r="218" spans="1:16">
      <c r="A218" s="4">
        <v>46247.702800925923</v>
      </c>
      <c r="B218" s="2" t="s">
        <v>1307</v>
      </c>
      <c r="C218" s="2" t="s">
        <v>4120</v>
      </c>
      <c r="D218" s="2" t="s">
        <v>690</v>
      </c>
      <c r="E218" s="2">
        <v>14</v>
      </c>
      <c r="F218" s="2"/>
      <c r="G218" s="2">
        <v>14</v>
      </c>
      <c r="H218" s="2" t="s">
        <v>3132</v>
      </c>
      <c r="I218" s="2" t="s">
        <v>695</v>
      </c>
      <c r="J218" s="2" t="s">
        <v>2537</v>
      </c>
      <c r="K218" s="2" t="s">
        <v>1855</v>
      </c>
      <c r="L218" s="2" t="s">
        <v>3386</v>
      </c>
      <c r="M218" s="2" t="str">
        <f t="shared" si="6"/>
        <v>13</v>
      </c>
      <c r="N218" s="2" t="s">
        <v>3129</v>
      </c>
      <c r="O218" s="2" t="s">
        <v>4373</v>
      </c>
      <c r="P218" s="2" t="s">
        <v>4380</v>
      </c>
    </row>
    <row r="219" spans="1:16">
      <c r="A219" s="4">
        <v>46247.701608796298</v>
      </c>
      <c r="B219" s="2" t="s">
        <v>3079</v>
      </c>
      <c r="C219" s="2" t="s">
        <v>4120</v>
      </c>
      <c r="D219" s="2" t="s">
        <v>690</v>
      </c>
      <c r="E219" s="2">
        <v>14</v>
      </c>
      <c r="F219" s="2"/>
      <c r="G219" s="2">
        <v>14</v>
      </c>
      <c r="H219" s="2" t="s">
        <v>3132</v>
      </c>
      <c r="I219" s="2" t="s">
        <v>695</v>
      </c>
      <c r="J219" s="2" t="s">
        <v>2537</v>
      </c>
      <c r="K219" s="2" t="s">
        <v>1855</v>
      </c>
      <c r="L219" s="2" t="s">
        <v>3386</v>
      </c>
      <c r="M219" s="2" t="str">
        <f t="shared" si="6"/>
        <v>13</v>
      </c>
      <c r="N219" s="2" t="s">
        <v>258</v>
      </c>
      <c r="O219" s="2" t="s">
        <v>4373</v>
      </c>
      <c r="P219" s="2" t="s">
        <v>4380</v>
      </c>
    </row>
    <row r="220" spans="1:16">
      <c r="A220" s="4">
        <v>46247.701469907406</v>
      </c>
      <c r="B220" s="2" t="s">
        <v>1371</v>
      </c>
      <c r="C220" s="2" t="s">
        <v>4120</v>
      </c>
      <c r="D220" s="2" t="s">
        <v>690</v>
      </c>
      <c r="E220" s="2">
        <v>14</v>
      </c>
      <c r="F220" s="2"/>
      <c r="G220" s="2">
        <v>14</v>
      </c>
      <c r="H220" s="2" t="s">
        <v>3132</v>
      </c>
      <c r="I220" s="2" t="s">
        <v>695</v>
      </c>
      <c r="J220" s="2" t="s">
        <v>2537</v>
      </c>
      <c r="K220" s="2" t="s">
        <v>1855</v>
      </c>
      <c r="L220" s="2" t="s">
        <v>3386</v>
      </c>
      <c r="M220" s="2" t="str">
        <f t="shared" si="6"/>
        <v>13</v>
      </c>
      <c r="N220" s="2" t="s">
        <v>3839</v>
      </c>
      <c r="O220" s="2" t="s">
        <v>4373</v>
      </c>
      <c r="P220" s="2" t="s">
        <v>4380</v>
      </c>
    </row>
    <row r="221" spans="1:16">
      <c r="A221" s="4">
        <v>46247.701354166667</v>
      </c>
      <c r="B221" s="2" t="s">
        <v>4042</v>
      </c>
      <c r="C221" s="2" t="s">
        <v>4120</v>
      </c>
      <c r="D221" s="2" t="s">
        <v>690</v>
      </c>
      <c r="E221" s="2">
        <v>14</v>
      </c>
      <c r="F221" s="2"/>
      <c r="G221" s="2">
        <v>14</v>
      </c>
      <c r="H221" s="2" t="s">
        <v>3132</v>
      </c>
      <c r="I221" s="2" t="s">
        <v>695</v>
      </c>
      <c r="J221" s="2" t="s">
        <v>2537</v>
      </c>
      <c r="K221" s="2" t="s">
        <v>1855</v>
      </c>
      <c r="L221" s="2" t="s">
        <v>3386</v>
      </c>
      <c r="M221" s="2" t="str">
        <f t="shared" si="6"/>
        <v>13</v>
      </c>
      <c r="N221" s="2" t="s">
        <v>2998</v>
      </c>
      <c r="O221" s="2" t="s">
        <v>4373</v>
      </c>
      <c r="P221" s="2" t="s">
        <v>4380</v>
      </c>
    </row>
    <row r="222" spans="1:16">
      <c r="A222" s="4">
        <v>46247.70071759259</v>
      </c>
      <c r="B222" s="2" t="s">
        <v>4144</v>
      </c>
      <c r="C222" s="2" t="s">
        <v>4120</v>
      </c>
      <c r="D222" s="2" t="s">
        <v>690</v>
      </c>
      <c r="E222" s="2">
        <v>14</v>
      </c>
      <c r="F222" s="2"/>
      <c r="G222" s="2">
        <v>14</v>
      </c>
      <c r="H222" s="2" t="s">
        <v>3132</v>
      </c>
      <c r="I222" s="2" t="s">
        <v>695</v>
      </c>
      <c r="J222" s="2" t="s">
        <v>2537</v>
      </c>
      <c r="K222" s="2" t="s">
        <v>1855</v>
      </c>
      <c r="L222" s="2" t="s">
        <v>3386</v>
      </c>
      <c r="M222" s="2" t="str">
        <f t="shared" si="6"/>
        <v>13</v>
      </c>
      <c r="N222" s="2" t="s">
        <v>1056</v>
      </c>
      <c r="O222" s="2" t="s">
        <v>4373</v>
      </c>
      <c r="P222" s="2" t="s">
        <v>4380</v>
      </c>
    </row>
    <row r="223" spans="1:16">
      <c r="A223" s="4">
        <v>46247.70003472222</v>
      </c>
      <c r="B223" s="2" t="s">
        <v>2632</v>
      </c>
      <c r="C223" s="2" t="s">
        <v>4120</v>
      </c>
      <c r="D223" s="2" t="s">
        <v>690</v>
      </c>
      <c r="E223" s="2">
        <v>14</v>
      </c>
      <c r="F223" s="2"/>
      <c r="G223" s="2">
        <v>14</v>
      </c>
      <c r="H223" s="2" t="s">
        <v>3132</v>
      </c>
      <c r="I223" s="2" t="s">
        <v>695</v>
      </c>
      <c r="J223" s="2" t="s">
        <v>2537</v>
      </c>
      <c r="K223" s="2" t="s">
        <v>1855</v>
      </c>
      <c r="L223" s="2" t="s">
        <v>3386</v>
      </c>
      <c r="M223" s="2" t="str">
        <f t="shared" si="6"/>
        <v>13</v>
      </c>
      <c r="N223" s="2" t="s">
        <v>4327</v>
      </c>
      <c r="O223" s="2" t="s">
        <v>4373</v>
      </c>
      <c r="P223" s="2" t="s">
        <v>4380</v>
      </c>
    </row>
    <row r="224" spans="1:16">
      <c r="A224" s="4">
        <v>46247.699849537035</v>
      </c>
      <c r="B224" s="2" t="s">
        <v>2274</v>
      </c>
      <c r="C224" s="2" t="s">
        <v>4120</v>
      </c>
      <c r="D224" s="2" t="s">
        <v>690</v>
      </c>
      <c r="E224" s="2">
        <v>14</v>
      </c>
      <c r="F224" s="2"/>
      <c r="G224" s="2">
        <v>14</v>
      </c>
      <c r="H224" s="2" t="s">
        <v>3132</v>
      </c>
      <c r="I224" s="2" t="s">
        <v>695</v>
      </c>
      <c r="J224" s="2" t="s">
        <v>2537</v>
      </c>
      <c r="K224" s="2" t="s">
        <v>1855</v>
      </c>
      <c r="L224" s="2" t="s">
        <v>3386</v>
      </c>
      <c r="M224" s="2" t="str">
        <f t="shared" si="6"/>
        <v>13</v>
      </c>
      <c r="N224" s="2" t="s">
        <v>1668</v>
      </c>
      <c r="O224" s="2" t="s">
        <v>4373</v>
      </c>
      <c r="P224" s="2" t="s">
        <v>4380</v>
      </c>
    </row>
    <row r="225" spans="1:16">
      <c r="A225" s="4">
        <v>46247.69871527778</v>
      </c>
      <c r="B225" s="2" t="s">
        <v>2037</v>
      </c>
      <c r="C225" s="2" t="s">
        <v>4120</v>
      </c>
      <c r="D225" s="2" t="s">
        <v>690</v>
      </c>
      <c r="E225" s="2">
        <v>14</v>
      </c>
      <c r="F225" s="2"/>
      <c r="G225" s="2">
        <v>14</v>
      </c>
      <c r="H225" s="2" t="s">
        <v>3132</v>
      </c>
      <c r="I225" s="2" t="s">
        <v>695</v>
      </c>
      <c r="J225" s="2" t="s">
        <v>2537</v>
      </c>
      <c r="K225" s="2" t="s">
        <v>1855</v>
      </c>
      <c r="L225" s="2" t="s">
        <v>3386</v>
      </c>
      <c r="M225" s="2" t="str">
        <f t="shared" si="6"/>
        <v>13</v>
      </c>
      <c r="N225" s="2" t="s">
        <v>558</v>
      </c>
      <c r="O225" s="2" t="s">
        <v>4373</v>
      </c>
      <c r="P225" s="2" t="s">
        <v>4380</v>
      </c>
    </row>
    <row r="226" spans="1:16">
      <c r="A226" s="4">
        <v>46247.698472222219</v>
      </c>
      <c r="B226" s="2" t="s">
        <v>3481</v>
      </c>
      <c r="C226" s="2" t="s">
        <v>4120</v>
      </c>
      <c r="D226" s="2" t="s">
        <v>690</v>
      </c>
      <c r="E226" s="2">
        <v>14</v>
      </c>
      <c r="F226" s="2"/>
      <c r="G226" s="2">
        <v>14</v>
      </c>
      <c r="H226" s="2" t="s">
        <v>3132</v>
      </c>
      <c r="I226" s="2" t="s">
        <v>695</v>
      </c>
      <c r="J226" s="2" t="s">
        <v>2537</v>
      </c>
      <c r="K226" s="2" t="s">
        <v>1855</v>
      </c>
      <c r="L226" s="2" t="s">
        <v>3386</v>
      </c>
      <c r="M226" s="2" t="str">
        <f t="shared" si="6"/>
        <v>13</v>
      </c>
      <c r="N226" s="2" t="s">
        <v>3206</v>
      </c>
      <c r="O226" s="2" t="s">
        <v>4373</v>
      </c>
      <c r="P226" s="2" t="s">
        <v>4380</v>
      </c>
    </row>
    <row r="227" spans="1:16">
      <c r="A227" s="4">
        <v>46247.697210648148</v>
      </c>
      <c r="B227" s="2" t="s">
        <v>4192</v>
      </c>
      <c r="C227" s="2" t="s">
        <v>4120</v>
      </c>
      <c r="D227" s="2" t="s">
        <v>690</v>
      </c>
      <c r="E227" s="2">
        <v>14</v>
      </c>
      <c r="F227" s="2"/>
      <c r="G227" s="2">
        <v>14</v>
      </c>
      <c r="H227" s="2" t="s">
        <v>3132</v>
      </c>
      <c r="I227" s="2" t="s">
        <v>695</v>
      </c>
      <c r="J227" s="2" t="s">
        <v>2537</v>
      </c>
      <c r="K227" s="2" t="s">
        <v>1855</v>
      </c>
      <c r="L227" s="2" t="s">
        <v>3386</v>
      </c>
      <c r="M227" s="2" t="str">
        <f t="shared" si="6"/>
        <v>13</v>
      </c>
      <c r="N227" s="2" t="s">
        <v>877</v>
      </c>
      <c r="O227" s="2" t="s">
        <v>4373</v>
      </c>
      <c r="P227" s="2" t="s">
        <v>4380</v>
      </c>
    </row>
    <row r="228" spans="1:16">
      <c r="A228" s="4">
        <v>46247.696817129632</v>
      </c>
      <c r="B228" s="2" t="s">
        <v>3177</v>
      </c>
      <c r="C228" s="2" t="s">
        <v>4120</v>
      </c>
      <c r="D228" s="2" t="s">
        <v>690</v>
      </c>
      <c r="E228" s="2">
        <v>14</v>
      </c>
      <c r="F228" s="2"/>
      <c r="G228" s="2">
        <v>14</v>
      </c>
      <c r="H228" s="2" t="s">
        <v>3132</v>
      </c>
      <c r="I228" s="2" t="s">
        <v>695</v>
      </c>
      <c r="J228" s="2" t="s">
        <v>2537</v>
      </c>
      <c r="K228" s="2" t="s">
        <v>1855</v>
      </c>
      <c r="L228" s="2" t="s">
        <v>3386</v>
      </c>
      <c r="M228" s="2" t="str">
        <f t="shared" si="6"/>
        <v>13</v>
      </c>
      <c r="N228" s="2" t="s">
        <v>3530</v>
      </c>
      <c r="O228" s="2" t="s">
        <v>4373</v>
      </c>
      <c r="P228" s="2" t="s">
        <v>4380</v>
      </c>
    </row>
    <row r="229" spans="1:16">
      <c r="A229" s="4">
        <v>46247.695601851854</v>
      </c>
      <c r="B229" s="2" t="s">
        <v>3579</v>
      </c>
      <c r="C229" s="2" t="s">
        <v>4120</v>
      </c>
      <c r="D229" s="2" t="s">
        <v>690</v>
      </c>
      <c r="E229" s="2">
        <v>14</v>
      </c>
      <c r="F229" s="2"/>
      <c r="G229" s="2">
        <v>14</v>
      </c>
      <c r="H229" s="2" t="s">
        <v>3132</v>
      </c>
      <c r="I229" s="2" t="s">
        <v>695</v>
      </c>
      <c r="J229" s="2" t="s">
        <v>2537</v>
      </c>
      <c r="K229" s="2" t="s">
        <v>1855</v>
      </c>
      <c r="L229" s="2" t="s">
        <v>3386</v>
      </c>
      <c r="M229" s="2" t="str">
        <f t="shared" si="6"/>
        <v>13</v>
      </c>
      <c r="N229" s="2" t="s">
        <v>4355</v>
      </c>
      <c r="O229" s="2" t="s">
        <v>4373</v>
      </c>
      <c r="P229" s="2" t="s">
        <v>4380</v>
      </c>
    </row>
    <row r="230" spans="1:16">
      <c r="A230" s="4">
        <v>46247.695520833331</v>
      </c>
      <c r="B230" s="2" t="s">
        <v>3746</v>
      </c>
      <c r="C230" s="2" t="s">
        <v>4120</v>
      </c>
      <c r="D230" s="2" t="s">
        <v>690</v>
      </c>
      <c r="E230" s="2">
        <v>14</v>
      </c>
      <c r="F230" s="2"/>
      <c r="G230" s="2">
        <v>14</v>
      </c>
      <c r="H230" s="2" t="s">
        <v>3132</v>
      </c>
      <c r="I230" s="2" t="s">
        <v>695</v>
      </c>
      <c r="J230" s="2" t="s">
        <v>2537</v>
      </c>
      <c r="K230" s="2" t="s">
        <v>1855</v>
      </c>
      <c r="L230" s="2" t="s">
        <v>3386</v>
      </c>
      <c r="M230" s="2" t="str">
        <f t="shared" si="6"/>
        <v>13</v>
      </c>
      <c r="N230" s="2" t="s">
        <v>4231</v>
      </c>
      <c r="O230" s="2" t="s">
        <v>4373</v>
      </c>
      <c r="P230" s="2" t="s">
        <v>4380</v>
      </c>
    </row>
    <row r="231" spans="1:16">
      <c r="A231" s="4">
        <v>46247.6953125</v>
      </c>
      <c r="B231" s="2" t="s">
        <v>1408</v>
      </c>
      <c r="C231" s="2" t="s">
        <v>4120</v>
      </c>
      <c r="D231" s="2" t="s">
        <v>690</v>
      </c>
      <c r="E231" s="2">
        <v>14</v>
      </c>
      <c r="F231" s="2"/>
      <c r="G231" s="2">
        <v>14</v>
      </c>
      <c r="H231" s="2" t="s">
        <v>3132</v>
      </c>
      <c r="I231" s="2" t="s">
        <v>695</v>
      </c>
      <c r="J231" s="2" t="s">
        <v>2537</v>
      </c>
      <c r="K231" s="2" t="s">
        <v>1855</v>
      </c>
      <c r="L231" s="2" t="s">
        <v>3386</v>
      </c>
      <c r="M231" s="2" t="str">
        <f t="shared" si="6"/>
        <v>13</v>
      </c>
      <c r="N231" s="2" t="s">
        <v>3938</v>
      </c>
      <c r="O231" s="2" t="s">
        <v>4373</v>
      </c>
      <c r="P231" s="2" t="s">
        <v>4380</v>
      </c>
    </row>
    <row r="232" spans="1:16">
      <c r="A232" s="4">
        <v>46247.694606481484</v>
      </c>
      <c r="B232" s="2" t="s">
        <v>2140</v>
      </c>
      <c r="C232" s="2" t="s">
        <v>4120</v>
      </c>
      <c r="D232" s="2" t="s">
        <v>690</v>
      </c>
      <c r="E232" s="2">
        <v>14</v>
      </c>
      <c r="F232" s="2"/>
      <c r="G232" s="2">
        <v>14</v>
      </c>
      <c r="H232" s="2" t="s">
        <v>3132</v>
      </c>
      <c r="I232" s="2" t="s">
        <v>695</v>
      </c>
      <c r="J232" s="2" t="s">
        <v>2537</v>
      </c>
      <c r="K232" s="2" t="s">
        <v>1855</v>
      </c>
      <c r="L232" s="2" t="s">
        <v>3386</v>
      </c>
      <c r="M232" s="2" t="str">
        <f t="shared" si="6"/>
        <v>13</v>
      </c>
      <c r="N232" s="2" t="s">
        <v>1680</v>
      </c>
      <c r="O232" s="2" t="s">
        <v>4373</v>
      </c>
      <c r="P232" s="2" t="s">
        <v>4380</v>
      </c>
    </row>
    <row r="233" spans="1:16">
      <c r="A233" s="4">
        <v>46246.647303240738</v>
      </c>
      <c r="B233" s="2" t="s">
        <v>97</v>
      </c>
      <c r="C233" s="2" t="s">
        <v>4120</v>
      </c>
      <c r="D233" s="2" t="s">
        <v>690</v>
      </c>
      <c r="E233" s="2">
        <v>14</v>
      </c>
      <c r="F233" s="2"/>
      <c r="G233" s="2">
        <v>14</v>
      </c>
      <c r="H233" s="2" t="s">
        <v>3132</v>
      </c>
      <c r="I233" s="2" t="s">
        <v>695</v>
      </c>
      <c r="J233" s="2" t="s">
        <v>2537</v>
      </c>
      <c r="K233" s="2" t="s">
        <v>1855</v>
      </c>
      <c r="L233" s="2" t="s">
        <v>4344</v>
      </c>
      <c r="M233" s="2" t="str">
        <f t="shared" si="6"/>
        <v>06</v>
      </c>
      <c r="N233" s="2" t="s">
        <v>1319</v>
      </c>
      <c r="O233" s="2" t="s">
        <v>4373</v>
      </c>
      <c r="P233" s="2" t="s">
        <v>4381</v>
      </c>
    </row>
    <row r="234" spans="1:16">
      <c r="A234" s="4">
        <v>46246.647233796299</v>
      </c>
      <c r="B234" s="2" t="s">
        <v>1657</v>
      </c>
      <c r="C234" s="2" t="s">
        <v>4120</v>
      </c>
      <c r="D234" s="2" t="s">
        <v>690</v>
      </c>
      <c r="E234" s="2">
        <v>12</v>
      </c>
      <c r="F234" s="2"/>
      <c r="G234" s="2">
        <v>12</v>
      </c>
      <c r="H234" s="2" t="s">
        <v>3132</v>
      </c>
      <c r="I234" s="2" t="s">
        <v>695</v>
      </c>
      <c r="J234" s="2" t="s">
        <v>2537</v>
      </c>
      <c r="K234" s="2" t="s">
        <v>1855</v>
      </c>
      <c r="L234" s="2" t="s">
        <v>4344</v>
      </c>
      <c r="M234" s="2" t="str">
        <f t="shared" si="6"/>
        <v>06</v>
      </c>
      <c r="N234" s="2" t="s">
        <v>451</v>
      </c>
      <c r="O234" s="2" t="s">
        <v>4373</v>
      </c>
      <c r="P234" s="2" t="s">
        <v>4381</v>
      </c>
    </row>
    <row r="235" spans="1:16">
      <c r="A235" s="4">
        <v>46246.646157407406</v>
      </c>
      <c r="B235" s="2" t="s">
        <v>966</v>
      </c>
      <c r="C235" s="2" t="s">
        <v>4120</v>
      </c>
      <c r="D235" s="2" t="s">
        <v>690</v>
      </c>
      <c r="E235" s="2">
        <v>14</v>
      </c>
      <c r="F235" s="2"/>
      <c r="G235" s="2">
        <v>14</v>
      </c>
      <c r="H235" s="2" t="s">
        <v>3132</v>
      </c>
      <c r="I235" s="2" t="s">
        <v>695</v>
      </c>
      <c r="J235" s="2" t="s">
        <v>2537</v>
      </c>
      <c r="K235" s="2" t="s">
        <v>1855</v>
      </c>
      <c r="L235" s="2" t="s">
        <v>4344</v>
      </c>
      <c r="M235" s="2" t="str">
        <f t="shared" si="6"/>
        <v>06</v>
      </c>
      <c r="N235" s="2" t="s">
        <v>3881</v>
      </c>
      <c r="O235" s="2" t="s">
        <v>4373</v>
      </c>
      <c r="P235" s="2" t="s">
        <v>4381</v>
      </c>
    </row>
    <row r="236" spans="1:16">
      <c r="A236" s="4">
        <v>46246.646134259259</v>
      </c>
      <c r="B236" s="2" t="s">
        <v>3359</v>
      </c>
      <c r="C236" s="2" t="s">
        <v>4120</v>
      </c>
      <c r="D236" s="2" t="s">
        <v>690</v>
      </c>
      <c r="E236" s="2">
        <v>14</v>
      </c>
      <c r="F236" s="2"/>
      <c r="G236" s="2">
        <v>14</v>
      </c>
      <c r="H236" s="2" t="s">
        <v>3132</v>
      </c>
      <c r="I236" s="2" t="s">
        <v>695</v>
      </c>
      <c r="J236" s="2" t="s">
        <v>2537</v>
      </c>
      <c r="K236" s="2" t="s">
        <v>1855</v>
      </c>
      <c r="L236" s="2" t="s">
        <v>4344</v>
      </c>
      <c r="M236" s="2" t="str">
        <f t="shared" si="6"/>
        <v>06</v>
      </c>
      <c r="N236" s="2" t="s">
        <v>2524</v>
      </c>
      <c r="O236" s="2" t="s">
        <v>4373</v>
      </c>
      <c r="P236" s="2" t="s">
        <v>4381</v>
      </c>
    </row>
    <row r="237" spans="1:16">
      <c r="A237" s="4">
        <v>46246.64607638889</v>
      </c>
      <c r="B237" s="2" t="s">
        <v>3739</v>
      </c>
      <c r="C237" s="2" t="s">
        <v>4120</v>
      </c>
      <c r="D237" s="2" t="s">
        <v>690</v>
      </c>
      <c r="E237" s="2">
        <v>14</v>
      </c>
      <c r="F237" s="2"/>
      <c r="G237" s="2">
        <v>14</v>
      </c>
      <c r="H237" s="2" t="s">
        <v>3132</v>
      </c>
      <c r="I237" s="2" t="s">
        <v>695</v>
      </c>
      <c r="J237" s="2" t="s">
        <v>2537</v>
      </c>
      <c r="K237" s="2" t="s">
        <v>1855</v>
      </c>
      <c r="L237" s="2" t="s">
        <v>4344</v>
      </c>
      <c r="M237" s="2" t="str">
        <f t="shared" si="6"/>
        <v>06</v>
      </c>
      <c r="N237" s="2" t="s">
        <v>3809</v>
      </c>
      <c r="O237" s="2" t="s">
        <v>4373</v>
      </c>
      <c r="P237" s="2" t="s">
        <v>4381</v>
      </c>
    </row>
    <row r="238" spans="1:16">
      <c r="A238" s="4">
        <v>46246.645914351851</v>
      </c>
      <c r="B238" s="2" t="s">
        <v>2448</v>
      </c>
      <c r="C238" s="2" t="s">
        <v>4120</v>
      </c>
      <c r="D238" s="2" t="s">
        <v>690</v>
      </c>
      <c r="E238" s="2">
        <v>14</v>
      </c>
      <c r="F238" s="2"/>
      <c r="G238" s="2">
        <v>14</v>
      </c>
      <c r="H238" s="2" t="s">
        <v>3132</v>
      </c>
      <c r="I238" s="2" t="s">
        <v>695</v>
      </c>
      <c r="J238" s="2" t="s">
        <v>2537</v>
      </c>
      <c r="K238" s="2" t="s">
        <v>1855</v>
      </c>
      <c r="L238" s="2" t="s">
        <v>4344</v>
      </c>
      <c r="M238" s="2" t="str">
        <f t="shared" si="6"/>
        <v>06</v>
      </c>
      <c r="N238" s="2" t="s">
        <v>787</v>
      </c>
      <c r="O238" s="2" t="s">
        <v>4373</v>
      </c>
      <c r="P238" s="2" t="s">
        <v>4381</v>
      </c>
    </row>
    <row r="239" spans="1:16">
      <c r="A239" s="4">
        <v>46246.645891203705</v>
      </c>
      <c r="B239" s="2" t="s">
        <v>2118</v>
      </c>
      <c r="C239" s="2" t="s">
        <v>4120</v>
      </c>
      <c r="D239" s="2" t="s">
        <v>690</v>
      </c>
      <c r="E239" s="2">
        <v>14</v>
      </c>
      <c r="F239" s="2"/>
      <c r="G239" s="2">
        <v>14</v>
      </c>
      <c r="H239" s="2" t="s">
        <v>3132</v>
      </c>
      <c r="I239" s="2" t="s">
        <v>695</v>
      </c>
      <c r="J239" s="2" t="s">
        <v>2537</v>
      </c>
      <c r="K239" s="2" t="s">
        <v>1855</v>
      </c>
      <c r="L239" s="2" t="s">
        <v>4344</v>
      </c>
      <c r="M239" s="2" t="str">
        <f t="shared" si="6"/>
        <v>06</v>
      </c>
      <c r="N239" s="2" t="s">
        <v>337</v>
      </c>
      <c r="O239" s="2" t="s">
        <v>4373</v>
      </c>
      <c r="P239" s="2" t="s">
        <v>4381</v>
      </c>
    </row>
    <row r="240" spans="1:16">
      <c r="A240" s="4">
        <v>46246.643009259256</v>
      </c>
      <c r="B240" s="2" t="s">
        <v>2137</v>
      </c>
      <c r="C240" s="2" t="s">
        <v>4120</v>
      </c>
      <c r="D240" s="2" t="s">
        <v>690</v>
      </c>
      <c r="E240" s="2">
        <v>14</v>
      </c>
      <c r="F240" s="2"/>
      <c r="G240" s="2">
        <v>14</v>
      </c>
      <c r="H240" s="2" t="s">
        <v>3132</v>
      </c>
      <c r="I240" s="2" t="s">
        <v>695</v>
      </c>
      <c r="J240" s="2" t="s">
        <v>2537</v>
      </c>
      <c r="K240" s="2" t="s">
        <v>1855</v>
      </c>
      <c r="L240" s="2" t="s">
        <v>4344</v>
      </c>
      <c r="M240" s="2" t="str">
        <f t="shared" si="6"/>
        <v>06</v>
      </c>
      <c r="N240" s="2" t="s">
        <v>4129</v>
      </c>
      <c r="O240" s="2" t="s">
        <v>4373</v>
      </c>
      <c r="P240" s="2" t="s">
        <v>4381</v>
      </c>
    </row>
    <row r="241" spans="1:16">
      <c r="A241" s="4">
        <v>46246.642476851855</v>
      </c>
      <c r="B241" s="2" t="s">
        <v>2102</v>
      </c>
      <c r="C241" s="2" t="s">
        <v>4120</v>
      </c>
      <c r="D241" s="2" t="s">
        <v>690</v>
      </c>
      <c r="E241" s="2">
        <v>14</v>
      </c>
      <c r="F241" s="2"/>
      <c r="G241" s="2">
        <v>14</v>
      </c>
      <c r="H241" s="2" t="s">
        <v>3132</v>
      </c>
      <c r="I241" s="2" t="s">
        <v>695</v>
      </c>
      <c r="J241" s="2" t="s">
        <v>2537</v>
      </c>
      <c r="K241" s="2" t="s">
        <v>1855</v>
      </c>
      <c r="L241" s="2" t="s">
        <v>4344</v>
      </c>
      <c r="M241" s="2" t="str">
        <f t="shared" si="6"/>
        <v>06</v>
      </c>
      <c r="N241" s="2" t="s">
        <v>1067</v>
      </c>
      <c r="O241" s="2" t="s">
        <v>4373</v>
      </c>
      <c r="P241" s="2" t="s">
        <v>4381</v>
      </c>
    </row>
    <row r="242" spans="1:16">
      <c r="A242" s="4">
        <v>46246.642233796294</v>
      </c>
      <c r="B242" s="2" t="s">
        <v>722</v>
      </c>
      <c r="C242" s="2" t="s">
        <v>4120</v>
      </c>
      <c r="D242" s="2" t="s">
        <v>690</v>
      </c>
      <c r="E242" s="2">
        <v>14</v>
      </c>
      <c r="F242" s="2"/>
      <c r="G242" s="2">
        <v>14</v>
      </c>
      <c r="H242" s="2" t="s">
        <v>3132</v>
      </c>
      <c r="I242" s="2" t="s">
        <v>695</v>
      </c>
      <c r="J242" s="2" t="s">
        <v>2537</v>
      </c>
      <c r="K242" s="2" t="s">
        <v>1855</v>
      </c>
      <c r="L242" s="2" t="s">
        <v>4344</v>
      </c>
      <c r="M242" s="2" t="str">
        <f t="shared" si="6"/>
        <v>06</v>
      </c>
      <c r="N242" s="2" t="s">
        <v>1663</v>
      </c>
      <c r="O242" s="2" t="s">
        <v>4373</v>
      </c>
      <c r="P242" s="2" t="s">
        <v>4381</v>
      </c>
    </row>
    <row r="243" spans="1:16">
      <c r="A243" s="4">
        <v>46246.641377314816</v>
      </c>
      <c r="B243" s="2" t="s">
        <v>3494</v>
      </c>
      <c r="C243" s="2" t="s">
        <v>4120</v>
      </c>
      <c r="D243" s="2" t="s">
        <v>690</v>
      </c>
      <c r="E243" s="2">
        <v>14</v>
      </c>
      <c r="F243" s="2"/>
      <c r="G243" s="2">
        <v>14</v>
      </c>
      <c r="H243" s="2" t="s">
        <v>3132</v>
      </c>
      <c r="I243" s="2" t="s">
        <v>695</v>
      </c>
      <c r="J243" s="2" t="s">
        <v>2537</v>
      </c>
      <c r="K243" s="2" t="s">
        <v>1855</v>
      </c>
      <c r="L243" s="2" t="s">
        <v>4344</v>
      </c>
      <c r="M243" s="2" t="str">
        <f t="shared" si="6"/>
        <v>06</v>
      </c>
      <c r="N243" s="2" t="s">
        <v>2007</v>
      </c>
      <c r="O243" s="2" t="s">
        <v>4373</v>
      </c>
      <c r="P243" s="2" t="s">
        <v>4381</v>
      </c>
    </row>
    <row r="244" spans="1:16">
      <c r="A244" s="4">
        <v>46246.641215277778</v>
      </c>
      <c r="B244" s="2" t="s">
        <v>1578</v>
      </c>
      <c r="C244" s="2" t="s">
        <v>4120</v>
      </c>
      <c r="D244" s="2" t="s">
        <v>690</v>
      </c>
      <c r="E244" s="2">
        <v>14</v>
      </c>
      <c r="F244" s="2"/>
      <c r="G244" s="2">
        <v>14</v>
      </c>
      <c r="H244" s="2" t="s">
        <v>3132</v>
      </c>
      <c r="I244" s="2" t="s">
        <v>695</v>
      </c>
      <c r="J244" s="2" t="s">
        <v>2537</v>
      </c>
      <c r="K244" s="2" t="s">
        <v>1855</v>
      </c>
      <c r="L244" s="2" t="s">
        <v>4344</v>
      </c>
      <c r="M244" s="2" t="str">
        <f t="shared" si="6"/>
        <v>06</v>
      </c>
      <c r="N244" s="2" t="s">
        <v>4322</v>
      </c>
      <c r="O244" s="2" t="s">
        <v>4373</v>
      </c>
      <c r="P244" s="2" t="s">
        <v>4381</v>
      </c>
    </row>
    <row r="245" spans="1:16">
      <c r="A245" s="4">
        <v>46246.641145833331</v>
      </c>
      <c r="B245" s="2" t="s">
        <v>1175</v>
      </c>
      <c r="C245" s="2" t="s">
        <v>4120</v>
      </c>
      <c r="D245" s="2" t="s">
        <v>690</v>
      </c>
      <c r="E245" s="2">
        <v>14</v>
      </c>
      <c r="F245" s="2"/>
      <c r="G245" s="2">
        <v>14</v>
      </c>
      <c r="H245" s="2" t="s">
        <v>3132</v>
      </c>
      <c r="I245" s="2" t="s">
        <v>695</v>
      </c>
      <c r="J245" s="2" t="s">
        <v>2537</v>
      </c>
      <c r="K245" s="2" t="s">
        <v>1855</v>
      </c>
      <c r="L245" s="2" t="s">
        <v>4344</v>
      </c>
      <c r="M245" s="2" t="str">
        <f t="shared" si="6"/>
        <v>06</v>
      </c>
      <c r="N245" s="2" t="s">
        <v>2404</v>
      </c>
      <c r="O245" s="2" t="s">
        <v>4373</v>
      </c>
      <c r="P245" s="2" t="s">
        <v>4381</v>
      </c>
    </row>
    <row r="246" spans="1:16">
      <c r="A246" s="4">
        <v>46246.640196759261</v>
      </c>
      <c r="B246" s="2" t="s">
        <v>1587</v>
      </c>
      <c r="C246" s="2" t="s">
        <v>4120</v>
      </c>
      <c r="D246" s="2" t="s">
        <v>690</v>
      </c>
      <c r="E246" s="2">
        <v>14</v>
      </c>
      <c r="F246" s="2"/>
      <c r="G246" s="2">
        <v>14</v>
      </c>
      <c r="H246" s="2" t="s">
        <v>3132</v>
      </c>
      <c r="I246" s="2" t="s">
        <v>695</v>
      </c>
      <c r="J246" s="2" t="s">
        <v>2537</v>
      </c>
      <c r="K246" s="2" t="s">
        <v>1855</v>
      </c>
      <c r="L246" s="2" t="s">
        <v>4344</v>
      </c>
      <c r="M246" s="2" t="str">
        <f t="shared" si="6"/>
        <v>06</v>
      </c>
      <c r="N246" s="2" t="s">
        <v>2110</v>
      </c>
      <c r="O246" s="2" t="s">
        <v>4373</v>
      </c>
      <c r="P246" s="2" t="s">
        <v>4381</v>
      </c>
    </row>
    <row r="247" spans="1:16">
      <c r="A247" s="4">
        <v>46246.640162037038</v>
      </c>
      <c r="B247" s="2" t="s">
        <v>1793</v>
      </c>
      <c r="C247" s="2" t="s">
        <v>4120</v>
      </c>
      <c r="D247" s="2" t="s">
        <v>690</v>
      </c>
      <c r="E247" s="2">
        <v>14</v>
      </c>
      <c r="F247" s="2"/>
      <c r="G247" s="2">
        <v>14</v>
      </c>
      <c r="H247" s="2" t="s">
        <v>3132</v>
      </c>
      <c r="I247" s="2" t="s">
        <v>695</v>
      </c>
      <c r="J247" s="2" t="s">
        <v>2537</v>
      </c>
      <c r="K247" s="2" t="s">
        <v>1855</v>
      </c>
      <c r="L247" s="2" t="s">
        <v>4344</v>
      </c>
      <c r="M247" s="2" t="str">
        <f t="shared" si="6"/>
        <v>06</v>
      </c>
      <c r="N247" s="2" t="s">
        <v>1465</v>
      </c>
      <c r="O247" s="2" t="s">
        <v>4373</v>
      </c>
      <c r="P247" s="2" t="s">
        <v>4381</v>
      </c>
    </row>
    <row r="248" spans="1:16">
      <c r="A248" s="4">
        <v>46246.639664351853</v>
      </c>
      <c r="B248" s="2" t="s">
        <v>1638</v>
      </c>
      <c r="C248" s="2" t="s">
        <v>4120</v>
      </c>
      <c r="D248" s="2" t="s">
        <v>690</v>
      </c>
      <c r="E248" s="2">
        <v>14</v>
      </c>
      <c r="F248" s="2"/>
      <c r="G248" s="2">
        <v>14</v>
      </c>
      <c r="H248" s="2" t="s">
        <v>3132</v>
      </c>
      <c r="I248" s="2" t="s">
        <v>695</v>
      </c>
      <c r="J248" s="2" t="s">
        <v>2537</v>
      </c>
      <c r="K248" s="2" t="s">
        <v>1855</v>
      </c>
      <c r="L248" s="2" t="s">
        <v>4344</v>
      </c>
      <c r="M248" s="2" t="str">
        <f t="shared" si="6"/>
        <v>06</v>
      </c>
      <c r="N248" s="2" t="s">
        <v>3709</v>
      </c>
      <c r="O248" s="2" t="s">
        <v>4373</v>
      </c>
      <c r="P248" s="2" t="s">
        <v>4381</v>
      </c>
    </row>
    <row r="249" spans="1:16">
      <c r="A249" s="4">
        <v>46246.639398148145</v>
      </c>
      <c r="B249" s="2" t="s">
        <v>4197</v>
      </c>
      <c r="C249" s="2" t="s">
        <v>4120</v>
      </c>
      <c r="D249" s="2" t="s">
        <v>690</v>
      </c>
      <c r="E249" s="2">
        <v>14</v>
      </c>
      <c r="F249" s="2"/>
      <c r="G249" s="2">
        <v>14</v>
      </c>
      <c r="H249" s="2" t="s">
        <v>3132</v>
      </c>
      <c r="I249" s="2" t="s">
        <v>695</v>
      </c>
      <c r="J249" s="2" t="s">
        <v>2537</v>
      </c>
      <c r="K249" s="2" t="s">
        <v>1855</v>
      </c>
      <c r="L249" s="2" t="s">
        <v>4344</v>
      </c>
      <c r="M249" s="2" t="str">
        <f t="shared" si="6"/>
        <v>06</v>
      </c>
      <c r="N249" s="2" t="s">
        <v>2940</v>
      </c>
      <c r="O249" s="2" t="s">
        <v>4373</v>
      </c>
      <c r="P249" s="2" t="s">
        <v>4381</v>
      </c>
    </row>
    <row r="250" spans="1:16">
      <c r="A250" s="4">
        <v>46246.638657407406</v>
      </c>
      <c r="B250" s="2" t="s">
        <v>2462</v>
      </c>
      <c r="C250" s="2" t="s">
        <v>4120</v>
      </c>
      <c r="D250" s="2" t="s">
        <v>690</v>
      </c>
      <c r="E250" s="2">
        <v>14</v>
      </c>
      <c r="F250" s="2"/>
      <c r="G250" s="2">
        <v>14</v>
      </c>
      <c r="H250" s="2" t="s">
        <v>3132</v>
      </c>
      <c r="I250" s="2" t="s">
        <v>695</v>
      </c>
      <c r="J250" s="2" t="s">
        <v>2537</v>
      </c>
      <c r="K250" s="2" t="s">
        <v>1855</v>
      </c>
      <c r="L250" s="2" t="s">
        <v>4344</v>
      </c>
      <c r="M250" s="2" t="str">
        <f t="shared" si="6"/>
        <v>06</v>
      </c>
      <c r="N250" s="2" t="s">
        <v>1324</v>
      </c>
      <c r="O250" s="2" t="s">
        <v>4373</v>
      </c>
      <c r="P250" s="2" t="s">
        <v>4381</v>
      </c>
    </row>
    <row r="251" spans="1:16">
      <c r="A251" s="4">
        <v>46246.638321759259</v>
      </c>
      <c r="B251" s="2" t="s">
        <v>2254</v>
      </c>
      <c r="C251" s="2" t="s">
        <v>4120</v>
      </c>
      <c r="D251" s="2" t="s">
        <v>690</v>
      </c>
      <c r="E251" s="2">
        <v>14</v>
      </c>
      <c r="F251" s="2"/>
      <c r="G251" s="2">
        <v>14</v>
      </c>
      <c r="H251" s="2" t="s">
        <v>3132</v>
      </c>
      <c r="I251" s="2" t="s">
        <v>695</v>
      </c>
      <c r="J251" s="2" t="s">
        <v>2537</v>
      </c>
      <c r="K251" s="2" t="s">
        <v>1855</v>
      </c>
      <c r="L251" s="2" t="s">
        <v>4344</v>
      </c>
      <c r="M251" s="2" t="str">
        <f t="shared" si="6"/>
        <v>06</v>
      </c>
      <c r="N251" s="2" t="s">
        <v>3688</v>
      </c>
      <c r="O251" s="2" t="s">
        <v>4373</v>
      </c>
      <c r="P251" s="2" t="s">
        <v>4381</v>
      </c>
    </row>
    <row r="252" spans="1:16">
      <c r="A252" s="4">
        <v>46246.637754629628</v>
      </c>
      <c r="B252" s="2" t="s">
        <v>1973</v>
      </c>
      <c r="C252" s="2" t="s">
        <v>4120</v>
      </c>
      <c r="D252" s="2" t="s">
        <v>690</v>
      </c>
      <c r="E252" s="2">
        <v>14</v>
      </c>
      <c r="F252" s="2"/>
      <c r="G252" s="2">
        <v>14</v>
      </c>
      <c r="H252" s="2" t="s">
        <v>3132</v>
      </c>
      <c r="I252" s="2" t="s">
        <v>695</v>
      </c>
      <c r="J252" s="2" t="s">
        <v>2537</v>
      </c>
      <c r="K252" s="2" t="s">
        <v>1855</v>
      </c>
      <c r="L252" s="2" t="s">
        <v>4344</v>
      </c>
      <c r="M252" s="2" t="str">
        <f t="shared" si="6"/>
        <v>06</v>
      </c>
      <c r="N252" s="2" t="s">
        <v>285</v>
      </c>
      <c r="O252" s="2" t="s">
        <v>4373</v>
      </c>
      <c r="P252" s="2" t="s">
        <v>4381</v>
      </c>
    </row>
    <row r="253" spans="1:16">
      <c r="A253" s="4">
        <v>46246.637650462966</v>
      </c>
      <c r="B253" s="2" t="s">
        <v>2904</v>
      </c>
      <c r="C253" s="2" t="s">
        <v>4120</v>
      </c>
      <c r="D253" s="2" t="s">
        <v>690</v>
      </c>
      <c r="E253" s="2">
        <v>14</v>
      </c>
      <c r="F253" s="2"/>
      <c r="G253" s="2">
        <v>14</v>
      </c>
      <c r="H253" s="2" t="s">
        <v>3132</v>
      </c>
      <c r="I253" s="2" t="s">
        <v>695</v>
      </c>
      <c r="J253" s="2" t="s">
        <v>2537</v>
      </c>
      <c r="K253" s="2" t="s">
        <v>1855</v>
      </c>
      <c r="L253" s="2" t="s">
        <v>4344</v>
      </c>
      <c r="M253" s="2" t="str">
        <f t="shared" si="6"/>
        <v>06</v>
      </c>
      <c r="N253" s="2" t="s">
        <v>2897</v>
      </c>
      <c r="O253" s="2" t="s">
        <v>4373</v>
      </c>
      <c r="P253" s="2" t="s">
        <v>4381</v>
      </c>
    </row>
    <row r="254" spans="1:16">
      <c r="A254" s="4">
        <v>46246.636064814818</v>
      </c>
      <c r="B254" s="2" t="s">
        <v>2554</v>
      </c>
      <c r="C254" s="2" t="s">
        <v>4120</v>
      </c>
      <c r="D254" s="2" t="s">
        <v>690</v>
      </c>
      <c r="E254" s="2">
        <v>14</v>
      </c>
      <c r="F254" s="2"/>
      <c r="G254" s="2">
        <v>14</v>
      </c>
      <c r="H254" s="2" t="s">
        <v>3132</v>
      </c>
      <c r="I254" s="2" t="s">
        <v>695</v>
      </c>
      <c r="J254" s="2" t="s">
        <v>2537</v>
      </c>
      <c r="K254" s="2" t="s">
        <v>1855</v>
      </c>
      <c r="L254" s="2" t="s">
        <v>4344</v>
      </c>
      <c r="M254" s="2" t="str">
        <f t="shared" si="6"/>
        <v>06</v>
      </c>
      <c r="N254" s="2" t="s">
        <v>3438</v>
      </c>
      <c r="O254" s="2" t="s">
        <v>4373</v>
      </c>
      <c r="P254" s="2" t="s">
        <v>4381</v>
      </c>
    </row>
    <row r="255" spans="1:16">
      <c r="A255" s="4">
        <v>46246.636064814818</v>
      </c>
      <c r="B255" s="2" t="s">
        <v>4191</v>
      </c>
      <c r="C255" s="2" t="s">
        <v>4120</v>
      </c>
      <c r="D255" s="2" t="s">
        <v>690</v>
      </c>
      <c r="E255" s="2">
        <v>14</v>
      </c>
      <c r="F255" s="2"/>
      <c r="G255" s="2">
        <v>14</v>
      </c>
      <c r="H255" s="2" t="s">
        <v>3132</v>
      </c>
      <c r="I255" s="2" t="s">
        <v>695</v>
      </c>
      <c r="J255" s="2" t="s">
        <v>2537</v>
      </c>
      <c r="K255" s="2" t="s">
        <v>1855</v>
      </c>
      <c r="L255" s="2" t="s">
        <v>4344</v>
      </c>
      <c r="M255" s="2" t="str">
        <f t="shared" si="6"/>
        <v>06</v>
      </c>
      <c r="N255" s="2" t="s">
        <v>3010</v>
      </c>
      <c r="O255" s="2" t="s">
        <v>4373</v>
      </c>
      <c r="P255" s="2" t="s">
        <v>4381</v>
      </c>
    </row>
    <row r="256" spans="1:16">
      <c r="A256" s="4">
        <v>46246.584409722222</v>
      </c>
      <c r="B256" s="2" t="s">
        <v>2938</v>
      </c>
      <c r="C256" s="2" t="s">
        <v>4120</v>
      </c>
      <c r="D256" s="2" t="s">
        <v>690</v>
      </c>
      <c r="E256" s="2">
        <v>14</v>
      </c>
      <c r="F256" s="2"/>
      <c r="G256" s="2">
        <v>14</v>
      </c>
      <c r="H256" s="2" t="s">
        <v>3132</v>
      </c>
      <c r="I256" s="2" t="s">
        <v>695</v>
      </c>
      <c r="J256" s="2" t="s">
        <v>2537</v>
      </c>
      <c r="K256" s="2" t="s">
        <v>1855</v>
      </c>
      <c r="L256" s="2" t="s">
        <v>3493</v>
      </c>
      <c r="M256" s="2" t="str">
        <f t="shared" si="6"/>
        <v>03</v>
      </c>
      <c r="N256" s="2" t="s">
        <v>4055</v>
      </c>
      <c r="O256" s="2" t="s">
        <v>4373</v>
      </c>
      <c r="P256" s="2" t="s">
        <v>4381</v>
      </c>
    </row>
    <row r="257" spans="1:16">
      <c r="A257" s="4">
        <v>46246.584398148145</v>
      </c>
      <c r="B257" s="2" t="s">
        <v>3498</v>
      </c>
      <c r="C257" s="2" t="s">
        <v>4120</v>
      </c>
      <c r="D257" s="2" t="s">
        <v>690</v>
      </c>
      <c r="E257" s="2">
        <v>12</v>
      </c>
      <c r="F257" s="2"/>
      <c r="G257" s="2">
        <v>12</v>
      </c>
      <c r="H257" s="2" t="s">
        <v>3132</v>
      </c>
      <c r="I257" s="2" t="s">
        <v>695</v>
      </c>
      <c r="J257" s="2" t="s">
        <v>2537</v>
      </c>
      <c r="K257" s="2" t="s">
        <v>1855</v>
      </c>
      <c r="L257" s="2" t="s">
        <v>3493</v>
      </c>
      <c r="M257" s="2" t="str">
        <f t="shared" si="6"/>
        <v>03</v>
      </c>
      <c r="N257" s="2" t="s">
        <v>3182</v>
      </c>
      <c r="O257" s="2" t="s">
        <v>4373</v>
      </c>
      <c r="P257" s="2" t="s">
        <v>4381</v>
      </c>
    </row>
    <row r="258" spans="1:16">
      <c r="A258" s="4">
        <v>46246.584293981483</v>
      </c>
      <c r="B258" s="2" t="s">
        <v>1803</v>
      </c>
      <c r="C258" s="2" t="s">
        <v>4120</v>
      </c>
      <c r="D258" s="2" t="s">
        <v>690</v>
      </c>
      <c r="E258" s="2">
        <v>14</v>
      </c>
      <c r="F258" s="2"/>
      <c r="G258" s="2">
        <v>14</v>
      </c>
      <c r="H258" s="2" t="s">
        <v>3132</v>
      </c>
      <c r="I258" s="2" t="s">
        <v>695</v>
      </c>
      <c r="J258" s="2" t="s">
        <v>2537</v>
      </c>
      <c r="K258" s="2" t="s">
        <v>1855</v>
      </c>
      <c r="L258" s="2" t="s">
        <v>3493</v>
      </c>
      <c r="M258" s="2" t="str">
        <f t="shared" ref="M258:M321" si="7">RIGHT(L258,2)</f>
        <v>03</v>
      </c>
      <c r="N258" s="2" t="s">
        <v>3484</v>
      </c>
      <c r="O258" s="2" t="s">
        <v>4373</v>
      </c>
      <c r="P258" s="2" t="s">
        <v>4381</v>
      </c>
    </row>
    <row r="259" spans="1:16">
      <c r="A259" s="4">
        <v>46246.583414351851</v>
      </c>
      <c r="B259" s="2" t="s">
        <v>2447</v>
      </c>
      <c r="C259" s="2" t="s">
        <v>4120</v>
      </c>
      <c r="D259" s="2" t="s">
        <v>690</v>
      </c>
      <c r="E259" s="2">
        <v>14</v>
      </c>
      <c r="F259" s="2"/>
      <c r="G259" s="2">
        <v>14</v>
      </c>
      <c r="H259" s="2" t="s">
        <v>3132</v>
      </c>
      <c r="I259" s="2" t="s">
        <v>695</v>
      </c>
      <c r="J259" s="2" t="s">
        <v>2537</v>
      </c>
      <c r="K259" s="2" t="s">
        <v>1855</v>
      </c>
      <c r="L259" s="2" t="s">
        <v>3493</v>
      </c>
      <c r="M259" s="2" t="str">
        <f t="shared" si="7"/>
        <v>03</v>
      </c>
      <c r="N259" s="2" t="s">
        <v>2207</v>
      </c>
      <c r="O259" s="2" t="s">
        <v>4373</v>
      </c>
      <c r="P259" s="2" t="s">
        <v>4381</v>
      </c>
    </row>
    <row r="260" spans="1:16">
      <c r="A260" s="4">
        <v>46246.583321759259</v>
      </c>
      <c r="B260" s="2" t="s">
        <v>2636</v>
      </c>
      <c r="C260" s="2" t="s">
        <v>4120</v>
      </c>
      <c r="D260" s="2" t="s">
        <v>690</v>
      </c>
      <c r="E260" s="2">
        <v>14</v>
      </c>
      <c r="F260" s="2"/>
      <c r="G260" s="2">
        <v>14</v>
      </c>
      <c r="H260" s="2" t="s">
        <v>3132</v>
      </c>
      <c r="I260" s="2" t="s">
        <v>695</v>
      </c>
      <c r="J260" s="2" t="s">
        <v>2537</v>
      </c>
      <c r="K260" s="2" t="s">
        <v>1855</v>
      </c>
      <c r="L260" s="2" t="s">
        <v>3493</v>
      </c>
      <c r="M260" s="2" t="str">
        <f t="shared" si="7"/>
        <v>03</v>
      </c>
      <c r="N260" s="2" t="s">
        <v>483</v>
      </c>
      <c r="O260" s="2" t="s">
        <v>4373</v>
      </c>
      <c r="P260" s="2" t="s">
        <v>4381</v>
      </c>
    </row>
    <row r="261" spans="1:16">
      <c r="A261" s="4">
        <v>46246.582268518519</v>
      </c>
      <c r="B261" s="2" t="s">
        <v>2284</v>
      </c>
      <c r="C261" s="2" t="s">
        <v>4120</v>
      </c>
      <c r="D261" s="2" t="s">
        <v>690</v>
      </c>
      <c r="E261" s="2">
        <v>14</v>
      </c>
      <c r="F261" s="2"/>
      <c r="G261" s="2">
        <v>14</v>
      </c>
      <c r="H261" s="2" t="s">
        <v>3132</v>
      </c>
      <c r="I261" s="2" t="s">
        <v>695</v>
      </c>
      <c r="J261" s="2" t="s">
        <v>2537</v>
      </c>
      <c r="K261" s="2" t="s">
        <v>1855</v>
      </c>
      <c r="L261" s="2" t="s">
        <v>3493</v>
      </c>
      <c r="M261" s="2" t="str">
        <f t="shared" si="7"/>
        <v>03</v>
      </c>
      <c r="N261" s="2" t="s">
        <v>3797</v>
      </c>
      <c r="O261" s="2" t="s">
        <v>4373</v>
      </c>
      <c r="P261" s="2" t="s">
        <v>4381</v>
      </c>
    </row>
    <row r="262" spans="1:16">
      <c r="A262" s="4">
        <v>46246.582256944443</v>
      </c>
      <c r="B262" s="2" t="s">
        <v>120</v>
      </c>
      <c r="C262" s="2" t="s">
        <v>4120</v>
      </c>
      <c r="D262" s="2" t="s">
        <v>690</v>
      </c>
      <c r="E262" s="2">
        <v>14</v>
      </c>
      <c r="F262" s="2"/>
      <c r="G262" s="2">
        <v>14</v>
      </c>
      <c r="H262" s="2" t="s">
        <v>3132</v>
      </c>
      <c r="I262" s="2" t="s">
        <v>695</v>
      </c>
      <c r="J262" s="2" t="s">
        <v>2537</v>
      </c>
      <c r="K262" s="2" t="s">
        <v>1855</v>
      </c>
      <c r="L262" s="2" t="s">
        <v>3493</v>
      </c>
      <c r="M262" s="2" t="str">
        <f t="shared" si="7"/>
        <v>03</v>
      </c>
      <c r="N262" s="2" t="s">
        <v>453</v>
      </c>
      <c r="O262" s="2" t="s">
        <v>4373</v>
      </c>
      <c r="P262" s="2" t="s">
        <v>4381</v>
      </c>
    </row>
    <row r="263" spans="1:16">
      <c r="A263" s="4">
        <v>46246.581122685187</v>
      </c>
      <c r="B263" s="2" t="s">
        <v>1046</v>
      </c>
      <c r="C263" s="2" t="s">
        <v>4120</v>
      </c>
      <c r="D263" s="2" t="s">
        <v>690</v>
      </c>
      <c r="E263" s="2">
        <v>14</v>
      </c>
      <c r="F263" s="2"/>
      <c r="G263" s="2">
        <v>14</v>
      </c>
      <c r="H263" s="2" t="s">
        <v>3132</v>
      </c>
      <c r="I263" s="2" t="s">
        <v>695</v>
      </c>
      <c r="J263" s="2" t="s">
        <v>2537</v>
      </c>
      <c r="K263" s="2" t="s">
        <v>1855</v>
      </c>
      <c r="L263" s="2" t="s">
        <v>3493</v>
      </c>
      <c r="M263" s="2" t="str">
        <f t="shared" si="7"/>
        <v>03</v>
      </c>
      <c r="N263" s="2" t="s">
        <v>1325</v>
      </c>
      <c r="O263" s="2" t="s">
        <v>4373</v>
      </c>
      <c r="P263" s="2" t="s">
        <v>4381</v>
      </c>
    </row>
    <row r="264" spans="1:16">
      <c r="A264" s="4">
        <v>46246.581064814818</v>
      </c>
      <c r="B264" s="2" t="s">
        <v>3105</v>
      </c>
      <c r="C264" s="2" t="s">
        <v>4120</v>
      </c>
      <c r="D264" s="2" t="s">
        <v>690</v>
      </c>
      <c r="E264" s="2">
        <v>14</v>
      </c>
      <c r="F264" s="2"/>
      <c r="G264" s="2">
        <v>14</v>
      </c>
      <c r="H264" s="2" t="s">
        <v>3132</v>
      </c>
      <c r="I264" s="2" t="s">
        <v>695</v>
      </c>
      <c r="J264" s="2" t="s">
        <v>2537</v>
      </c>
      <c r="K264" s="2" t="s">
        <v>1855</v>
      </c>
      <c r="L264" s="2" t="s">
        <v>3493</v>
      </c>
      <c r="M264" s="2" t="str">
        <f t="shared" si="7"/>
        <v>03</v>
      </c>
      <c r="N264" s="2" t="s">
        <v>1627</v>
      </c>
      <c r="O264" s="2" t="s">
        <v>4373</v>
      </c>
      <c r="P264" s="2" t="s">
        <v>4381</v>
      </c>
    </row>
    <row r="265" spans="1:16">
      <c r="A265" s="4">
        <v>46246.580474537041</v>
      </c>
      <c r="B265" s="2" t="s">
        <v>2499</v>
      </c>
      <c r="C265" s="2" t="s">
        <v>4120</v>
      </c>
      <c r="D265" s="2" t="s">
        <v>690</v>
      </c>
      <c r="E265" s="2">
        <v>14</v>
      </c>
      <c r="F265" s="2"/>
      <c r="G265" s="2">
        <v>14</v>
      </c>
      <c r="H265" s="2" t="s">
        <v>3132</v>
      </c>
      <c r="I265" s="2" t="s">
        <v>695</v>
      </c>
      <c r="J265" s="2" t="s">
        <v>2537</v>
      </c>
      <c r="K265" s="2" t="s">
        <v>1855</v>
      </c>
      <c r="L265" s="2" t="s">
        <v>3493</v>
      </c>
      <c r="M265" s="2" t="str">
        <f t="shared" si="7"/>
        <v>03</v>
      </c>
      <c r="N265" s="2" t="s">
        <v>3216</v>
      </c>
      <c r="O265" s="2" t="s">
        <v>4373</v>
      </c>
      <c r="P265" s="2" t="s">
        <v>4381</v>
      </c>
    </row>
    <row r="266" spans="1:16">
      <c r="A266" s="4">
        <v>46246.580416666664</v>
      </c>
      <c r="B266" s="2" t="s">
        <v>1307</v>
      </c>
      <c r="C266" s="2" t="s">
        <v>4120</v>
      </c>
      <c r="D266" s="2" t="s">
        <v>690</v>
      </c>
      <c r="E266" s="2">
        <v>14</v>
      </c>
      <c r="F266" s="2"/>
      <c r="G266" s="2">
        <v>14</v>
      </c>
      <c r="H266" s="2" t="s">
        <v>3132</v>
      </c>
      <c r="I266" s="2" t="s">
        <v>695</v>
      </c>
      <c r="J266" s="2" t="s">
        <v>2537</v>
      </c>
      <c r="K266" s="2" t="s">
        <v>1855</v>
      </c>
      <c r="L266" s="2" t="s">
        <v>3493</v>
      </c>
      <c r="M266" s="2" t="str">
        <f t="shared" si="7"/>
        <v>03</v>
      </c>
      <c r="N266" s="2" t="s">
        <v>3909</v>
      </c>
      <c r="O266" s="2" t="s">
        <v>4373</v>
      </c>
      <c r="P266" s="2" t="s">
        <v>4381</v>
      </c>
    </row>
    <row r="267" spans="1:16">
      <c r="A267" s="4">
        <v>46246.579236111109</v>
      </c>
      <c r="B267" s="2" t="s">
        <v>932</v>
      </c>
      <c r="C267" s="2" t="s">
        <v>4120</v>
      </c>
      <c r="D267" s="2" t="s">
        <v>690</v>
      </c>
      <c r="E267" s="2">
        <v>14</v>
      </c>
      <c r="F267" s="2"/>
      <c r="G267" s="2">
        <v>14</v>
      </c>
      <c r="H267" s="2" t="s">
        <v>3132</v>
      </c>
      <c r="I267" s="2" t="s">
        <v>695</v>
      </c>
      <c r="J267" s="2" t="s">
        <v>2537</v>
      </c>
      <c r="K267" s="2" t="s">
        <v>1855</v>
      </c>
      <c r="L267" s="2" t="s">
        <v>3493</v>
      </c>
      <c r="M267" s="2" t="str">
        <f t="shared" si="7"/>
        <v>03</v>
      </c>
      <c r="N267" s="2" t="s">
        <v>1179</v>
      </c>
      <c r="O267" s="2" t="s">
        <v>4373</v>
      </c>
      <c r="P267" s="2" t="s">
        <v>4381</v>
      </c>
    </row>
    <row r="268" spans="1:16">
      <c r="A268" s="4">
        <v>46246.579201388886</v>
      </c>
      <c r="B268" s="2" t="s">
        <v>1871</v>
      </c>
      <c r="C268" s="2" t="s">
        <v>4120</v>
      </c>
      <c r="D268" s="2" t="s">
        <v>690</v>
      </c>
      <c r="E268" s="2">
        <v>14</v>
      </c>
      <c r="F268" s="2"/>
      <c r="G268" s="2">
        <v>14</v>
      </c>
      <c r="H268" s="2" t="s">
        <v>3132</v>
      </c>
      <c r="I268" s="2" t="s">
        <v>695</v>
      </c>
      <c r="J268" s="2" t="s">
        <v>2537</v>
      </c>
      <c r="K268" s="2" t="s">
        <v>1855</v>
      </c>
      <c r="L268" s="2" t="s">
        <v>3493</v>
      </c>
      <c r="M268" s="2" t="str">
        <f t="shared" si="7"/>
        <v>03</v>
      </c>
      <c r="N268" s="2" t="s">
        <v>1937</v>
      </c>
      <c r="O268" s="2" t="s">
        <v>4373</v>
      </c>
      <c r="P268" s="2" t="s">
        <v>4381</v>
      </c>
    </row>
    <row r="269" spans="1:16">
      <c r="A269" s="4">
        <v>46246.578576388885</v>
      </c>
      <c r="B269" s="2" t="s">
        <v>1688</v>
      </c>
      <c r="C269" s="2" t="s">
        <v>4120</v>
      </c>
      <c r="D269" s="2" t="s">
        <v>690</v>
      </c>
      <c r="E269" s="2">
        <v>14</v>
      </c>
      <c r="F269" s="2"/>
      <c r="G269" s="2">
        <v>14</v>
      </c>
      <c r="H269" s="2" t="s">
        <v>3132</v>
      </c>
      <c r="I269" s="2" t="s">
        <v>695</v>
      </c>
      <c r="J269" s="2" t="s">
        <v>2537</v>
      </c>
      <c r="K269" s="2" t="s">
        <v>1855</v>
      </c>
      <c r="L269" s="2" t="s">
        <v>3493</v>
      </c>
      <c r="M269" s="2" t="str">
        <f t="shared" si="7"/>
        <v>03</v>
      </c>
      <c r="N269" s="2" t="s">
        <v>655</v>
      </c>
      <c r="O269" s="2" t="s">
        <v>4373</v>
      </c>
      <c r="P269" s="2" t="s">
        <v>4381</v>
      </c>
    </row>
    <row r="270" spans="1:16">
      <c r="A270" s="4">
        <v>46246.5784375</v>
      </c>
      <c r="B270" s="2" t="s">
        <v>3746</v>
      </c>
      <c r="C270" s="2" t="s">
        <v>4120</v>
      </c>
      <c r="D270" s="2" t="s">
        <v>690</v>
      </c>
      <c r="E270" s="2">
        <v>14</v>
      </c>
      <c r="F270" s="2"/>
      <c r="G270" s="2">
        <v>14</v>
      </c>
      <c r="H270" s="2" t="s">
        <v>3132</v>
      </c>
      <c r="I270" s="2" t="s">
        <v>695</v>
      </c>
      <c r="J270" s="2" t="s">
        <v>2537</v>
      </c>
      <c r="K270" s="2" t="s">
        <v>1855</v>
      </c>
      <c r="L270" s="2" t="s">
        <v>3493</v>
      </c>
      <c r="M270" s="2" t="str">
        <f t="shared" si="7"/>
        <v>03</v>
      </c>
      <c r="N270" s="2" t="s">
        <v>3652</v>
      </c>
      <c r="O270" s="2" t="s">
        <v>4373</v>
      </c>
      <c r="P270" s="2" t="s">
        <v>4381</v>
      </c>
    </row>
    <row r="271" spans="1:16">
      <c r="A271" s="4">
        <v>46246.577314814815</v>
      </c>
      <c r="B271" s="2" t="s">
        <v>3930</v>
      </c>
      <c r="C271" s="2" t="s">
        <v>4120</v>
      </c>
      <c r="D271" s="2" t="s">
        <v>690</v>
      </c>
      <c r="E271" s="2">
        <v>14</v>
      </c>
      <c r="F271" s="2"/>
      <c r="G271" s="2">
        <v>14</v>
      </c>
      <c r="H271" s="2" t="s">
        <v>3132</v>
      </c>
      <c r="I271" s="2" t="s">
        <v>695</v>
      </c>
      <c r="J271" s="2" t="s">
        <v>2537</v>
      </c>
      <c r="K271" s="2" t="s">
        <v>1855</v>
      </c>
      <c r="L271" s="2" t="s">
        <v>3493</v>
      </c>
      <c r="M271" s="2" t="str">
        <f t="shared" si="7"/>
        <v>03</v>
      </c>
      <c r="N271" s="2" t="s">
        <v>2267</v>
      </c>
      <c r="O271" s="2" t="s">
        <v>4373</v>
      </c>
      <c r="P271" s="2" t="s">
        <v>4381</v>
      </c>
    </row>
    <row r="272" spans="1:16">
      <c r="A272" s="4">
        <v>46246.577268518522</v>
      </c>
      <c r="B272" s="2" t="s">
        <v>3496</v>
      </c>
      <c r="C272" s="2" t="s">
        <v>4120</v>
      </c>
      <c r="D272" s="2" t="s">
        <v>690</v>
      </c>
      <c r="E272" s="2">
        <v>14</v>
      </c>
      <c r="F272" s="2"/>
      <c r="G272" s="2">
        <v>14</v>
      </c>
      <c r="H272" s="2" t="s">
        <v>3132</v>
      </c>
      <c r="I272" s="2" t="s">
        <v>695</v>
      </c>
      <c r="J272" s="2" t="s">
        <v>2537</v>
      </c>
      <c r="K272" s="2" t="s">
        <v>1855</v>
      </c>
      <c r="L272" s="2" t="s">
        <v>3493</v>
      </c>
      <c r="M272" s="2" t="str">
        <f t="shared" si="7"/>
        <v>03</v>
      </c>
      <c r="N272" s="2" t="s">
        <v>3897</v>
      </c>
      <c r="O272" s="2" t="s">
        <v>4373</v>
      </c>
      <c r="P272" s="2" t="s">
        <v>4381</v>
      </c>
    </row>
    <row r="273" spans="1:16">
      <c r="A273" s="4">
        <v>46246.576655092591</v>
      </c>
      <c r="B273" s="2" t="s">
        <v>622</v>
      </c>
      <c r="C273" s="2" t="s">
        <v>4120</v>
      </c>
      <c r="D273" s="2" t="s">
        <v>690</v>
      </c>
      <c r="E273" s="2">
        <v>14</v>
      </c>
      <c r="F273" s="2"/>
      <c r="G273" s="2">
        <v>14</v>
      </c>
      <c r="H273" s="2" t="s">
        <v>3132</v>
      </c>
      <c r="I273" s="2" t="s">
        <v>695</v>
      </c>
      <c r="J273" s="2" t="s">
        <v>2537</v>
      </c>
      <c r="K273" s="2" t="s">
        <v>1855</v>
      </c>
      <c r="L273" s="2" t="s">
        <v>3493</v>
      </c>
      <c r="M273" s="2" t="str">
        <f t="shared" si="7"/>
        <v>03</v>
      </c>
      <c r="N273" s="2" t="s">
        <v>820</v>
      </c>
      <c r="O273" s="2" t="s">
        <v>4373</v>
      </c>
      <c r="P273" s="2" t="s">
        <v>4381</v>
      </c>
    </row>
    <row r="274" spans="1:16">
      <c r="A274" s="4">
        <v>46246.576435185183</v>
      </c>
      <c r="B274" s="2" t="s">
        <v>2396</v>
      </c>
      <c r="C274" s="2" t="s">
        <v>4120</v>
      </c>
      <c r="D274" s="2" t="s">
        <v>690</v>
      </c>
      <c r="E274" s="2">
        <v>14</v>
      </c>
      <c r="F274" s="2"/>
      <c r="G274" s="2">
        <v>14</v>
      </c>
      <c r="H274" s="2" t="s">
        <v>3132</v>
      </c>
      <c r="I274" s="2" t="s">
        <v>695</v>
      </c>
      <c r="J274" s="2" t="s">
        <v>2537</v>
      </c>
      <c r="K274" s="2" t="s">
        <v>1855</v>
      </c>
      <c r="L274" s="2" t="s">
        <v>3493</v>
      </c>
      <c r="M274" s="2" t="str">
        <f t="shared" si="7"/>
        <v>03</v>
      </c>
      <c r="N274" s="2" t="s">
        <v>1762</v>
      </c>
      <c r="O274" s="2" t="s">
        <v>4373</v>
      </c>
      <c r="P274" s="2" t="s">
        <v>4381</v>
      </c>
    </row>
    <row r="275" spans="1:16">
      <c r="A275" s="4">
        <v>46246.575370370374</v>
      </c>
      <c r="B275" s="2" t="s">
        <v>1730</v>
      </c>
      <c r="C275" s="2" t="s">
        <v>4120</v>
      </c>
      <c r="D275" s="2" t="s">
        <v>690</v>
      </c>
      <c r="E275" s="2">
        <v>14</v>
      </c>
      <c r="F275" s="2"/>
      <c r="G275" s="2">
        <v>14</v>
      </c>
      <c r="H275" s="2" t="s">
        <v>3132</v>
      </c>
      <c r="I275" s="2" t="s">
        <v>695</v>
      </c>
      <c r="J275" s="2" t="s">
        <v>2537</v>
      </c>
      <c r="K275" s="2" t="s">
        <v>1855</v>
      </c>
      <c r="L275" s="2" t="s">
        <v>3493</v>
      </c>
      <c r="M275" s="2" t="str">
        <f t="shared" si="7"/>
        <v>03</v>
      </c>
      <c r="N275" s="2" t="s">
        <v>1484</v>
      </c>
      <c r="O275" s="2" t="s">
        <v>4373</v>
      </c>
      <c r="P275" s="2" t="s">
        <v>4381</v>
      </c>
    </row>
    <row r="276" spans="1:16">
      <c r="A276" s="4">
        <v>46246.574976851851</v>
      </c>
      <c r="B276" s="2" t="s">
        <v>4278</v>
      </c>
      <c r="C276" s="2" t="s">
        <v>4120</v>
      </c>
      <c r="D276" s="2" t="s">
        <v>690</v>
      </c>
      <c r="E276" s="2">
        <v>14</v>
      </c>
      <c r="F276" s="2"/>
      <c r="G276" s="2">
        <v>14</v>
      </c>
      <c r="H276" s="2" t="s">
        <v>3132</v>
      </c>
      <c r="I276" s="2" t="s">
        <v>695</v>
      </c>
      <c r="J276" s="2" t="s">
        <v>2537</v>
      </c>
      <c r="K276" s="2" t="s">
        <v>1855</v>
      </c>
      <c r="L276" s="2" t="s">
        <v>3493</v>
      </c>
      <c r="M276" s="2" t="str">
        <f t="shared" si="7"/>
        <v>03</v>
      </c>
      <c r="N276" s="2" t="s">
        <v>1756</v>
      </c>
      <c r="O276" s="2" t="s">
        <v>4373</v>
      </c>
      <c r="P276" s="2" t="s">
        <v>4381</v>
      </c>
    </row>
    <row r="277" spans="1:16">
      <c r="A277" s="4">
        <v>46246.57408564815</v>
      </c>
      <c r="B277" s="2" t="s">
        <v>3004</v>
      </c>
      <c r="C277" s="2" t="s">
        <v>4120</v>
      </c>
      <c r="D277" s="2" t="s">
        <v>690</v>
      </c>
      <c r="E277" s="2">
        <v>14</v>
      </c>
      <c r="F277" s="2"/>
      <c r="G277" s="2">
        <v>14</v>
      </c>
      <c r="H277" s="2" t="s">
        <v>3132</v>
      </c>
      <c r="I277" s="2" t="s">
        <v>695</v>
      </c>
      <c r="J277" s="2" t="s">
        <v>2537</v>
      </c>
      <c r="K277" s="2" t="s">
        <v>1855</v>
      </c>
      <c r="L277" s="2" t="s">
        <v>3493</v>
      </c>
      <c r="M277" s="2" t="str">
        <f t="shared" si="7"/>
        <v>03</v>
      </c>
      <c r="N277" s="2" t="s">
        <v>4119</v>
      </c>
      <c r="O277" s="2" t="s">
        <v>4373</v>
      </c>
      <c r="P277" s="2" t="s">
        <v>4381</v>
      </c>
    </row>
    <row r="278" spans="1:16">
      <c r="A278" s="4">
        <v>46246.573935185188</v>
      </c>
      <c r="B278" s="2" t="s">
        <v>2148</v>
      </c>
      <c r="C278" s="2" t="s">
        <v>4120</v>
      </c>
      <c r="D278" s="2" t="s">
        <v>690</v>
      </c>
      <c r="E278" s="2">
        <v>14</v>
      </c>
      <c r="F278" s="2"/>
      <c r="G278" s="2">
        <v>14</v>
      </c>
      <c r="H278" s="2" t="s">
        <v>3132</v>
      </c>
      <c r="I278" s="2" t="s">
        <v>695</v>
      </c>
      <c r="J278" s="2" t="s">
        <v>2537</v>
      </c>
      <c r="K278" s="2" t="s">
        <v>1855</v>
      </c>
      <c r="L278" s="2" t="s">
        <v>3493</v>
      </c>
      <c r="M278" s="2" t="str">
        <f t="shared" si="7"/>
        <v>03</v>
      </c>
      <c r="N278" s="2" t="s">
        <v>2751</v>
      </c>
      <c r="O278" s="2" t="s">
        <v>4373</v>
      </c>
      <c r="P278" s="2" t="s">
        <v>4381</v>
      </c>
    </row>
    <row r="279" spans="1:16">
      <c r="A279" s="4">
        <v>46246.390092592592</v>
      </c>
      <c r="B279" s="2" t="s">
        <v>3997</v>
      </c>
      <c r="C279" s="2" t="s">
        <v>4120</v>
      </c>
      <c r="D279" s="2" t="s">
        <v>690</v>
      </c>
      <c r="E279" s="2">
        <v>12</v>
      </c>
      <c r="F279" s="2"/>
      <c r="G279" s="2">
        <v>12</v>
      </c>
      <c r="H279" s="2" t="s">
        <v>42</v>
      </c>
      <c r="I279" s="2" t="s">
        <v>695</v>
      </c>
      <c r="J279" s="2" t="s">
        <v>2537</v>
      </c>
      <c r="K279" s="2" t="s">
        <v>1855</v>
      </c>
      <c r="L279" s="2" t="s">
        <v>2399</v>
      </c>
      <c r="M279" s="2" t="str">
        <f t="shared" si="7"/>
        <v>05</v>
      </c>
      <c r="N279" s="2" t="s">
        <v>2273</v>
      </c>
      <c r="O279" s="2" t="s">
        <v>4373</v>
      </c>
      <c r="P279" s="2" t="s">
        <v>4381</v>
      </c>
    </row>
    <row r="280" spans="1:16">
      <c r="A280" s="4">
        <v>46246.389872685184</v>
      </c>
      <c r="B280" s="2" t="s">
        <v>3228</v>
      </c>
      <c r="C280" s="2" t="s">
        <v>4120</v>
      </c>
      <c r="D280" s="2" t="s">
        <v>690</v>
      </c>
      <c r="E280" s="2">
        <v>14</v>
      </c>
      <c r="F280" s="2"/>
      <c r="G280" s="2">
        <v>14</v>
      </c>
      <c r="H280" s="2" t="s">
        <v>42</v>
      </c>
      <c r="I280" s="2" t="s">
        <v>695</v>
      </c>
      <c r="J280" s="2" t="s">
        <v>2537</v>
      </c>
      <c r="K280" s="2" t="s">
        <v>1855</v>
      </c>
      <c r="L280" s="2" t="s">
        <v>2399</v>
      </c>
      <c r="M280" s="2" t="str">
        <f t="shared" si="7"/>
        <v>05</v>
      </c>
      <c r="N280" s="2" t="s">
        <v>2887</v>
      </c>
      <c r="O280" s="2" t="s">
        <v>4373</v>
      </c>
      <c r="P280" s="2" t="s">
        <v>4381</v>
      </c>
    </row>
    <row r="281" spans="1:16">
      <c r="A281" s="4">
        <v>46246.389652777776</v>
      </c>
      <c r="B281" s="2" t="s">
        <v>2164</v>
      </c>
      <c r="C281" s="2" t="s">
        <v>4120</v>
      </c>
      <c r="D281" s="2" t="s">
        <v>690</v>
      </c>
      <c r="E281" s="2">
        <v>14</v>
      </c>
      <c r="F281" s="2"/>
      <c r="G281" s="2">
        <v>14</v>
      </c>
      <c r="H281" s="2" t="s">
        <v>42</v>
      </c>
      <c r="I281" s="2" t="s">
        <v>695</v>
      </c>
      <c r="J281" s="2" t="s">
        <v>2537</v>
      </c>
      <c r="K281" s="2" t="s">
        <v>1855</v>
      </c>
      <c r="L281" s="2" t="s">
        <v>2399</v>
      </c>
      <c r="M281" s="2" t="str">
        <f t="shared" si="7"/>
        <v>05</v>
      </c>
      <c r="N281" s="2" t="s">
        <v>175</v>
      </c>
      <c r="O281" s="2" t="s">
        <v>4373</v>
      </c>
      <c r="P281" s="2" t="s">
        <v>4381</v>
      </c>
    </row>
    <row r="282" spans="1:16">
      <c r="A282" s="4">
        <v>46246.388854166667</v>
      </c>
      <c r="B282" s="2" t="s">
        <v>1133</v>
      </c>
      <c r="C282" s="2" t="s">
        <v>4120</v>
      </c>
      <c r="D282" s="2" t="s">
        <v>690</v>
      </c>
      <c r="E282" s="2">
        <v>14</v>
      </c>
      <c r="F282" s="2"/>
      <c r="G282" s="2">
        <v>14</v>
      </c>
      <c r="H282" s="2" t="s">
        <v>42</v>
      </c>
      <c r="I282" s="2" t="s">
        <v>695</v>
      </c>
      <c r="J282" s="2" t="s">
        <v>2537</v>
      </c>
      <c r="K282" s="2" t="s">
        <v>1855</v>
      </c>
      <c r="L282" s="2" t="s">
        <v>2399</v>
      </c>
      <c r="M282" s="2" t="str">
        <f t="shared" si="7"/>
        <v>05</v>
      </c>
      <c r="N282" s="2" t="s">
        <v>3822</v>
      </c>
      <c r="O282" s="2" t="s">
        <v>4373</v>
      </c>
      <c r="P282" s="2" t="s">
        <v>4381</v>
      </c>
    </row>
    <row r="283" spans="1:16">
      <c r="A283" s="4">
        <v>46246.388761574075</v>
      </c>
      <c r="B283" s="2" t="s">
        <v>3308</v>
      </c>
      <c r="C283" s="2" t="s">
        <v>4120</v>
      </c>
      <c r="D283" s="2" t="s">
        <v>690</v>
      </c>
      <c r="E283" s="2">
        <v>14</v>
      </c>
      <c r="F283" s="2"/>
      <c r="G283" s="2">
        <v>14</v>
      </c>
      <c r="H283" s="2" t="s">
        <v>42</v>
      </c>
      <c r="I283" s="2" t="s">
        <v>695</v>
      </c>
      <c r="J283" s="2" t="s">
        <v>2537</v>
      </c>
      <c r="K283" s="2" t="s">
        <v>1855</v>
      </c>
      <c r="L283" s="2" t="s">
        <v>2399</v>
      </c>
      <c r="M283" s="2" t="str">
        <f t="shared" si="7"/>
        <v>05</v>
      </c>
      <c r="N283" s="2" t="s">
        <v>1045</v>
      </c>
      <c r="O283" s="2" t="s">
        <v>4373</v>
      </c>
      <c r="P283" s="2" t="s">
        <v>4381</v>
      </c>
    </row>
    <row r="284" spans="1:16">
      <c r="A284" s="4">
        <v>46246.387094907404</v>
      </c>
      <c r="B284" s="2" t="s">
        <v>2682</v>
      </c>
      <c r="C284" s="2" t="s">
        <v>4120</v>
      </c>
      <c r="D284" s="2" t="s">
        <v>690</v>
      </c>
      <c r="E284" s="2">
        <v>14</v>
      </c>
      <c r="F284" s="2"/>
      <c r="G284" s="2">
        <v>14</v>
      </c>
      <c r="H284" s="2" t="s">
        <v>42</v>
      </c>
      <c r="I284" s="2" t="s">
        <v>695</v>
      </c>
      <c r="J284" s="2" t="s">
        <v>2537</v>
      </c>
      <c r="K284" s="2" t="s">
        <v>1855</v>
      </c>
      <c r="L284" s="2" t="s">
        <v>2399</v>
      </c>
      <c r="M284" s="2" t="str">
        <f t="shared" si="7"/>
        <v>05</v>
      </c>
      <c r="N284" s="2" t="s">
        <v>590</v>
      </c>
      <c r="O284" s="2" t="s">
        <v>4373</v>
      </c>
      <c r="P284" s="2" t="s">
        <v>4381</v>
      </c>
    </row>
    <row r="285" spans="1:16">
      <c r="A285" s="4">
        <v>46246.386979166666</v>
      </c>
      <c r="B285" s="2" t="s">
        <v>1765</v>
      </c>
      <c r="C285" s="2" t="s">
        <v>4120</v>
      </c>
      <c r="D285" s="2" t="s">
        <v>690</v>
      </c>
      <c r="E285" s="2">
        <v>14</v>
      </c>
      <c r="F285" s="2"/>
      <c r="G285" s="2">
        <v>14</v>
      </c>
      <c r="H285" s="2" t="s">
        <v>42</v>
      </c>
      <c r="I285" s="2" t="s">
        <v>695</v>
      </c>
      <c r="J285" s="2" t="s">
        <v>2537</v>
      </c>
      <c r="K285" s="2" t="s">
        <v>1855</v>
      </c>
      <c r="L285" s="2" t="s">
        <v>2399</v>
      </c>
      <c r="M285" s="2" t="str">
        <f t="shared" si="7"/>
        <v>05</v>
      </c>
      <c r="N285" s="2" t="s">
        <v>1090</v>
      </c>
      <c r="O285" s="2" t="s">
        <v>4373</v>
      </c>
      <c r="P285" s="2" t="s">
        <v>4381</v>
      </c>
    </row>
    <row r="286" spans="1:16">
      <c r="A286" s="4">
        <v>46246.386157407411</v>
      </c>
      <c r="B286" s="2" t="s">
        <v>849</v>
      </c>
      <c r="C286" s="2" t="s">
        <v>4120</v>
      </c>
      <c r="D286" s="2" t="s">
        <v>690</v>
      </c>
      <c r="E286" s="2">
        <v>14</v>
      </c>
      <c r="F286" s="2"/>
      <c r="G286" s="2">
        <v>14</v>
      </c>
      <c r="H286" s="2" t="s">
        <v>42</v>
      </c>
      <c r="I286" s="2" t="s">
        <v>695</v>
      </c>
      <c r="J286" s="2" t="s">
        <v>2537</v>
      </c>
      <c r="K286" s="2" t="s">
        <v>1855</v>
      </c>
      <c r="L286" s="2" t="s">
        <v>2399</v>
      </c>
      <c r="M286" s="2" t="str">
        <f t="shared" si="7"/>
        <v>05</v>
      </c>
      <c r="N286" s="2" t="s">
        <v>2526</v>
      </c>
      <c r="O286" s="2" t="s">
        <v>4373</v>
      </c>
      <c r="P286" s="2" t="s">
        <v>4381</v>
      </c>
    </row>
    <row r="287" spans="1:16">
      <c r="A287" s="4">
        <v>46246.385636574072</v>
      </c>
      <c r="B287" s="2" t="s">
        <v>3825</v>
      </c>
      <c r="C287" s="2" t="s">
        <v>4120</v>
      </c>
      <c r="D287" s="2" t="s">
        <v>690</v>
      </c>
      <c r="E287" s="2">
        <v>14</v>
      </c>
      <c r="F287" s="2"/>
      <c r="G287" s="2">
        <v>14</v>
      </c>
      <c r="H287" s="2" t="s">
        <v>42</v>
      </c>
      <c r="I287" s="2" t="s">
        <v>695</v>
      </c>
      <c r="J287" s="2" t="s">
        <v>2537</v>
      </c>
      <c r="K287" s="2" t="s">
        <v>1855</v>
      </c>
      <c r="L287" s="2" t="s">
        <v>2399</v>
      </c>
      <c r="M287" s="2" t="str">
        <f t="shared" si="7"/>
        <v>05</v>
      </c>
      <c r="N287" s="2" t="s">
        <v>461</v>
      </c>
      <c r="O287" s="2" t="s">
        <v>4373</v>
      </c>
      <c r="P287" s="2" t="s">
        <v>4381</v>
      </c>
    </row>
    <row r="288" spans="1:16">
      <c r="A288" s="4">
        <v>46246.38553240741</v>
      </c>
      <c r="B288" s="2" t="s">
        <v>534</v>
      </c>
      <c r="C288" s="2" t="s">
        <v>4120</v>
      </c>
      <c r="D288" s="2" t="s">
        <v>690</v>
      </c>
      <c r="E288" s="2">
        <v>14</v>
      </c>
      <c r="F288" s="2"/>
      <c r="G288" s="2">
        <v>14</v>
      </c>
      <c r="H288" s="2" t="s">
        <v>42</v>
      </c>
      <c r="I288" s="2" t="s">
        <v>695</v>
      </c>
      <c r="J288" s="2" t="s">
        <v>2537</v>
      </c>
      <c r="K288" s="2" t="s">
        <v>1855</v>
      </c>
      <c r="L288" s="2" t="s">
        <v>2399</v>
      </c>
      <c r="M288" s="2" t="str">
        <f t="shared" si="7"/>
        <v>05</v>
      </c>
      <c r="N288" s="2" t="s">
        <v>2172</v>
      </c>
      <c r="O288" s="2" t="s">
        <v>4373</v>
      </c>
      <c r="P288" s="2" t="s">
        <v>4381</v>
      </c>
    </row>
    <row r="289" spans="1:16">
      <c r="A289" s="4">
        <v>46246.384976851848</v>
      </c>
      <c r="B289" s="2" t="s">
        <v>1329</v>
      </c>
      <c r="C289" s="2" t="s">
        <v>4120</v>
      </c>
      <c r="D289" s="2" t="s">
        <v>690</v>
      </c>
      <c r="E289" s="2">
        <v>14</v>
      </c>
      <c r="F289" s="2"/>
      <c r="G289" s="2">
        <v>14</v>
      </c>
      <c r="H289" s="2" t="s">
        <v>42</v>
      </c>
      <c r="I289" s="2" t="s">
        <v>695</v>
      </c>
      <c r="J289" s="2" t="s">
        <v>2537</v>
      </c>
      <c r="K289" s="2" t="s">
        <v>1855</v>
      </c>
      <c r="L289" s="2" t="s">
        <v>2399</v>
      </c>
      <c r="M289" s="2" t="str">
        <f t="shared" si="7"/>
        <v>05</v>
      </c>
      <c r="N289" s="2" t="s">
        <v>1786</v>
      </c>
      <c r="O289" s="2" t="s">
        <v>4373</v>
      </c>
      <c r="P289" s="2" t="s">
        <v>4381</v>
      </c>
    </row>
    <row r="290" spans="1:16">
      <c r="A290" s="4">
        <v>46246.382569444446</v>
      </c>
      <c r="B290" s="2" t="s">
        <v>4138</v>
      </c>
      <c r="C290" s="2" t="s">
        <v>4120</v>
      </c>
      <c r="D290" s="2" t="s">
        <v>690</v>
      </c>
      <c r="E290" s="2">
        <v>14</v>
      </c>
      <c r="F290" s="2"/>
      <c r="G290" s="2">
        <v>14</v>
      </c>
      <c r="H290" s="2" t="s">
        <v>42</v>
      </c>
      <c r="I290" s="2" t="s">
        <v>695</v>
      </c>
      <c r="J290" s="2" t="s">
        <v>2537</v>
      </c>
      <c r="K290" s="2" t="s">
        <v>1855</v>
      </c>
      <c r="L290" s="2" t="s">
        <v>2399</v>
      </c>
      <c r="M290" s="2" t="str">
        <f t="shared" si="7"/>
        <v>05</v>
      </c>
      <c r="N290" s="2" t="s">
        <v>2394</v>
      </c>
      <c r="O290" s="2" t="s">
        <v>4373</v>
      </c>
      <c r="P290" s="2" t="s">
        <v>4381</v>
      </c>
    </row>
    <row r="291" spans="1:16">
      <c r="A291" s="4">
        <v>46246.382488425923</v>
      </c>
      <c r="B291" s="2" t="s">
        <v>1097</v>
      </c>
      <c r="C291" s="2" t="s">
        <v>4120</v>
      </c>
      <c r="D291" s="2" t="s">
        <v>690</v>
      </c>
      <c r="E291" s="2">
        <v>14</v>
      </c>
      <c r="F291" s="2"/>
      <c r="G291" s="2">
        <v>14</v>
      </c>
      <c r="H291" s="2" t="s">
        <v>42</v>
      </c>
      <c r="I291" s="2" t="s">
        <v>695</v>
      </c>
      <c r="J291" s="2" t="s">
        <v>2537</v>
      </c>
      <c r="K291" s="2" t="s">
        <v>1855</v>
      </c>
      <c r="L291" s="2" t="s">
        <v>2399</v>
      </c>
      <c r="M291" s="2" t="str">
        <f t="shared" si="7"/>
        <v>05</v>
      </c>
      <c r="N291" s="2" t="s">
        <v>58</v>
      </c>
      <c r="O291" s="2" t="s">
        <v>4373</v>
      </c>
      <c r="P291" s="2" t="s">
        <v>4381</v>
      </c>
    </row>
    <row r="292" spans="1:16">
      <c r="A292" s="4">
        <v>46246.382002314815</v>
      </c>
      <c r="B292" s="2" t="s">
        <v>245</v>
      </c>
      <c r="C292" s="2" t="s">
        <v>4120</v>
      </c>
      <c r="D292" s="2" t="s">
        <v>690</v>
      </c>
      <c r="E292" s="2">
        <v>14</v>
      </c>
      <c r="F292" s="2"/>
      <c r="G292" s="2">
        <v>14</v>
      </c>
      <c r="H292" s="2" t="s">
        <v>42</v>
      </c>
      <c r="I292" s="2" t="s">
        <v>695</v>
      </c>
      <c r="J292" s="2" t="s">
        <v>2537</v>
      </c>
      <c r="K292" s="2" t="s">
        <v>1855</v>
      </c>
      <c r="L292" s="2" t="s">
        <v>2399</v>
      </c>
      <c r="M292" s="2" t="str">
        <f t="shared" si="7"/>
        <v>05</v>
      </c>
      <c r="N292" s="2" t="s">
        <v>1006</v>
      </c>
      <c r="O292" s="2" t="s">
        <v>4373</v>
      </c>
      <c r="P292" s="2" t="s">
        <v>4381</v>
      </c>
    </row>
    <row r="293" spans="1:16">
      <c r="A293" s="4">
        <v>46246.381990740738</v>
      </c>
      <c r="B293" s="2" t="s">
        <v>1013</v>
      </c>
      <c r="C293" s="2" t="s">
        <v>4120</v>
      </c>
      <c r="D293" s="2" t="s">
        <v>690</v>
      </c>
      <c r="E293" s="2">
        <v>14</v>
      </c>
      <c r="F293" s="2"/>
      <c r="G293" s="2">
        <v>14</v>
      </c>
      <c r="H293" s="2" t="s">
        <v>42</v>
      </c>
      <c r="I293" s="2" t="s">
        <v>695</v>
      </c>
      <c r="J293" s="2" t="s">
        <v>2537</v>
      </c>
      <c r="K293" s="2" t="s">
        <v>1855</v>
      </c>
      <c r="L293" s="2" t="s">
        <v>2399</v>
      </c>
      <c r="M293" s="2" t="str">
        <f t="shared" si="7"/>
        <v>05</v>
      </c>
      <c r="N293" s="2" t="s">
        <v>1078</v>
      </c>
      <c r="O293" s="2" t="s">
        <v>4373</v>
      </c>
      <c r="P293" s="2" t="s">
        <v>4381</v>
      </c>
    </row>
    <row r="294" spans="1:16">
      <c r="A294" s="4">
        <v>46246.379351851851</v>
      </c>
      <c r="B294" s="2" t="s">
        <v>2936</v>
      </c>
      <c r="C294" s="2" t="s">
        <v>4120</v>
      </c>
      <c r="D294" s="2" t="s">
        <v>690</v>
      </c>
      <c r="E294" s="2">
        <v>14</v>
      </c>
      <c r="F294" s="2"/>
      <c r="G294" s="2">
        <v>14</v>
      </c>
      <c r="H294" s="2" t="s">
        <v>42</v>
      </c>
      <c r="I294" s="2" t="s">
        <v>695</v>
      </c>
      <c r="J294" s="2" t="s">
        <v>2537</v>
      </c>
      <c r="K294" s="2" t="s">
        <v>1855</v>
      </c>
      <c r="L294" s="2" t="s">
        <v>2399</v>
      </c>
      <c r="M294" s="2" t="str">
        <f t="shared" si="7"/>
        <v>05</v>
      </c>
      <c r="N294" s="2" t="s">
        <v>3592</v>
      </c>
      <c r="O294" s="2" t="s">
        <v>4373</v>
      </c>
      <c r="P294" s="2" t="s">
        <v>4381</v>
      </c>
    </row>
    <row r="295" spans="1:16">
      <c r="A295" s="4">
        <v>46246.379328703704</v>
      </c>
      <c r="B295" s="2" t="s">
        <v>162</v>
      </c>
      <c r="C295" s="2" t="s">
        <v>4120</v>
      </c>
      <c r="D295" s="2" t="s">
        <v>690</v>
      </c>
      <c r="E295" s="2">
        <v>14</v>
      </c>
      <c r="F295" s="2"/>
      <c r="G295" s="2">
        <v>14</v>
      </c>
      <c r="H295" s="2" t="s">
        <v>42</v>
      </c>
      <c r="I295" s="2" t="s">
        <v>695</v>
      </c>
      <c r="J295" s="2" t="s">
        <v>2537</v>
      </c>
      <c r="K295" s="2" t="s">
        <v>1855</v>
      </c>
      <c r="L295" s="2" t="s">
        <v>2399</v>
      </c>
      <c r="M295" s="2" t="str">
        <f t="shared" si="7"/>
        <v>05</v>
      </c>
      <c r="N295" s="2" t="s">
        <v>679</v>
      </c>
      <c r="O295" s="2" t="s">
        <v>4373</v>
      </c>
      <c r="P295" s="2" t="s">
        <v>4381</v>
      </c>
    </row>
    <row r="296" spans="1:16">
      <c r="A296" s="4">
        <v>46246.378877314812</v>
      </c>
      <c r="B296" s="2" t="s">
        <v>2725</v>
      </c>
      <c r="C296" s="2" t="s">
        <v>4120</v>
      </c>
      <c r="D296" s="2" t="s">
        <v>690</v>
      </c>
      <c r="E296" s="2">
        <v>14</v>
      </c>
      <c r="F296" s="2"/>
      <c r="G296" s="2">
        <v>14</v>
      </c>
      <c r="H296" s="2" t="s">
        <v>42</v>
      </c>
      <c r="I296" s="2" t="s">
        <v>695</v>
      </c>
      <c r="J296" s="2" t="s">
        <v>2537</v>
      </c>
      <c r="K296" s="2" t="s">
        <v>1855</v>
      </c>
      <c r="L296" s="2" t="s">
        <v>2399</v>
      </c>
      <c r="M296" s="2" t="str">
        <f t="shared" si="7"/>
        <v>05</v>
      </c>
      <c r="N296" s="2" t="s">
        <v>1168</v>
      </c>
      <c r="O296" s="2" t="s">
        <v>4373</v>
      </c>
      <c r="P296" s="2" t="s">
        <v>4381</v>
      </c>
    </row>
    <row r="297" spans="1:16">
      <c r="A297" s="4">
        <v>46246.37872685185</v>
      </c>
      <c r="B297" s="2" t="s">
        <v>1210</v>
      </c>
      <c r="C297" s="2" t="s">
        <v>4120</v>
      </c>
      <c r="D297" s="2" t="s">
        <v>690</v>
      </c>
      <c r="E297" s="2">
        <v>14</v>
      </c>
      <c r="F297" s="2"/>
      <c r="G297" s="2">
        <v>14</v>
      </c>
      <c r="H297" s="2" t="s">
        <v>42</v>
      </c>
      <c r="I297" s="2" t="s">
        <v>695</v>
      </c>
      <c r="J297" s="2" t="s">
        <v>2537</v>
      </c>
      <c r="K297" s="2" t="s">
        <v>1855</v>
      </c>
      <c r="L297" s="2" t="s">
        <v>2399</v>
      </c>
      <c r="M297" s="2" t="str">
        <f t="shared" si="7"/>
        <v>05</v>
      </c>
      <c r="N297" s="2" t="s">
        <v>1138</v>
      </c>
      <c r="O297" s="2" t="s">
        <v>4373</v>
      </c>
      <c r="P297" s="2" t="s">
        <v>4381</v>
      </c>
    </row>
    <row r="298" spans="1:16">
      <c r="A298" s="4">
        <v>46246.376956018517</v>
      </c>
      <c r="B298" s="2" t="s">
        <v>1724</v>
      </c>
      <c r="C298" s="2" t="s">
        <v>4120</v>
      </c>
      <c r="D298" s="2" t="s">
        <v>690</v>
      </c>
      <c r="E298" s="2">
        <v>14</v>
      </c>
      <c r="F298" s="2"/>
      <c r="G298" s="2">
        <v>14</v>
      </c>
      <c r="H298" s="2" t="s">
        <v>42</v>
      </c>
      <c r="I298" s="2" t="s">
        <v>695</v>
      </c>
      <c r="J298" s="2" t="s">
        <v>2537</v>
      </c>
      <c r="K298" s="2" t="s">
        <v>1855</v>
      </c>
      <c r="L298" s="2" t="s">
        <v>2399</v>
      </c>
      <c r="M298" s="2" t="str">
        <f t="shared" si="7"/>
        <v>05</v>
      </c>
      <c r="N298" s="2" t="s">
        <v>322</v>
      </c>
      <c r="O298" s="2" t="s">
        <v>4373</v>
      </c>
      <c r="P298" s="2" t="s">
        <v>4381</v>
      </c>
    </row>
    <row r="299" spans="1:16">
      <c r="A299" s="4">
        <v>46246.376423611109</v>
      </c>
      <c r="B299" s="2" t="s">
        <v>2307</v>
      </c>
      <c r="C299" s="2" t="s">
        <v>4120</v>
      </c>
      <c r="D299" s="2" t="s">
        <v>690</v>
      </c>
      <c r="E299" s="2">
        <v>14</v>
      </c>
      <c r="F299" s="2"/>
      <c r="G299" s="2">
        <v>14</v>
      </c>
      <c r="H299" s="2" t="s">
        <v>42</v>
      </c>
      <c r="I299" s="2" t="s">
        <v>695</v>
      </c>
      <c r="J299" s="2" t="s">
        <v>2537</v>
      </c>
      <c r="K299" s="2" t="s">
        <v>1855</v>
      </c>
      <c r="L299" s="2" t="s">
        <v>2399</v>
      </c>
      <c r="M299" s="2" t="str">
        <f t="shared" si="7"/>
        <v>05</v>
      </c>
      <c r="N299" s="2" t="s">
        <v>421</v>
      </c>
      <c r="O299" s="2" t="s">
        <v>4373</v>
      </c>
      <c r="P299" s="2" t="s">
        <v>4381</v>
      </c>
    </row>
    <row r="300" spans="1:16">
      <c r="A300" s="4">
        <v>46246.375960648147</v>
      </c>
      <c r="B300" s="2" t="s">
        <v>1953</v>
      </c>
      <c r="C300" s="2" t="s">
        <v>4120</v>
      </c>
      <c r="D300" s="2" t="s">
        <v>690</v>
      </c>
      <c r="E300" s="2">
        <v>14</v>
      </c>
      <c r="F300" s="2"/>
      <c r="G300" s="2">
        <v>14</v>
      </c>
      <c r="H300" s="2" t="s">
        <v>42</v>
      </c>
      <c r="I300" s="2" t="s">
        <v>695</v>
      </c>
      <c r="J300" s="2" t="s">
        <v>2537</v>
      </c>
      <c r="K300" s="2" t="s">
        <v>1855</v>
      </c>
      <c r="L300" s="2" t="s">
        <v>2399</v>
      </c>
      <c r="M300" s="2" t="str">
        <f t="shared" si="7"/>
        <v>05</v>
      </c>
      <c r="N300" s="2" t="s">
        <v>969</v>
      </c>
      <c r="O300" s="2" t="s">
        <v>4373</v>
      </c>
      <c r="P300" s="2" t="s">
        <v>4381</v>
      </c>
    </row>
    <row r="301" spans="1:16">
      <c r="A301" s="4">
        <v>46246.375937500001</v>
      </c>
      <c r="B301" s="2" t="s">
        <v>2511</v>
      </c>
      <c r="C301" s="2" t="s">
        <v>4120</v>
      </c>
      <c r="D301" s="2" t="s">
        <v>690</v>
      </c>
      <c r="E301" s="2">
        <v>14</v>
      </c>
      <c r="F301" s="2"/>
      <c r="G301" s="2">
        <v>14</v>
      </c>
      <c r="H301" s="2" t="s">
        <v>42</v>
      </c>
      <c r="I301" s="2" t="s">
        <v>695</v>
      </c>
      <c r="J301" s="2" t="s">
        <v>2537</v>
      </c>
      <c r="K301" s="2" t="s">
        <v>1855</v>
      </c>
      <c r="L301" s="2" t="s">
        <v>2399</v>
      </c>
      <c r="M301" s="2" t="str">
        <f t="shared" si="7"/>
        <v>05</v>
      </c>
      <c r="N301" s="2" t="s">
        <v>3819</v>
      </c>
      <c r="O301" s="2" t="s">
        <v>4373</v>
      </c>
      <c r="P301" s="2" t="s">
        <v>4381</v>
      </c>
    </row>
    <row r="302" spans="1:16">
      <c r="A302" s="4">
        <v>46244.997187499997</v>
      </c>
      <c r="B302" s="2" t="s">
        <v>4293</v>
      </c>
      <c r="C302" s="2" t="s">
        <v>4120</v>
      </c>
      <c r="D302" s="2" t="s">
        <v>690</v>
      </c>
      <c r="E302" s="2">
        <v>12</v>
      </c>
      <c r="F302" s="2"/>
      <c r="G302" s="2">
        <v>12</v>
      </c>
      <c r="H302" s="2" t="s">
        <v>3132</v>
      </c>
      <c r="I302" s="2" t="s">
        <v>695</v>
      </c>
      <c r="J302" s="2" t="s">
        <v>2537</v>
      </c>
      <c r="K302" s="2" t="s">
        <v>1855</v>
      </c>
      <c r="L302" s="2" t="s">
        <v>2399</v>
      </c>
      <c r="M302" s="2" t="str">
        <f t="shared" si="7"/>
        <v>05</v>
      </c>
      <c r="N302" s="2" t="s">
        <v>1023</v>
      </c>
      <c r="O302" s="2" t="s">
        <v>4373</v>
      </c>
      <c r="P302" s="2" t="s">
        <v>4375</v>
      </c>
    </row>
    <row r="303" spans="1:16">
      <c r="A303" s="4">
        <v>46244.996921296297</v>
      </c>
      <c r="B303" s="2" t="s">
        <v>808</v>
      </c>
      <c r="C303" s="2" t="s">
        <v>4120</v>
      </c>
      <c r="D303" s="2" t="s">
        <v>690</v>
      </c>
      <c r="E303" s="2">
        <v>14</v>
      </c>
      <c r="F303" s="2"/>
      <c r="G303" s="2">
        <v>14</v>
      </c>
      <c r="H303" s="2" t="s">
        <v>3132</v>
      </c>
      <c r="I303" s="2" t="s">
        <v>695</v>
      </c>
      <c r="J303" s="2" t="s">
        <v>2537</v>
      </c>
      <c r="K303" s="2" t="s">
        <v>1855</v>
      </c>
      <c r="L303" s="2" t="s">
        <v>2399</v>
      </c>
      <c r="M303" s="2" t="str">
        <f t="shared" si="7"/>
        <v>05</v>
      </c>
      <c r="N303" s="2" t="s">
        <v>2149</v>
      </c>
      <c r="O303" s="2" t="s">
        <v>4373</v>
      </c>
      <c r="P303" s="2" t="s">
        <v>4375</v>
      </c>
    </row>
    <row r="304" spans="1:16">
      <c r="A304" s="4">
        <v>46244.996678240743</v>
      </c>
      <c r="B304" s="2" t="s">
        <v>944</v>
      </c>
      <c r="C304" s="2" t="s">
        <v>4120</v>
      </c>
      <c r="D304" s="2" t="s">
        <v>690</v>
      </c>
      <c r="E304" s="2">
        <v>14</v>
      </c>
      <c r="F304" s="2"/>
      <c r="G304" s="2">
        <v>14</v>
      </c>
      <c r="H304" s="2" t="s">
        <v>3132</v>
      </c>
      <c r="I304" s="2" t="s">
        <v>695</v>
      </c>
      <c r="J304" s="2" t="s">
        <v>2537</v>
      </c>
      <c r="K304" s="2" t="s">
        <v>1855</v>
      </c>
      <c r="L304" s="2" t="s">
        <v>2399</v>
      </c>
      <c r="M304" s="2" t="str">
        <f t="shared" si="7"/>
        <v>05</v>
      </c>
      <c r="N304" s="2" t="s">
        <v>3701</v>
      </c>
      <c r="O304" s="2" t="s">
        <v>4373</v>
      </c>
      <c r="P304" s="2" t="s">
        <v>4375</v>
      </c>
    </row>
    <row r="305" spans="1:16">
      <c r="A305" s="4">
        <v>46244.995833333334</v>
      </c>
      <c r="B305" s="2" t="s">
        <v>3578</v>
      </c>
      <c r="C305" s="2" t="s">
        <v>4120</v>
      </c>
      <c r="D305" s="2" t="s">
        <v>690</v>
      </c>
      <c r="E305" s="2">
        <v>14</v>
      </c>
      <c r="F305" s="2"/>
      <c r="G305" s="2">
        <v>14</v>
      </c>
      <c r="H305" s="2" t="s">
        <v>3132</v>
      </c>
      <c r="I305" s="2" t="s">
        <v>695</v>
      </c>
      <c r="J305" s="2" t="s">
        <v>2537</v>
      </c>
      <c r="K305" s="2" t="s">
        <v>1855</v>
      </c>
      <c r="L305" s="2" t="s">
        <v>2399</v>
      </c>
      <c r="M305" s="2" t="str">
        <f t="shared" si="7"/>
        <v>05</v>
      </c>
      <c r="N305" s="2" t="s">
        <v>2289</v>
      </c>
      <c r="O305" s="2" t="s">
        <v>4373</v>
      </c>
      <c r="P305" s="2" t="s">
        <v>4375</v>
      </c>
    </row>
    <row r="306" spans="1:16">
      <c r="A306" s="4">
        <v>46244.995648148149</v>
      </c>
      <c r="B306" s="2" t="s">
        <v>3093</v>
      </c>
      <c r="C306" s="2" t="s">
        <v>4120</v>
      </c>
      <c r="D306" s="2" t="s">
        <v>690</v>
      </c>
      <c r="E306" s="2">
        <v>14</v>
      </c>
      <c r="F306" s="2"/>
      <c r="G306" s="2">
        <v>14</v>
      </c>
      <c r="H306" s="2" t="s">
        <v>3132</v>
      </c>
      <c r="I306" s="2" t="s">
        <v>695</v>
      </c>
      <c r="J306" s="2" t="s">
        <v>2537</v>
      </c>
      <c r="K306" s="2" t="s">
        <v>1855</v>
      </c>
      <c r="L306" s="2" t="s">
        <v>2399</v>
      </c>
      <c r="M306" s="2" t="str">
        <f t="shared" si="7"/>
        <v>05</v>
      </c>
      <c r="N306" s="2" t="s">
        <v>190</v>
      </c>
      <c r="O306" s="2" t="s">
        <v>4373</v>
      </c>
      <c r="P306" s="2" t="s">
        <v>4375</v>
      </c>
    </row>
    <row r="307" spans="1:16">
      <c r="A307" s="4">
        <v>46244.995405092595</v>
      </c>
      <c r="B307" s="2" t="s">
        <v>3998</v>
      </c>
      <c r="C307" s="2" t="s">
        <v>4120</v>
      </c>
      <c r="D307" s="2" t="s">
        <v>690</v>
      </c>
      <c r="E307" s="2">
        <v>14</v>
      </c>
      <c r="F307" s="2"/>
      <c r="G307" s="2">
        <v>14</v>
      </c>
      <c r="H307" s="2" t="s">
        <v>3132</v>
      </c>
      <c r="I307" s="2" t="s">
        <v>695</v>
      </c>
      <c r="J307" s="2" t="s">
        <v>2537</v>
      </c>
      <c r="K307" s="2" t="s">
        <v>1855</v>
      </c>
      <c r="L307" s="2" t="s">
        <v>2399</v>
      </c>
      <c r="M307" s="2" t="str">
        <f t="shared" si="7"/>
        <v>05</v>
      </c>
      <c r="N307" s="2" t="s">
        <v>3423</v>
      </c>
      <c r="O307" s="2" t="s">
        <v>4373</v>
      </c>
      <c r="P307" s="2" t="s">
        <v>4375</v>
      </c>
    </row>
    <row r="308" spans="1:16">
      <c r="A308" s="4">
        <v>46244.995324074072</v>
      </c>
      <c r="B308" s="2" t="s">
        <v>336</v>
      </c>
      <c r="C308" s="2" t="s">
        <v>4120</v>
      </c>
      <c r="D308" s="2" t="s">
        <v>690</v>
      </c>
      <c r="E308" s="2">
        <v>14</v>
      </c>
      <c r="F308" s="2"/>
      <c r="G308" s="2">
        <v>14</v>
      </c>
      <c r="H308" s="2" t="s">
        <v>3132</v>
      </c>
      <c r="I308" s="2" t="s">
        <v>695</v>
      </c>
      <c r="J308" s="2" t="s">
        <v>2537</v>
      </c>
      <c r="K308" s="2" t="s">
        <v>1855</v>
      </c>
      <c r="L308" s="2" t="s">
        <v>2399</v>
      </c>
      <c r="M308" s="2" t="str">
        <f t="shared" si="7"/>
        <v>05</v>
      </c>
      <c r="N308" s="2" t="s">
        <v>1661</v>
      </c>
      <c r="O308" s="2" t="s">
        <v>4373</v>
      </c>
      <c r="P308" s="2" t="s">
        <v>4375</v>
      </c>
    </row>
    <row r="309" spans="1:16">
      <c r="A309" s="4">
        <v>46244.983726851853</v>
      </c>
      <c r="B309" s="2" t="s">
        <v>1800</v>
      </c>
      <c r="C309" s="2" t="s">
        <v>4120</v>
      </c>
      <c r="D309" s="2" t="s">
        <v>690</v>
      </c>
      <c r="E309" s="2">
        <v>14</v>
      </c>
      <c r="F309" s="2"/>
      <c r="G309" s="2">
        <v>14</v>
      </c>
      <c r="H309" s="2" t="s">
        <v>3132</v>
      </c>
      <c r="I309" s="2" t="s">
        <v>695</v>
      </c>
      <c r="J309" s="2" t="s">
        <v>2537</v>
      </c>
      <c r="K309" s="2" t="s">
        <v>1855</v>
      </c>
      <c r="L309" s="2" t="s">
        <v>2399</v>
      </c>
      <c r="M309" s="2" t="str">
        <f t="shared" si="7"/>
        <v>05</v>
      </c>
      <c r="N309" s="2" t="s">
        <v>282</v>
      </c>
      <c r="O309" s="2" t="s">
        <v>4373</v>
      </c>
      <c r="P309" s="2" t="s">
        <v>4375</v>
      </c>
    </row>
    <row r="310" spans="1:16">
      <c r="A310" s="4">
        <v>46244.983703703707</v>
      </c>
      <c r="B310" s="2" t="s">
        <v>1728</v>
      </c>
      <c r="C310" s="2" t="s">
        <v>4120</v>
      </c>
      <c r="D310" s="2" t="s">
        <v>690</v>
      </c>
      <c r="E310" s="2">
        <v>14</v>
      </c>
      <c r="F310" s="2"/>
      <c r="G310" s="2">
        <v>14</v>
      </c>
      <c r="H310" s="2" t="s">
        <v>3132</v>
      </c>
      <c r="I310" s="2" t="s">
        <v>695</v>
      </c>
      <c r="J310" s="2" t="s">
        <v>2537</v>
      </c>
      <c r="K310" s="2" t="s">
        <v>1855</v>
      </c>
      <c r="L310" s="2" t="s">
        <v>2399</v>
      </c>
      <c r="M310" s="2" t="str">
        <f t="shared" si="7"/>
        <v>05</v>
      </c>
      <c r="N310" s="2" t="s">
        <v>2715</v>
      </c>
      <c r="O310" s="2" t="s">
        <v>4373</v>
      </c>
      <c r="P310" s="2" t="s">
        <v>4375</v>
      </c>
    </row>
    <row r="311" spans="1:16">
      <c r="A311" s="4">
        <v>46244.983275462961</v>
      </c>
      <c r="B311" s="2" t="s">
        <v>446</v>
      </c>
      <c r="C311" s="2" t="s">
        <v>4120</v>
      </c>
      <c r="D311" s="2" t="s">
        <v>690</v>
      </c>
      <c r="E311" s="2">
        <v>14</v>
      </c>
      <c r="F311" s="2"/>
      <c r="G311" s="2">
        <v>14</v>
      </c>
      <c r="H311" s="2" t="s">
        <v>3132</v>
      </c>
      <c r="I311" s="2" t="s">
        <v>695</v>
      </c>
      <c r="J311" s="2" t="s">
        <v>2537</v>
      </c>
      <c r="K311" s="2" t="s">
        <v>1855</v>
      </c>
      <c r="L311" s="2" t="s">
        <v>2399</v>
      </c>
      <c r="M311" s="2" t="str">
        <f t="shared" si="7"/>
        <v>05</v>
      </c>
      <c r="N311" s="2" t="s">
        <v>3639</v>
      </c>
      <c r="O311" s="2" t="s">
        <v>4373</v>
      </c>
      <c r="P311" s="2" t="s">
        <v>4375</v>
      </c>
    </row>
    <row r="312" spans="1:16">
      <c r="A312" s="4">
        <v>46244.983217592591</v>
      </c>
      <c r="B312" s="2" t="s">
        <v>109</v>
      </c>
      <c r="C312" s="2" t="s">
        <v>4120</v>
      </c>
      <c r="D312" s="2" t="s">
        <v>690</v>
      </c>
      <c r="E312" s="2">
        <v>14</v>
      </c>
      <c r="F312" s="2"/>
      <c r="G312" s="2">
        <v>14</v>
      </c>
      <c r="H312" s="2" t="s">
        <v>3132</v>
      </c>
      <c r="I312" s="2" t="s">
        <v>695</v>
      </c>
      <c r="J312" s="2" t="s">
        <v>2537</v>
      </c>
      <c r="K312" s="2" t="s">
        <v>1855</v>
      </c>
      <c r="L312" s="2" t="s">
        <v>2399</v>
      </c>
      <c r="M312" s="2" t="str">
        <f t="shared" si="7"/>
        <v>05</v>
      </c>
      <c r="N312" s="2" t="s">
        <v>1583</v>
      </c>
      <c r="O312" s="2" t="s">
        <v>4373</v>
      </c>
      <c r="P312" s="2" t="s">
        <v>4375</v>
      </c>
    </row>
    <row r="313" spans="1:16">
      <c r="A313" s="4">
        <v>46244.98201388889</v>
      </c>
      <c r="B313" s="2" t="s">
        <v>2272</v>
      </c>
      <c r="C313" s="2" t="s">
        <v>4120</v>
      </c>
      <c r="D313" s="2" t="s">
        <v>690</v>
      </c>
      <c r="E313" s="2">
        <v>14</v>
      </c>
      <c r="F313" s="2"/>
      <c r="G313" s="2">
        <v>14</v>
      </c>
      <c r="H313" s="2" t="s">
        <v>3132</v>
      </c>
      <c r="I313" s="2" t="s">
        <v>695</v>
      </c>
      <c r="J313" s="2" t="s">
        <v>2537</v>
      </c>
      <c r="K313" s="2" t="s">
        <v>1855</v>
      </c>
      <c r="L313" s="2" t="s">
        <v>2399</v>
      </c>
      <c r="M313" s="2" t="str">
        <f t="shared" si="7"/>
        <v>05</v>
      </c>
      <c r="N313" s="2" t="s">
        <v>2068</v>
      </c>
      <c r="O313" s="2" t="s">
        <v>4373</v>
      </c>
      <c r="P313" s="2" t="s">
        <v>4375</v>
      </c>
    </row>
    <row r="314" spans="1:16">
      <c r="A314" s="4">
        <v>46244.981863425928</v>
      </c>
      <c r="B314" s="2" t="s">
        <v>1161</v>
      </c>
      <c r="C314" s="2" t="s">
        <v>4120</v>
      </c>
      <c r="D314" s="2" t="s">
        <v>690</v>
      </c>
      <c r="E314" s="2">
        <v>14</v>
      </c>
      <c r="F314" s="2"/>
      <c r="G314" s="2">
        <v>14</v>
      </c>
      <c r="H314" s="2" t="s">
        <v>3132</v>
      </c>
      <c r="I314" s="2" t="s">
        <v>695</v>
      </c>
      <c r="J314" s="2" t="s">
        <v>2537</v>
      </c>
      <c r="K314" s="2" t="s">
        <v>1855</v>
      </c>
      <c r="L314" s="2" t="s">
        <v>2399</v>
      </c>
      <c r="M314" s="2" t="str">
        <f t="shared" si="7"/>
        <v>05</v>
      </c>
      <c r="N314" s="2" t="s">
        <v>3528</v>
      </c>
      <c r="O314" s="2" t="s">
        <v>4373</v>
      </c>
      <c r="P314" s="2" t="s">
        <v>4375</v>
      </c>
    </row>
    <row r="315" spans="1:16">
      <c r="A315" s="4">
        <v>46244.981759259259</v>
      </c>
      <c r="B315" s="2" t="s">
        <v>713</v>
      </c>
      <c r="C315" s="2" t="s">
        <v>4120</v>
      </c>
      <c r="D315" s="2" t="s">
        <v>690</v>
      </c>
      <c r="E315" s="2">
        <v>14</v>
      </c>
      <c r="F315" s="2"/>
      <c r="G315" s="2">
        <v>14</v>
      </c>
      <c r="H315" s="2" t="s">
        <v>3132</v>
      </c>
      <c r="I315" s="2" t="s">
        <v>695</v>
      </c>
      <c r="J315" s="2" t="s">
        <v>2537</v>
      </c>
      <c r="K315" s="2" t="s">
        <v>1855</v>
      </c>
      <c r="L315" s="2" t="s">
        <v>2399</v>
      </c>
      <c r="M315" s="2" t="str">
        <f t="shared" si="7"/>
        <v>05</v>
      </c>
      <c r="N315" s="2" t="s">
        <v>1230</v>
      </c>
      <c r="O315" s="2" t="s">
        <v>4373</v>
      </c>
      <c r="P315" s="2" t="s">
        <v>4375</v>
      </c>
    </row>
    <row r="316" spans="1:16">
      <c r="A316" s="4">
        <v>46244.981724537036</v>
      </c>
      <c r="B316" s="2" t="s">
        <v>4037</v>
      </c>
      <c r="C316" s="2" t="s">
        <v>4120</v>
      </c>
      <c r="D316" s="2" t="s">
        <v>690</v>
      </c>
      <c r="E316" s="2">
        <v>14</v>
      </c>
      <c r="F316" s="2"/>
      <c r="G316" s="2">
        <v>14</v>
      </c>
      <c r="H316" s="2" t="s">
        <v>3132</v>
      </c>
      <c r="I316" s="2" t="s">
        <v>695</v>
      </c>
      <c r="J316" s="2" t="s">
        <v>2537</v>
      </c>
      <c r="K316" s="2" t="s">
        <v>1855</v>
      </c>
      <c r="L316" s="2" t="s">
        <v>2399</v>
      </c>
      <c r="M316" s="2" t="str">
        <f t="shared" si="7"/>
        <v>05</v>
      </c>
      <c r="N316" s="2" t="s">
        <v>126</v>
      </c>
      <c r="O316" s="2" t="s">
        <v>4373</v>
      </c>
      <c r="P316" s="2" t="s">
        <v>4375</v>
      </c>
    </row>
    <row r="317" spans="1:16">
      <c r="A317" s="4">
        <v>46244.979849537034</v>
      </c>
      <c r="B317" s="2" t="s">
        <v>419</v>
      </c>
      <c r="C317" s="2" t="s">
        <v>4120</v>
      </c>
      <c r="D317" s="2" t="s">
        <v>690</v>
      </c>
      <c r="E317" s="2">
        <v>14</v>
      </c>
      <c r="F317" s="2"/>
      <c r="G317" s="2">
        <v>14</v>
      </c>
      <c r="H317" s="2" t="s">
        <v>3132</v>
      </c>
      <c r="I317" s="2" t="s">
        <v>695</v>
      </c>
      <c r="J317" s="2" t="s">
        <v>2537</v>
      </c>
      <c r="K317" s="2" t="s">
        <v>1855</v>
      </c>
      <c r="L317" s="2" t="s">
        <v>2399</v>
      </c>
      <c r="M317" s="2" t="str">
        <f t="shared" si="7"/>
        <v>05</v>
      </c>
      <c r="N317" s="2" t="s">
        <v>1927</v>
      </c>
      <c r="O317" s="2" t="s">
        <v>4373</v>
      </c>
      <c r="P317" s="2" t="s">
        <v>4375</v>
      </c>
    </row>
    <row r="318" spans="1:16">
      <c r="A318" s="4">
        <v>46244.979699074072</v>
      </c>
      <c r="B318" s="2" t="s">
        <v>359</v>
      </c>
      <c r="C318" s="2" t="s">
        <v>4120</v>
      </c>
      <c r="D318" s="2" t="s">
        <v>690</v>
      </c>
      <c r="E318" s="2">
        <v>14</v>
      </c>
      <c r="F318" s="2"/>
      <c r="G318" s="2">
        <v>14</v>
      </c>
      <c r="H318" s="2" t="s">
        <v>3132</v>
      </c>
      <c r="I318" s="2" t="s">
        <v>695</v>
      </c>
      <c r="J318" s="2" t="s">
        <v>2537</v>
      </c>
      <c r="K318" s="2" t="s">
        <v>1855</v>
      </c>
      <c r="L318" s="2" t="s">
        <v>2399</v>
      </c>
      <c r="M318" s="2" t="str">
        <f t="shared" si="7"/>
        <v>05</v>
      </c>
      <c r="N318" s="2" t="s">
        <v>2291</v>
      </c>
      <c r="O318" s="2" t="s">
        <v>4373</v>
      </c>
      <c r="P318" s="2" t="s">
        <v>4375</v>
      </c>
    </row>
    <row r="319" spans="1:16">
      <c r="A319" s="4">
        <v>46244.97960648148</v>
      </c>
      <c r="B319" s="2" t="s">
        <v>3288</v>
      </c>
      <c r="C319" s="2" t="s">
        <v>4120</v>
      </c>
      <c r="D319" s="2" t="s">
        <v>690</v>
      </c>
      <c r="E319" s="2">
        <v>14</v>
      </c>
      <c r="F319" s="2"/>
      <c r="G319" s="2">
        <v>14</v>
      </c>
      <c r="H319" s="2" t="s">
        <v>3132</v>
      </c>
      <c r="I319" s="2" t="s">
        <v>695</v>
      </c>
      <c r="J319" s="2" t="s">
        <v>2537</v>
      </c>
      <c r="K319" s="2" t="s">
        <v>1855</v>
      </c>
      <c r="L319" s="2" t="s">
        <v>2399</v>
      </c>
      <c r="M319" s="2" t="str">
        <f t="shared" si="7"/>
        <v>05</v>
      </c>
      <c r="N319" s="2" t="s">
        <v>1648</v>
      </c>
      <c r="O319" s="2" t="s">
        <v>4373</v>
      </c>
      <c r="P319" s="2" t="s">
        <v>4375</v>
      </c>
    </row>
    <row r="320" spans="1:16">
      <c r="A320" s="4">
        <v>46244.979270833333</v>
      </c>
      <c r="B320" s="2" t="s">
        <v>3693</v>
      </c>
      <c r="C320" s="2" t="s">
        <v>4120</v>
      </c>
      <c r="D320" s="2" t="s">
        <v>690</v>
      </c>
      <c r="E320" s="2">
        <v>14</v>
      </c>
      <c r="F320" s="2"/>
      <c r="G320" s="2">
        <v>14</v>
      </c>
      <c r="H320" s="2" t="s">
        <v>3132</v>
      </c>
      <c r="I320" s="2" t="s">
        <v>695</v>
      </c>
      <c r="J320" s="2" t="s">
        <v>2537</v>
      </c>
      <c r="K320" s="2" t="s">
        <v>1855</v>
      </c>
      <c r="L320" s="2" t="s">
        <v>2399</v>
      </c>
      <c r="M320" s="2" t="str">
        <f t="shared" si="7"/>
        <v>05</v>
      </c>
      <c r="N320" s="2" t="s">
        <v>1999</v>
      </c>
      <c r="O320" s="2" t="s">
        <v>4373</v>
      </c>
      <c r="P320" s="2" t="s">
        <v>4375</v>
      </c>
    </row>
    <row r="321" spans="1:16">
      <c r="A321" s="4">
        <v>46244.97792824074</v>
      </c>
      <c r="B321" s="2" t="s">
        <v>231</v>
      </c>
      <c r="C321" s="2" t="s">
        <v>4120</v>
      </c>
      <c r="D321" s="2" t="s">
        <v>690</v>
      </c>
      <c r="E321" s="2">
        <v>14</v>
      </c>
      <c r="F321" s="2"/>
      <c r="G321" s="2">
        <v>14</v>
      </c>
      <c r="H321" s="2" t="s">
        <v>3132</v>
      </c>
      <c r="I321" s="2" t="s">
        <v>695</v>
      </c>
      <c r="J321" s="2" t="s">
        <v>2537</v>
      </c>
      <c r="K321" s="2" t="s">
        <v>1855</v>
      </c>
      <c r="L321" s="2" t="s">
        <v>2399</v>
      </c>
      <c r="M321" s="2" t="str">
        <f t="shared" si="7"/>
        <v>05</v>
      </c>
      <c r="N321" s="2" t="s">
        <v>1979</v>
      </c>
      <c r="O321" s="2" t="s">
        <v>4373</v>
      </c>
      <c r="P321" s="2" t="s">
        <v>4375</v>
      </c>
    </row>
    <row r="322" spans="1:16">
      <c r="A322" s="4">
        <v>46244.977800925924</v>
      </c>
      <c r="B322" s="2" t="s">
        <v>3063</v>
      </c>
      <c r="C322" s="2" t="s">
        <v>4120</v>
      </c>
      <c r="D322" s="2" t="s">
        <v>690</v>
      </c>
      <c r="E322" s="2">
        <v>14</v>
      </c>
      <c r="F322" s="2"/>
      <c r="G322" s="2">
        <v>14</v>
      </c>
      <c r="H322" s="2" t="s">
        <v>3132</v>
      </c>
      <c r="I322" s="2" t="s">
        <v>695</v>
      </c>
      <c r="J322" s="2" t="s">
        <v>2537</v>
      </c>
      <c r="K322" s="2" t="s">
        <v>1855</v>
      </c>
      <c r="L322" s="2" t="s">
        <v>2399</v>
      </c>
      <c r="M322" s="2" t="str">
        <f t="shared" ref="M322:M385" si="8">RIGHT(L322,2)</f>
        <v>05</v>
      </c>
      <c r="N322" s="2" t="s">
        <v>2318</v>
      </c>
      <c r="O322" s="2" t="s">
        <v>4373</v>
      </c>
      <c r="P322" s="2" t="s">
        <v>4375</v>
      </c>
    </row>
    <row r="323" spans="1:16">
      <c r="A323" s="4">
        <v>46244.977199074077</v>
      </c>
      <c r="B323" s="2" t="s">
        <v>1318</v>
      </c>
      <c r="C323" s="2" t="s">
        <v>4120</v>
      </c>
      <c r="D323" s="2" t="s">
        <v>690</v>
      </c>
      <c r="E323" s="2">
        <v>14</v>
      </c>
      <c r="F323" s="2"/>
      <c r="G323" s="2">
        <v>14</v>
      </c>
      <c r="H323" s="2" t="s">
        <v>3132</v>
      </c>
      <c r="I323" s="2" t="s">
        <v>695</v>
      </c>
      <c r="J323" s="2" t="s">
        <v>2537</v>
      </c>
      <c r="K323" s="2" t="s">
        <v>1855</v>
      </c>
      <c r="L323" s="2" t="s">
        <v>2399</v>
      </c>
      <c r="M323" s="2" t="str">
        <f t="shared" si="8"/>
        <v>05</v>
      </c>
      <c r="N323" s="2" t="s">
        <v>1882</v>
      </c>
      <c r="O323" s="2" t="s">
        <v>4373</v>
      </c>
      <c r="P323" s="2" t="s">
        <v>4375</v>
      </c>
    </row>
    <row r="324" spans="1:16">
      <c r="A324" s="4">
        <v>46244.977094907408</v>
      </c>
      <c r="B324" s="2" t="s">
        <v>828</v>
      </c>
      <c r="C324" s="2" t="s">
        <v>4120</v>
      </c>
      <c r="D324" s="2" t="s">
        <v>690</v>
      </c>
      <c r="E324" s="2">
        <v>14</v>
      </c>
      <c r="F324" s="2"/>
      <c r="G324" s="2">
        <v>14</v>
      </c>
      <c r="H324" s="2" t="s">
        <v>3132</v>
      </c>
      <c r="I324" s="2" t="s">
        <v>695</v>
      </c>
      <c r="J324" s="2" t="s">
        <v>2537</v>
      </c>
      <c r="K324" s="2" t="s">
        <v>1855</v>
      </c>
      <c r="L324" s="2" t="s">
        <v>2399</v>
      </c>
      <c r="M324" s="2" t="str">
        <f t="shared" si="8"/>
        <v>05</v>
      </c>
      <c r="N324" s="2" t="s">
        <v>3995</v>
      </c>
      <c r="O324" s="2" t="s">
        <v>4373</v>
      </c>
      <c r="P324" s="2" t="s">
        <v>4375</v>
      </c>
    </row>
    <row r="325" spans="1:16">
      <c r="A325" s="4">
        <v>46244.694895833331</v>
      </c>
      <c r="B325" s="2" t="s">
        <v>1575</v>
      </c>
      <c r="C325" s="2" t="s">
        <v>4120</v>
      </c>
      <c r="D325" s="2" t="s">
        <v>690</v>
      </c>
      <c r="E325" s="2">
        <v>12</v>
      </c>
      <c r="F325" s="2"/>
      <c r="G325" s="2">
        <v>12</v>
      </c>
      <c r="H325" s="2" t="s">
        <v>3132</v>
      </c>
      <c r="I325" s="2" t="s">
        <v>695</v>
      </c>
      <c r="J325" s="2" t="s">
        <v>2537</v>
      </c>
      <c r="K325" s="2" t="s">
        <v>1855</v>
      </c>
      <c r="L325" s="2" t="s">
        <v>2399</v>
      </c>
      <c r="M325" s="2" t="str">
        <f t="shared" si="8"/>
        <v>05</v>
      </c>
      <c r="N325" s="2" t="s">
        <v>1088</v>
      </c>
      <c r="O325" s="2" t="s">
        <v>4373</v>
      </c>
      <c r="P325" s="2" t="s">
        <v>4375</v>
      </c>
    </row>
    <row r="326" spans="1:16">
      <c r="A326" s="4">
        <v>46244.694872685184</v>
      </c>
      <c r="B326" s="2" t="s">
        <v>3524</v>
      </c>
      <c r="C326" s="2" t="s">
        <v>4120</v>
      </c>
      <c r="D326" s="2" t="s">
        <v>690</v>
      </c>
      <c r="E326" s="2">
        <v>14</v>
      </c>
      <c r="F326" s="2"/>
      <c r="G326" s="2">
        <v>14</v>
      </c>
      <c r="H326" s="2" t="s">
        <v>3132</v>
      </c>
      <c r="I326" s="2" t="s">
        <v>695</v>
      </c>
      <c r="J326" s="2" t="s">
        <v>2537</v>
      </c>
      <c r="K326" s="2" t="s">
        <v>1855</v>
      </c>
      <c r="L326" s="2" t="s">
        <v>2399</v>
      </c>
      <c r="M326" s="2" t="str">
        <f t="shared" si="8"/>
        <v>05</v>
      </c>
      <c r="N326" s="2" t="s">
        <v>3682</v>
      </c>
      <c r="O326" s="2" t="s">
        <v>4373</v>
      </c>
      <c r="P326" s="2" t="s">
        <v>4375</v>
      </c>
    </row>
    <row r="327" spans="1:16">
      <c r="A327" s="4">
        <v>46244.694861111115</v>
      </c>
      <c r="B327" s="2" t="s">
        <v>3252</v>
      </c>
      <c r="C327" s="2" t="s">
        <v>4120</v>
      </c>
      <c r="D327" s="2" t="s">
        <v>690</v>
      </c>
      <c r="E327" s="2">
        <v>14</v>
      </c>
      <c r="F327" s="2"/>
      <c r="G327" s="2">
        <v>14</v>
      </c>
      <c r="H327" s="2" t="s">
        <v>3132</v>
      </c>
      <c r="I327" s="2" t="s">
        <v>695</v>
      </c>
      <c r="J327" s="2" t="s">
        <v>2537</v>
      </c>
      <c r="K327" s="2" t="s">
        <v>1855</v>
      </c>
      <c r="L327" s="2" t="s">
        <v>2399</v>
      </c>
      <c r="M327" s="2" t="str">
        <f t="shared" si="8"/>
        <v>05</v>
      </c>
      <c r="N327" s="2" t="s">
        <v>1829</v>
      </c>
      <c r="O327" s="2" t="s">
        <v>4373</v>
      </c>
      <c r="P327" s="2" t="s">
        <v>4375</v>
      </c>
    </row>
    <row r="328" spans="1:16">
      <c r="A328" s="4">
        <v>46244.692939814813</v>
      </c>
      <c r="B328" s="2" t="s">
        <v>702</v>
      </c>
      <c r="C328" s="2" t="s">
        <v>4120</v>
      </c>
      <c r="D328" s="2" t="s">
        <v>690</v>
      </c>
      <c r="E328" s="2">
        <v>14</v>
      </c>
      <c r="F328" s="2"/>
      <c r="G328" s="2">
        <v>14</v>
      </c>
      <c r="H328" s="2" t="s">
        <v>3132</v>
      </c>
      <c r="I328" s="2" t="s">
        <v>695</v>
      </c>
      <c r="J328" s="2" t="s">
        <v>2537</v>
      </c>
      <c r="K328" s="2" t="s">
        <v>1855</v>
      </c>
      <c r="L328" s="2" t="s">
        <v>2399</v>
      </c>
      <c r="M328" s="2" t="str">
        <f t="shared" si="8"/>
        <v>05</v>
      </c>
      <c r="N328" s="2" t="s">
        <v>16</v>
      </c>
      <c r="O328" s="2" t="s">
        <v>4373</v>
      </c>
      <c r="P328" s="2" t="s">
        <v>4375</v>
      </c>
    </row>
    <row r="329" spans="1:16">
      <c r="A329" s="4">
        <v>46244.692708333336</v>
      </c>
      <c r="B329" s="2" t="s">
        <v>617</v>
      </c>
      <c r="C329" s="2" t="s">
        <v>4120</v>
      </c>
      <c r="D329" s="2" t="s">
        <v>690</v>
      </c>
      <c r="E329" s="2">
        <v>14</v>
      </c>
      <c r="F329" s="2"/>
      <c r="G329" s="2">
        <v>14</v>
      </c>
      <c r="H329" s="2" t="s">
        <v>3132</v>
      </c>
      <c r="I329" s="2" t="s">
        <v>695</v>
      </c>
      <c r="J329" s="2" t="s">
        <v>2537</v>
      </c>
      <c r="K329" s="2" t="s">
        <v>1855</v>
      </c>
      <c r="L329" s="2" t="s">
        <v>2399</v>
      </c>
      <c r="M329" s="2" t="str">
        <f t="shared" si="8"/>
        <v>05</v>
      </c>
      <c r="N329" s="2" t="s">
        <v>2245</v>
      </c>
      <c r="O329" s="2" t="s">
        <v>4373</v>
      </c>
      <c r="P329" s="2" t="s">
        <v>4375</v>
      </c>
    </row>
    <row r="330" spans="1:16">
      <c r="A330" s="4">
        <v>46244.69258101852</v>
      </c>
      <c r="B330" s="2" t="s">
        <v>2154</v>
      </c>
      <c r="C330" s="2" t="s">
        <v>4120</v>
      </c>
      <c r="D330" s="2" t="s">
        <v>690</v>
      </c>
      <c r="E330" s="2">
        <v>14</v>
      </c>
      <c r="F330" s="2"/>
      <c r="G330" s="2">
        <v>14</v>
      </c>
      <c r="H330" s="2" t="s">
        <v>3132</v>
      </c>
      <c r="I330" s="2" t="s">
        <v>695</v>
      </c>
      <c r="J330" s="2" t="s">
        <v>2537</v>
      </c>
      <c r="K330" s="2" t="s">
        <v>1855</v>
      </c>
      <c r="L330" s="2" t="s">
        <v>2399</v>
      </c>
      <c r="M330" s="2" t="str">
        <f t="shared" si="8"/>
        <v>05</v>
      </c>
      <c r="N330" s="2" t="s">
        <v>764</v>
      </c>
      <c r="O330" s="2" t="s">
        <v>4373</v>
      </c>
      <c r="P330" s="2" t="s">
        <v>4375</v>
      </c>
    </row>
    <row r="331" spans="1:16">
      <c r="A331" s="4">
        <v>46244.691331018519</v>
      </c>
      <c r="B331" s="2" t="s">
        <v>3270</v>
      </c>
      <c r="C331" s="2" t="s">
        <v>4120</v>
      </c>
      <c r="D331" s="2" t="s">
        <v>690</v>
      </c>
      <c r="E331" s="2">
        <v>14</v>
      </c>
      <c r="F331" s="2"/>
      <c r="G331" s="2">
        <v>14</v>
      </c>
      <c r="H331" s="2" t="s">
        <v>3132</v>
      </c>
      <c r="I331" s="2" t="s">
        <v>695</v>
      </c>
      <c r="J331" s="2" t="s">
        <v>2537</v>
      </c>
      <c r="K331" s="2" t="s">
        <v>1855</v>
      </c>
      <c r="L331" s="2" t="s">
        <v>2399</v>
      </c>
      <c r="M331" s="2" t="str">
        <f t="shared" si="8"/>
        <v>05</v>
      </c>
      <c r="N331" s="2" t="s">
        <v>4314</v>
      </c>
      <c r="O331" s="2" t="s">
        <v>4373</v>
      </c>
      <c r="P331" s="2" t="s">
        <v>4375</v>
      </c>
    </row>
    <row r="332" spans="1:16">
      <c r="A332" s="4">
        <v>46244.69121527778</v>
      </c>
      <c r="B332" s="2" t="s">
        <v>3219</v>
      </c>
      <c r="C332" s="2" t="s">
        <v>4120</v>
      </c>
      <c r="D332" s="2" t="s">
        <v>690</v>
      </c>
      <c r="E332" s="2">
        <v>14</v>
      </c>
      <c r="F332" s="2"/>
      <c r="G332" s="2">
        <v>14</v>
      </c>
      <c r="H332" s="2" t="s">
        <v>3132</v>
      </c>
      <c r="I332" s="2" t="s">
        <v>695</v>
      </c>
      <c r="J332" s="2" t="s">
        <v>2537</v>
      </c>
      <c r="K332" s="2" t="s">
        <v>1855</v>
      </c>
      <c r="L332" s="2" t="s">
        <v>2399</v>
      </c>
      <c r="M332" s="2" t="str">
        <f t="shared" si="8"/>
        <v>05</v>
      </c>
      <c r="N332" s="2" t="s">
        <v>63</v>
      </c>
      <c r="O332" s="2" t="s">
        <v>4373</v>
      </c>
      <c r="P332" s="2" t="s">
        <v>4375</v>
      </c>
    </row>
    <row r="333" spans="1:16">
      <c r="A333" s="4">
        <v>46244.691018518519</v>
      </c>
      <c r="B333" s="2" t="s">
        <v>310</v>
      </c>
      <c r="C333" s="2" t="s">
        <v>4120</v>
      </c>
      <c r="D333" s="2" t="s">
        <v>690</v>
      </c>
      <c r="E333" s="2">
        <v>14</v>
      </c>
      <c r="F333" s="2"/>
      <c r="G333" s="2">
        <v>14</v>
      </c>
      <c r="H333" s="2" t="s">
        <v>3132</v>
      </c>
      <c r="I333" s="2" t="s">
        <v>695</v>
      </c>
      <c r="J333" s="2" t="s">
        <v>2537</v>
      </c>
      <c r="K333" s="2" t="s">
        <v>1855</v>
      </c>
      <c r="L333" s="2" t="s">
        <v>2399</v>
      </c>
      <c r="M333" s="2" t="str">
        <f t="shared" si="8"/>
        <v>05</v>
      </c>
      <c r="N333" s="2" t="s">
        <v>3101</v>
      </c>
      <c r="O333" s="2" t="s">
        <v>4373</v>
      </c>
      <c r="P333" s="2" t="s">
        <v>4375</v>
      </c>
    </row>
    <row r="334" spans="1:16">
      <c r="A334" s="4">
        <v>46244.69090277778</v>
      </c>
      <c r="B334" s="2" t="s">
        <v>2507</v>
      </c>
      <c r="C334" s="2" t="s">
        <v>4120</v>
      </c>
      <c r="D334" s="2" t="s">
        <v>690</v>
      </c>
      <c r="E334" s="2">
        <v>14</v>
      </c>
      <c r="F334" s="2"/>
      <c r="G334" s="2">
        <v>14</v>
      </c>
      <c r="H334" s="2" t="s">
        <v>3132</v>
      </c>
      <c r="I334" s="2" t="s">
        <v>695</v>
      </c>
      <c r="J334" s="2" t="s">
        <v>2537</v>
      </c>
      <c r="K334" s="2" t="s">
        <v>1855</v>
      </c>
      <c r="L334" s="2" t="s">
        <v>2399</v>
      </c>
      <c r="M334" s="2" t="str">
        <f t="shared" si="8"/>
        <v>05</v>
      </c>
      <c r="N334" s="2" t="s">
        <v>665</v>
      </c>
      <c r="O334" s="2" t="s">
        <v>4373</v>
      </c>
      <c r="P334" s="2" t="s">
        <v>4375</v>
      </c>
    </row>
    <row r="335" spans="1:16">
      <c r="A335" s="4">
        <v>46244.689618055556</v>
      </c>
      <c r="B335" s="2" t="s">
        <v>3417</v>
      </c>
      <c r="C335" s="2" t="s">
        <v>4120</v>
      </c>
      <c r="D335" s="2" t="s">
        <v>690</v>
      </c>
      <c r="E335" s="2">
        <v>14</v>
      </c>
      <c r="F335" s="2"/>
      <c r="G335" s="2">
        <v>14</v>
      </c>
      <c r="H335" s="2" t="s">
        <v>3132</v>
      </c>
      <c r="I335" s="2" t="s">
        <v>695</v>
      </c>
      <c r="J335" s="2" t="s">
        <v>2537</v>
      </c>
      <c r="K335" s="2" t="s">
        <v>1855</v>
      </c>
      <c r="L335" s="2" t="s">
        <v>2399</v>
      </c>
      <c r="M335" s="2" t="str">
        <f t="shared" si="8"/>
        <v>05</v>
      </c>
      <c r="N335" s="2" t="s">
        <v>1157</v>
      </c>
      <c r="O335" s="2" t="s">
        <v>4373</v>
      </c>
      <c r="P335" s="2" t="s">
        <v>4375</v>
      </c>
    </row>
    <row r="336" spans="1:16">
      <c r="A336" s="4">
        <v>46244.688043981485</v>
      </c>
      <c r="B336" s="2" t="s">
        <v>1897</v>
      </c>
      <c r="C336" s="2" t="s">
        <v>4120</v>
      </c>
      <c r="D336" s="2" t="s">
        <v>690</v>
      </c>
      <c r="E336" s="2">
        <v>14</v>
      </c>
      <c r="F336" s="2"/>
      <c r="G336" s="2">
        <v>14</v>
      </c>
      <c r="H336" s="2" t="s">
        <v>3132</v>
      </c>
      <c r="I336" s="2" t="s">
        <v>695</v>
      </c>
      <c r="J336" s="2" t="s">
        <v>2537</v>
      </c>
      <c r="K336" s="2" t="s">
        <v>1855</v>
      </c>
      <c r="L336" s="2" t="s">
        <v>2399</v>
      </c>
      <c r="M336" s="2" t="str">
        <f t="shared" si="8"/>
        <v>05</v>
      </c>
      <c r="N336" s="2" t="s">
        <v>3920</v>
      </c>
      <c r="O336" s="2" t="s">
        <v>4373</v>
      </c>
      <c r="P336" s="2" t="s">
        <v>4375</v>
      </c>
    </row>
    <row r="337" spans="1:16">
      <c r="A337" s="4">
        <v>46244.687893518516</v>
      </c>
      <c r="B337" s="2" t="s">
        <v>2839</v>
      </c>
      <c r="C337" s="2" t="s">
        <v>4120</v>
      </c>
      <c r="D337" s="2" t="s">
        <v>690</v>
      </c>
      <c r="E337" s="2">
        <v>14</v>
      </c>
      <c r="F337" s="2"/>
      <c r="G337" s="2">
        <v>14</v>
      </c>
      <c r="H337" s="2" t="s">
        <v>3132</v>
      </c>
      <c r="I337" s="2" t="s">
        <v>695</v>
      </c>
      <c r="J337" s="2" t="s">
        <v>2537</v>
      </c>
      <c r="K337" s="2" t="s">
        <v>1855</v>
      </c>
      <c r="L337" s="2" t="s">
        <v>2399</v>
      </c>
      <c r="M337" s="2" t="str">
        <f t="shared" si="8"/>
        <v>05</v>
      </c>
      <c r="N337" s="2" t="s">
        <v>2591</v>
      </c>
      <c r="O337" s="2" t="s">
        <v>4373</v>
      </c>
      <c r="P337" s="2" t="s">
        <v>4375</v>
      </c>
    </row>
    <row r="338" spans="1:16">
      <c r="A338" s="4">
        <v>46244.6875</v>
      </c>
      <c r="B338" s="2" t="s">
        <v>1332</v>
      </c>
      <c r="C338" s="2" t="s">
        <v>4120</v>
      </c>
      <c r="D338" s="2" t="s">
        <v>690</v>
      </c>
      <c r="E338" s="2">
        <v>14</v>
      </c>
      <c r="F338" s="2"/>
      <c r="G338" s="2">
        <v>14</v>
      </c>
      <c r="H338" s="2" t="s">
        <v>3132</v>
      </c>
      <c r="I338" s="2" t="s">
        <v>695</v>
      </c>
      <c r="J338" s="2" t="s">
        <v>2537</v>
      </c>
      <c r="K338" s="2" t="s">
        <v>1855</v>
      </c>
      <c r="L338" s="2" t="s">
        <v>2399</v>
      </c>
      <c r="M338" s="2" t="str">
        <f t="shared" si="8"/>
        <v>05</v>
      </c>
      <c r="N338" s="2" t="s">
        <v>2971</v>
      </c>
      <c r="O338" s="2" t="s">
        <v>4373</v>
      </c>
      <c r="P338" s="2" t="s">
        <v>4375</v>
      </c>
    </row>
    <row r="339" spans="1:16">
      <c r="A339" s="4">
        <v>46244.685983796298</v>
      </c>
      <c r="B339" s="2" t="s">
        <v>635</v>
      </c>
      <c r="C339" s="2" t="s">
        <v>4120</v>
      </c>
      <c r="D339" s="2" t="s">
        <v>690</v>
      </c>
      <c r="E339" s="2">
        <v>14</v>
      </c>
      <c r="F339" s="2"/>
      <c r="G339" s="2">
        <v>14</v>
      </c>
      <c r="H339" s="2" t="s">
        <v>3132</v>
      </c>
      <c r="I339" s="2" t="s">
        <v>695</v>
      </c>
      <c r="J339" s="2" t="s">
        <v>2537</v>
      </c>
      <c r="K339" s="2" t="s">
        <v>1855</v>
      </c>
      <c r="L339" s="2" t="s">
        <v>2399</v>
      </c>
      <c r="M339" s="2" t="str">
        <f t="shared" si="8"/>
        <v>05</v>
      </c>
      <c r="N339" s="2" t="s">
        <v>676</v>
      </c>
      <c r="O339" s="2" t="s">
        <v>4373</v>
      </c>
      <c r="P339" s="2" t="s">
        <v>4375</v>
      </c>
    </row>
    <row r="340" spans="1:16">
      <c r="A340" s="4">
        <v>46244.685648148145</v>
      </c>
      <c r="B340" s="2" t="s">
        <v>1294</v>
      </c>
      <c r="C340" s="2" t="s">
        <v>4120</v>
      </c>
      <c r="D340" s="2" t="s">
        <v>690</v>
      </c>
      <c r="E340" s="2">
        <v>14</v>
      </c>
      <c r="F340" s="2"/>
      <c r="G340" s="2">
        <v>14</v>
      </c>
      <c r="H340" s="2" t="s">
        <v>3132</v>
      </c>
      <c r="I340" s="2" t="s">
        <v>695</v>
      </c>
      <c r="J340" s="2" t="s">
        <v>2537</v>
      </c>
      <c r="K340" s="2" t="s">
        <v>1855</v>
      </c>
      <c r="L340" s="2" t="s">
        <v>2399</v>
      </c>
      <c r="M340" s="2" t="str">
        <f t="shared" si="8"/>
        <v>05</v>
      </c>
      <c r="N340" s="2" t="s">
        <v>2611</v>
      </c>
      <c r="O340" s="2" t="s">
        <v>4373</v>
      </c>
      <c r="P340" s="2" t="s">
        <v>4375</v>
      </c>
    </row>
    <row r="341" spans="1:16">
      <c r="A341" s="4">
        <v>46244.685624999998</v>
      </c>
      <c r="B341" s="2" t="s">
        <v>490</v>
      </c>
      <c r="C341" s="2" t="s">
        <v>4120</v>
      </c>
      <c r="D341" s="2" t="s">
        <v>690</v>
      </c>
      <c r="E341" s="2">
        <v>14</v>
      </c>
      <c r="F341" s="2"/>
      <c r="G341" s="2">
        <v>14</v>
      </c>
      <c r="H341" s="2" t="s">
        <v>3132</v>
      </c>
      <c r="I341" s="2" t="s">
        <v>695</v>
      </c>
      <c r="J341" s="2" t="s">
        <v>2537</v>
      </c>
      <c r="K341" s="2" t="s">
        <v>1855</v>
      </c>
      <c r="L341" s="2" t="s">
        <v>2399</v>
      </c>
      <c r="M341" s="2" t="str">
        <f t="shared" si="8"/>
        <v>05</v>
      </c>
      <c r="N341" s="2" t="s">
        <v>1185</v>
      </c>
      <c r="O341" s="2" t="s">
        <v>4373</v>
      </c>
      <c r="P341" s="2" t="s">
        <v>4375</v>
      </c>
    </row>
    <row r="342" spans="1:16">
      <c r="A342" s="4">
        <v>46244.684398148151</v>
      </c>
      <c r="B342" s="2" t="s">
        <v>395</v>
      </c>
      <c r="C342" s="2" t="s">
        <v>4120</v>
      </c>
      <c r="D342" s="2" t="s">
        <v>690</v>
      </c>
      <c r="E342" s="2">
        <v>14</v>
      </c>
      <c r="F342" s="2"/>
      <c r="G342" s="2">
        <v>14</v>
      </c>
      <c r="H342" s="2" t="s">
        <v>3132</v>
      </c>
      <c r="I342" s="2" t="s">
        <v>695</v>
      </c>
      <c r="J342" s="2" t="s">
        <v>2537</v>
      </c>
      <c r="K342" s="2" t="s">
        <v>1855</v>
      </c>
      <c r="L342" s="2" t="s">
        <v>2399</v>
      </c>
      <c r="M342" s="2" t="str">
        <f t="shared" si="8"/>
        <v>05</v>
      </c>
      <c r="N342" s="2" t="s">
        <v>1457</v>
      </c>
      <c r="O342" s="2" t="s">
        <v>4373</v>
      </c>
      <c r="P342" s="2" t="s">
        <v>4375</v>
      </c>
    </row>
    <row r="343" spans="1:16">
      <c r="A343" s="4">
        <v>46244.684328703705</v>
      </c>
      <c r="B343" s="2" t="s">
        <v>1798</v>
      </c>
      <c r="C343" s="2" t="s">
        <v>4120</v>
      </c>
      <c r="D343" s="2" t="s">
        <v>690</v>
      </c>
      <c r="E343" s="2">
        <v>14</v>
      </c>
      <c r="F343" s="2"/>
      <c r="G343" s="2">
        <v>14</v>
      </c>
      <c r="H343" s="2" t="s">
        <v>3132</v>
      </c>
      <c r="I343" s="2" t="s">
        <v>695</v>
      </c>
      <c r="J343" s="2" t="s">
        <v>2537</v>
      </c>
      <c r="K343" s="2" t="s">
        <v>1855</v>
      </c>
      <c r="L343" s="2" t="s">
        <v>2399</v>
      </c>
      <c r="M343" s="2" t="str">
        <f t="shared" si="8"/>
        <v>05</v>
      </c>
      <c r="N343" s="2" t="s">
        <v>3470</v>
      </c>
      <c r="O343" s="2" t="s">
        <v>4373</v>
      </c>
      <c r="P343" s="2" t="s">
        <v>4375</v>
      </c>
    </row>
    <row r="344" spans="1:16">
      <c r="A344" s="4">
        <v>46244.68341435185</v>
      </c>
      <c r="B344" s="2" t="s">
        <v>2745</v>
      </c>
      <c r="C344" s="2" t="s">
        <v>4120</v>
      </c>
      <c r="D344" s="2" t="s">
        <v>690</v>
      </c>
      <c r="E344" s="2">
        <v>14</v>
      </c>
      <c r="F344" s="2"/>
      <c r="G344" s="2">
        <v>14</v>
      </c>
      <c r="H344" s="2" t="s">
        <v>3132</v>
      </c>
      <c r="I344" s="2" t="s">
        <v>695</v>
      </c>
      <c r="J344" s="2" t="s">
        <v>2537</v>
      </c>
      <c r="K344" s="2" t="s">
        <v>1855</v>
      </c>
      <c r="L344" s="2" t="s">
        <v>2399</v>
      </c>
      <c r="M344" s="2" t="str">
        <f t="shared" si="8"/>
        <v>05</v>
      </c>
      <c r="N344" s="2" t="s">
        <v>1015</v>
      </c>
      <c r="O344" s="2" t="s">
        <v>4373</v>
      </c>
      <c r="P344" s="2" t="s">
        <v>4375</v>
      </c>
    </row>
    <row r="345" spans="1:16">
      <c r="A345" s="4">
        <v>46244.68310185185</v>
      </c>
      <c r="B345" s="2" t="s">
        <v>3230</v>
      </c>
      <c r="C345" s="2" t="s">
        <v>4120</v>
      </c>
      <c r="D345" s="2" t="s">
        <v>690</v>
      </c>
      <c r="E345" s="2">
        <v>14</v>
      </c>
      <c r="F345" s="2"/>
      <c r="G345" s="2">
        <v>14</v>
      </c>
      <c r="H345" s="2" t="s">
        <v>3132</v>
      </c>
      <c r="I345" s="2" t="s">
        <v>695</v>
      </c>
      <c r="J345" s="2" t="s">
        <v>2537</v>
      </c>
      <c r="K345" s="2" t="s">
        <v>1855</v>
      </c>
      <c r="L345" s="2" t="s">
        <v>2399</v>
      </c>
      <c r="M345" s="2" t="str">
        <f t="shared" si="8"/>
        <v>05</v>
      </c>
      <c r="N345" s="2" t="s">
        <v>30</v>
      </c>
      <c r="O345" s="2" t="s">
        <v>4373</v>
      </c>
      <c r="P345" s="2" t="s">
        <v>4375</v>
      </c>
    </row>
    <row r="346" spans="1:16">
      <c r="A346" s="4">
        <v>46244.682268518518</v>
      </c>
      <c r="B346" s="2" t="s">
        <v>506</v>
      </c>
      <c r="C346" s="2" t="s">
        <v>4120</v>
      </c>
      <c r="D346" s="2" t="s">
        <v>690</v>
      </c>
      <c r="E346" s="2">
        <v>14</v>
      </c>
      <c r="F346" s="2"/>
      <c r="G346" s="2">
        <v>14</v>
      </c>
      <c r="H346" s="2" t="s">
        <v>3132</v>
      </c>
      <c r="I346" s="2" t="s">
        <v>695</v>
      </c>
      <c r="J346" s="2" t="s">
        <v>2537</v>
      </c>
      <c r="K346" s="2" t="s">
        <v>1855</v>
      </c>
      <c r="L346" s="2" t="s">
        <v>2399</v>
      </c>
      <c r="M346" s="2" t="str">
        <f t="shared" si="8"/>
        <v>05</v>
      </c>
      <c r="N346" s="2" t="s">
        <v>3047</v>
      </c>
      <c r="O346" s="2" t="s">
        <v>4373</v>
      </c>
      <c r="P346" s="2" t="s">
        <v>4375</v>
      </c>
    </row>
    <row r="347" spans="1:16">
      <c r="A347" s="4">
        <v>46244.681481481479</v>
      </c>
      <c r="B347" s="2" t="s">
        <v>901</v>
      </c>
      <c r="C347" s="2" t="s">
        <v>4120</v>
      </c>
      <c r="D347" s="2" t="s">
        <v>690</v>
      </c>
      <c r="E347" s="2">
        <v>14</v>
      </c>
      <c r="F347" s="2"/>
      <c r="G347" s="2">
        <v>14</v>
      </c>
      <c r="H347" s="2" t="s">
        <v>3132</v>
      </c>
      <c r="I347" s="2" t="s">
        <v>695</v>
      </c>
      <c r="J347" s="2" t="s">
        <v>2537</v>
      </c>
      <c r="K347" s="2" t="s">
        <v>1855</v>
      </c>
      <c r="L347" s="2" t="s">
        <v>2399</v>
      </c>
      <c r="M347" s="2" t="str">
        <f t="shared" si="8"/>
        <v>05</v>
      </c>
      <c r="N347" s="2" t="s">
        <v>3041</v>
      </c>
      <c r="O347" s="2" t="s">
        <v>4373</v>
      </c>
      <c r="P347" s="2" t="s">
        <v>4375</v>
      </c>
    </row>
    <row r="348" spans="1:16">
      <c r="A348" s="4">
        <v>46244.656956018516</v>
      </c>
      <c r="B348" s="2" t="s">
        <v>3452</v>
      </c>
      <c r="C348" s="2" t="s">
        <v>4120</v>
      </c>
      <c r="D348" s="2" t="s">
        <v>690</v>
      </c>
      <c r="E348" s="2">
        <v>12</v>
      </c>
      <c r="F348" s="2"/>
      <c r="G348" s="2">
        <v>12</v>
      </c>
      <c r="H348" s="2" t="s">
        <v>3132</v>
      </c>
      <c r="I348" s="2" t="s">
        <v>695</v>
      </c>
      <c r="J348" s="2" t="s">
        <v>2537</v>
      </c>
      <c r="K348" s="2" t="s">
        <v>1855</v>
      </c>
      <c r="L348" s="2" t="s">
        <v>2699</v>
      </c>
      <c r="M348" s="2" t="str">
        <f t="shared" si="8"/>
        <v>04</v>
      </c>
      <c r="N348" s="2" t="s">
        <v>1873</v>
      </c>
      <c r="O348" s="2" t="s">
        <v>4373</v>
      </c>
      <c r="P348" s="2" t="s">
        <v>4375</v>
      </c>
    </row>
    <row r="349" spans="1:16">
      <c r="A349" s="4">
        <v>46244.656192129631</v>
      </c>
      <c r="B349" s="2" t="s">
        <v>2175</v>
      </c>
      <c r="C349" s="2" t="s">
        <v>4120</v>
      </c>
      <c r="D349" s="2" t="s">
        <v>690</v>
      </c>
      <c r="E349" s="2">
        <v>14</v>
      </c>
      <c r="F349" s="2"/>
      <c r="G349" s="2">
        <v>14</v>
      </c>
      <c r="H349" s="2" t="s">
        <v>3132</v>
      </c>
      <c r="I349" s="2" t="s">
        <v>695</v>
      </c>
      <c r="J349" s="2" t="s">
        <v>2537</v>
      </c>
      <c r="K349" s="2" t="s">
        <v>1855</v>
      </c>
      <c r="L349" s="2" t="s">
        <v>2699</v>
      </c>
      <c r="M349" s="2" t="str">
        <f t="shared" si="8"/>
        <v>04</v>
      </c>
      <c r="N349" s="2" t="s">
        <v>226</v>
      </c>
      <c r="O349" s="2" t="s">
        <v>4373</v>
      </c>
      <c r="P349" s="2" t="s">
        <v>4375</v>
      </c>
    </row>
    <row r="350" spans="1:16">
      <c r="A350" s="4">
        <v>46244.656145833331</v>
      </c>
      <c r="B350" s="2" t="s">
        <v>1382</v>
      </c>
      <c r="C350" s="2" t="s">
        <v>4120</v>
      </c>
      <c r="D350" s="2" t="s">
        <v>690</v>
      </c>
      <c r="E350" s="2">
        <v>14</v>
      </c>
      <c r="F350" s="2"/>
      <c r="G350" s="2">
        <v>14</v>
      </c>
      <c r="H350" s="2" t="s">
        <v>3132</v>
      </c>
      <c r="I350" s="2" t="s">
        <v>695</v>
      </c>
      <c r="J350" s="2" t="s">
        <v>2537</v>
      </c>
      <c r="K350" s="2" t="s">
        <v>1855</v>
      </c>
      <c r="L350" s="2" t="s">
        <v>2699</v>
      </c>
      <c r="M350" s="2" t="str">
        <f t="shared" si="8"/>
        <v>04</v>
      </c>
      <c r="N350" s="2" t="s">
        <v>174</v>
      </c>
      <c r="O350" s="2" t="s">
        <v>4373</v>
      </c>
      <c r="P350" s="2" t="s">
        <v>4375</v>
      </c>
    </row>
    <row r="351" spans="1:16">
      <c r="A351" s="4">
        <v>46244.656018518515</v>
      </c>
      <c r="B351" s="2" t="s">
        <v>3053</v>
      </c>
      <c r="C351" s="2" t="s">
        <v>4120</v>
      </c>
      <c r="D351" s="2" t="s">
        <v>690</v>
      </c>
      <c r="E351" s="2">
        <v>14</v>
      </c>
      <c r="F351" s="2"/>
      <c r="G351" s="2">
        <v>14</v>
      </c>
      <c r="H351" s="2" t="s">
        <v>3132</v>
      </c>
      <c r="I351" s="2" t="s">
        <v>695</v>
      </c>
      <c r="J351" s="2" t="s">
        <v>2537</v>
      </c>
      <c r="K351" s="2" t="s">
        <v>1855</v>
      </c>
      <c r="L351" s="2" t="s">
        <v>2699</v>
      </c>
      <c r="M351" s="2" t="str">
        <f t="shared" si="8"/>
        <v>04</v>
      </c>
      <c r="N351" s="2" t="s">
        <v>4179</v>
      </c>
      <c r="O351" s="2" t="s">
        <v>4373</v>
      </c>
      <c r="P351" s="2" t="s">
        <v>4375</v>
      </c>
    </row>
    <row r="352" spans="1:16">
      <c r="A352" s="4">
        <v>46244.654745370368</v>
      </c>
      <c r="B352" s="2" t="s">
        <v>2272</v>
      </c>
      <c r="C352" s="2" t="s">
        <v>4120</v>
      </c>
      <c r="D352" s="2" t="s">
        <v>690</v>
      </c>
      <c r="E352" s="2">
        <v>14</v>
      </c>
      <c r="F352" s="2"/>
      <c r="G352" s="2">
        <v>14</v>
      </c>
      <c r="H352" s="2" t="s">
        <v>3132</v>
      </c>
      <c r="I352" s="2" t="s">
        <v>695</v>
      </c>
      <c r="J352" s="2" t="s">
        <v>2537</v>
      </c>
      <c r="K352" s="2" t="s">
        <v>1855</v>
      </c>
      <c r="L352" s="2" t="s">
        <v>2699</v>
      </c>
      <c r="M352" s="2" t="str">
        <f t="shared" si="8"/>
        <v>04</v>
      </c>
      <c r="N352" s="2" t="s">
        <v>572</v>
      </c>
      <c r="O352" s="2" t="s">
        <v>4373</v>
      </c>
      <c r="P352" s="2" t="s">
        <v>4375</v>
      </c>
    </row>
    <row r="353" spans="1:16">
      <c r="A353" s="4">
        <v>46244.653194444443</v>
      </c>
      <c r="B353" s="2" t="s">
        <v>2168</v>
      </c>
      <c r="C353" s="2" t="s">
        <v>4120</v>
      </c>
      <c r="D353" s="2" t="s">
        <v>690</v>
      </c>
      <c r="E353" s="2">
        <v>14</v>
      </c>
      <c r="F353" s="2"/>
      <c r="G353" s="2">
        <v>14</v>
      </c>
      <c r="H353" s="2" t="s">
        <v>3132</v>
      </c>
      <c r="I353" s="2" t="s">
        <v>695</v>
      </c>
      <c r="J353" s="2" t="s">
        <v>2537</v>
      </c>
      <c r="K353" s="2" t="s">
        <v>1855</v>
      </c>
      <c r="L353" s="2" t="s">
        <v>2699</v>
      </c>
      <c r="M353" s="2" t="str">
        <f t="shared" si="8"/>
        <v>04</v>
      </c>
      <c r="N353" s="2" t="s">
        <v>2663</v>
      </c>
      <c r="O353" s="2" t="s">
        <v>4373</v>
      </c>
      <c r="P353" s="2" t="s">
        <v>4375</v>
      </c>
    </row>
    <row r="354" spans="1:16">
      <c r="A354" s="4">
        <v>46244.652962962966</v>
      </c>
      <c r="B354" s="2" t="s">
        <v>2421</v>
      </c>
      <c r="C354" s="2" t="s">
        <v>4120</v>
      </c>
      <c r="D354" s="2" t="s">
        <v>690</v>
      </c>
      <c r="E354" s="2">
        <v>14</v>
      </c>
      <c r="F354" s="2"/>
      <c r="G354" s="2">
        <v>14</v>
      </c>
      <c r="H354" s="2" t="s">
        <v>3132</v>
      </c>
      <c r="I354" s="2" t="s">
        <v>695</v>
      </c>
      <c r="J354" s="2" t="s">
        <v>2537</v>
      </c>
      <c r="K354" s="2" t="s">
        <v>1855</v>
      </c>
      <c r="L354" s="2" t="s">
        <v>2699</v>
      </c>
      <c r="M354" s="2" t="str">
        <f t="shared" si="8"/>
        <v>04</v>
      </c>
      <c r="N354" s="2" t="s">
        <v>4049</v>
      </c>
      <c r="O354" s="2" t="s">
        <v>4373</v>
      </c>
      <c r="P354" s="2" t="s">
        <v>4375</v>
      </c>
    </row>
    <row r="355" spans="1:16">
      <c r="A355" s="4">
        <v>46244.651747685188</v>
      </c>
      <c r="B355" s="2" t="s">
        <v>3174</v>
      </c>
      <c r="C355" s="2" t="s">
        <v>4120</v>
      </c>
      <c r="D355" s="2" t="s">
        <v>690</v>
      </c>
      <c r="E355" s="2">
        <v>14</v>
      </c>
      <c r="F355" s="2"/>
      <c r="G355" s="2">
        <v>14</v>
      </c>
      <c r="H355" s="2" t="s">
        <v>3132</v>
      </c>
      <c r="I355" s="2" t="s">
        <v>695</v>
      </c>
      <c r="J355" s="2" t="s">
        <v>2537</v>
      </c>
      <c r="K355" s="2" t="s">
        <v>1855</v>
      </c>
      <c r="L355" s="2" t="s">
        <v>2699</v>
      </c>
      <c r="M355" s="2" t="str">
        <f t="shared" si="8"/>
        <v>04</v>
      </c>
      <c r="N355" s="2" t="s">
        <v>691</v>
      </c>
      <c r="O355" s="2" t="s">
        <v>4373</v>
      </c>
      <c r="P355" s="2" t="s">
        <v>4375</v>
      </c>
    </row>
    <row r="356" spans="1:16">
      <c r="A356" s="4">
        <v>46244.651747685188</v>
      </c>
      <c r="B356" s="2" t="s">
        <v>267</v>
      </c>
      <c r="C356" s="2" t="s">
        <v>4120</v>
      </c>
      <c r="D356" s="2" t="s">
        <v>690</v>
      </c>
      <c r="E356" s="2">
        <v>14</v>
      </c>
      <c r="F356" s="2"/>
      <c r="G356" s="2">
        <v>14</v>
      </c>
      <c r="H356" s="2" t="s">
        <v>3132</v>
      </c>
      <c r="I356" s="2" t="s">
        <v>695</v>
      </c>
      <c r="J356" s="2" t="s">
        <v>2537</v>
      </c>
      <c r="K356" s="2" t="s">
        <v>1855</v>
      </c>
      <c r="L356" s="2" t="s">
        <v>2699</v>
      </c>
      <c r="M356" s="2" t="str">
        <f t="shared" si="8"/>
        <v>04</v>
      </c>
      <c r="N356" s="2" t="s">
        <v>1476</v>
      </c>
      <c r="O356" s="2" t="s">
        <v>4373</v>
      </c>
      <c r="P356" s="2" t="s">
        <v>4375</v>
      </c>
    </row>
    <row r="357" spans="1:16">
      <c r="A357" s="4">
        <v>46244.650891203702</v>
      </c>
      <c r="B357" s="2" t="s">
        <v>2105</v>
      </c>
      <c r="C357" s="2" t="s">
        <v>4120</v>
      </c>
      <c r="D357" s="2" t="s">
        <v>690</v>
      </c>
      <c r="E357" s="2">
        <v>14</v>
      </c>
      <c r="F357" s="2"/>
      <c r="G357" s="2">
        <v>14</v>
      </c>
      <c r="H357" s="2" t="s">
        <v>3132</v>
      </c>
      <c r="I357" s="2" t="s">
        <v>695</v>
      </c>
      <c r="J357" s="2" t="s">
        <v>2537</v>
      </c>
      <c r="K357" s="2" t="s">
        <v>1855</v>
      </c>
      <c r="L357" s="2" t="s">
        <v>2699</v>
      </c>
      <c r="M357" s="2" t="str">
        <f t="shared" si="8"/>
        <v>04</v>
      </c>
      <c r="N357" s="2" t="s">
        <v>1755</v>
      </c>
      <c r="O357" s="2" t="s">
        <v>4373</v>
      </c>
      <c r="P357" s="2" t="s">
        <v>4375</v>
      </c>
    </row>
    <row r="358" spans="1:16">
      <c r="A358" s="4">
        <v>46244.650879629633</v>
      </c>
      <c r="B358" s="2" t="s">
        <v>2177</v>
      </c>
      <c r="C358" s="2" t="s">
        <v>4120</v>
      </c>
      <c r="D358" s="2" t="s">
        <v>690</v>
      </c>
      <c r="E358" s="2">
        <v>14</v>
      </c>
      <c r="F358" s="2"/>
      <c r="G358" s="2">
        <v>14</v>
      </c>
      <c r="H358" s="2" t="s">
        <v>3132</v>
      </c>
      <c r="I358" s="2" t="s">
        <v>695</v>
      </c>
      <c r="J358" s="2" t="s">
        <v>2537</v>
      </c>
      <c r="K358" s="2" t="s">
        <v>1855</v>
      </c>
      <c r="L358" s="2" t="s">
        <v>2699</v>
      </c>
      <c r="M358" s="2" t="str">
        <f t="shared" si="8"/>
        <v>04</v>
      </c>
      <c r="N358" s="2" t="s">
        <v>3038</v>
      </c>
      <c r="O358" s="2" t="s">
        <v>4373</v>
      </c>
      <c r="P358" s="2" t="s">
        <v>4375</v>
      </c>
    </row>
    <row r="359" spans="1:16">
      <c r="A359" s="4">
        <v>46244.648449074077</v>
      </c>
      <c r="B359" s="2" t="s">
        <v>118</v>
      </c>
      <c r="C359" s="2" t="s">
        <v>4120</v>
      </c>
      <c r="D359" s="2" t="s">
        <v>690</v>
      </c>
      <c r="E359" s="2">
        <v>14</v>
      </c>
      <c r="F359" s="2"/>
      <c r="G359" s="2">
        <v>14</v>
      </c>
      <c r="H359" s="2" t="s">
        <v>3132</v>
      </c>
      <c r="I359" s="2" t="s">
        <v>695</v>
      </c>
      <c r="J359" s="2" t="s">
        <v>2537</v>
      </c>
      <c r="K359" s="2" t="s">
        <v>1855</v>
      </c>
      <c r="L359" s="2" t="s">
        <v>2699</v>
      </c>
      <c r="M359" s="2" t="str">
        <f t="shared" si="8"/>
        <v>04</v>
      </c>
      <c r="N359" s="2" t="s">
        <v>3696</v>
      </c>
      <c r="O359" s="2" t="s">
        <v>4373</v>
      </c>
      <c r="P359" s="2" t="s">
        <v>4375</v>
      </c>
    </row>
    <row r="360" spans="1:16">
      <c r="A360" s="4">
        <v>46244.648402777777</v>
      </c>
      <c r="B360" s="2" t="s">
        <v>3597</v>
      </c>
      <c r="C360" s="2" t="s">
        <v>4120</v>
      </c>
      <c r="D360" s="2" t="s">
        <v>690</v>
      </c>
      <c r="E360" s="2">
        <v>14</v>
      </c>
      <c r="F360" s="2"/>
      <c r="G360" s="2">
        <v>14</v>
      </c>
      <c r="H360" s="2" t="s">
        <v>3132</v>
      </c>
      <c r="I360" s="2" t="s">
        <v>695</v>
      </c>
      <c r="J360" s="2" t="s">
        <v>2537</v>
      </c>
      <c r="K360" s="2" t="s">
        <v>1855</v>
      </c>
      <c r="L360" s="2" t="s">
        <v>2699</v>
      </c>
      <c r="M360" s="2" t="str">
        <f t="shared" si="8"/>
        <v>04</v>
      </c>
      <c r="N360" s="2" t="s">
        <v>3258</v>
      </c>
      <c r="O360" s="2" t="s">
        <v>4373</v>
      </c>
      <c r="P360" s="2" t="s">
        <v>4375</v>
      </c>
    </row>
    <row r="361" spans="1:16">
      <c r="A361" s="4">
        <v>46244.647141203706</v>
      </c>
      <c r="B361" s="2" t="s">
        <v>878</v>
      </c>
      <c r="C361" s="2" t="s">
        <v>4120</v>
      </c>
      <c r="D361" s="2" t="s">
        <v>690</v>
      </c>
      <c r="E361" s="2">
        <v>14</v>
      </c>
      <c r="F361" s="2"/>
      <c r="G361" s="2">
        <v>14</v>
      </c>
      <c r="H361" s="2" t="s">
        <v>3132</v>
      </c>
      <c r="I361" s="2" t="s">
        <v>695</v>
      </c>
      <c r="J361" s="2" t="s">
        <v>2537</v>
      </c>
      <c r="K361" s="2" t="s">
        <v>1855</v>
      </c>
      <c r="L361" s="2" t="s">
        <v>2699</v>
      </c>
      <c r="M361" s="2" t="str">
        <f t="shared" si="8"/>
        <v>04</v>
      </c>
      <c r="N361" s="2" t="s">
        <v>2030</v>
      </c>
      <c r="O361" s="2" t="s">
        <v>4373</v>
      </c>
      <c r="P361" s="2" t="s">
        <v>4375</v>
      </c>
    </row>
    <row r="362" spans="1:16">
      <c r="A362" s="4">
        <v>46244.647048611114</v>
      </c>
      <c r="B362" s="2" t="s">
        <v>2923</v>
      </c>
      <c r="C362" s="2" t="s">
        <v>4120</v>
      </c>
      <c r="D362" s="2" t="s">
        <v>690</v>
      </c>
      <c r="E362" s="2">
        <v>14</v>
      </c>
      <c r="F362" s="2"/>
      <c r="G362" s="2">
        <v>14</v>
      </c>
      <c r="H362" s="2" t="s">
        <v>3132</v>
      </c>
      <c r="I362" s="2" t="s">
        <v>695</v>
      </c>
      <c r="J362" s="2" t="s">
        <v>2537</v>
      </c>
      <c r="K362" s="2" t="s">
        <v>1855</v>
      </c>
      <c r="L362" s="2" t="s">
        <v>2699</v>
      </c>
      <c r="M362" s="2" t="str">
        <f t="shared" si="8"/>
        <v>04</v>
      </c>
      <c r="N362" s="2" t="s">
        <v>2122</v>
      </c>
      <c r="O362" s="2" t="s">
        <v>4373</v>
      </c>
      <c r="P362" s="2" t="s">
        <v>4375</v>
      </c>
    </row>
    <row r="363" spans="1:16">
      <c r="A363" s="4">
        <v>46244.644895833335</v>
      </c>
      <c r="B363" s="2" t="s">
        <v>4160</v>
      </c>
      <c r="C363" s="2" t="s">
        <v>4120</v>
      </c>
      <c r="D363" s="2" t="s">
        <v>690</v>
      </c>
      <c r="E363" s="2">
        <v>14</v>
      </c>
      <c r="F363" s="2"/>
      <c r="G363" s="2">
        <v>14</v>
      </c>
      <c r="H363" s="2" t="s">
        <v>3132</v>
      </c>
      <c r="I363" s="2" t="s">
        <v>695</v>
      </c>
      <c r="J363" s="2" t="s">
        <v>2537</v>
      </c>
      <c r="K363" s="2" t="s">
        <v>1855</v>
      </c>
      <c r="L363" s="2" t="s">
        <v>2699</v>
      </c>
      <c r="M363" s="2" t="str">
        <f t="shared" si="8"/>
        <v>04</v>
      </c>
      <c r="N363" s="2" t="s">
        <v>2688</v>
      </c>
      <c r="O363" s="2" t="s">
        <v>4373</v>
      </c>
      <c r="P363" s="2" t="s">
        <v>4375</v>
      </c>
    </row>
    <row r="364" spans="1:16">
      <c r="A364" s="4">
        <v>46244.644884259258</v>
      </c>
      <c r="B364" s="2" t="s">
        <v>215</v>
      </c>
      <c r="C364" s="2" t="s">
        <v>4120</v>
      </c>
      <c r="D364" s="2" t="s">
        <v>690</v>
      </c>
      <c r="E364" s="2">
        <v>14</v>
      </c>
      <c r="F364" s="2"/>
      <c r="G364" s="2">
        <v>14</v>
      </c>
      <c r="H364" s="2" t="s">
        <v>3132</v>
      </c>
      <c r="I364" s="2" t="s">
        <v>695</v>
      </c>
      <c r="J364" s="2" t="s">
        <v>2537</v>
      </c>
      <c r="K364" s="2" t="s">
        <v>1855</v>
      </c>
      <c r="L364" s="2" t="s">
        <v>2699</v>
      </c>
      <c r="M364" s="2" t="str">
        <f t="shared" si="8"/>
        <v>04</v>
      </c>
      <c r="N364" s="2" t="s">
        <v>2344</v>
      </c>
      <c r="O364" s="2" t="s">
        <v>4373</v>
      </c>
      <c r="P364" s="2" t="s">
        <v>4375</v>
      </c>
    </row>
    <row r="365" spans="1:16">
      <c r="A365" s="4">
        <v>46244.643657407411</v>
      </c>
      <c r="B365" s="2" t="s">
        <v>4268</v>
      </c>
      <c r="C365" s="2" t="s">
        <v>4120</v>
      </c>
      <c r="D365" s="2" t="s">
        <v>690</v>
      </c>
      <c r="E365" s="2">
        <v>14</v>
      </c>
      <c r="F365" s="2"/>
      <c r="G365" s="2">
        <v>14</v>
      </c>
      <c r="H365" s="2" t="s">
        <v>3132</v>
      </c>
      <c r="I365" s="2" t="s">
        <v>695</v>
      </c>
      <c r="J365" s="2" t="s">
        <v>2537</v>
      </c>
      <c r="K365" s="2" t="s">
        <v>1855</v>
      </c>
      <c r="L365" s="2" t="s">
        <v>2699</v>
      </c>
      <c r="M365" s="2" t="str">
        <f t="shared" si="8"/>
        <v>04</v>
      </c>
      <c r="N365" s="2" t="s">
        <v>263</v>
      </c>
      <c r="O365" s="2" t="s">
        <v>4373</v>
      </c>
      <c r="P365" s="2" t="s">
        <v>4375</v>
      </c>
    </row>
    <row r="366" spans="1:16">
      <c r="A366" s="4">
        <v>46244.643587962964</v>
      </c>
      <c r="B366" s="2" t="s">
        <v>92</v>
      </c>
      <c r="C366" s="2" t="s">
        <v>4120</v>
      </c>
      <c r="D366" s="2" t="s">
        <v>690</v>
      </c>
      <c r="E366" s="2">
        <v>14</v>
      </c>
      <c r="F366" s="2"/>
      <c r="G366" s="2">
        <v>14</v>
      </c>
      <c r="H366" s="2" t="s">
        <v>3132</v>
      </c>
      <c r="I366" s="2" t="s">
        <v>695</v>
      </c>
      <c r="J366" s="2" t="s">
        <v>2537</v>
      </c>
      <c r="K366" s="2" t="s">
        <v>1855</v>
      </c>
      <c r="L366" s="2" t="s">
        <v>2699</v>
      </c>
      <c r="M366" s="2" t="str">
        <f t="shared" si="8"/>
        <v>04</v>
      </c>
      <c r="N366" s="2" t="s">
        <v>1184</v>
      </c>
      <c r="O366" s="2" t="s">
        <v>4373</v>
      </c>
      <c r="P366" s="2" t="s">
        <v>4375</v>
      </c>
    </row>
    <row r="367" spans="1:16">
      <c r="A367" s="4">
        <v>46244.641736111109</v>
      </c>
      <c r="B367" s="2" t="s">
        <v>1573</v>
      </c>
      <c r="C367" s="2" t="s">
        <v>4120</v>
      </c>
      <c r="D367" s="2" t="s">
        <v>690</v>
      </c>
      <c r="E367" s="2">
        <v>14</v>
      </c>
      <c r="F367" s="2"/>
      <c r="G367" s="2">
        <v>14</v>
      </c>
      <c r="H367" s="2" t="s">
        <v>3132</v>
      </c>
      <c r="I367" s="2" t="s">
        <v>695</v>
      </c>
      <c r="J367" s="2" t="s">
        <v>2537</v>
      </c>
      <c r="K367" s="2" t="s">
        <v>1855</v>
      </c>
      <c r="L367" s="2" t="s">
        <v>2699</v>
      </c>
      <c r="M367" s="2" t="str">
        <f t="shared" si="8"/>
        <v>04</v>
      </c>
      <c r="N367" s="2" t="s">
        <v>1466</v>
      </c>
      <c r="O367" s="2" t="s">
        <v>4373</v>
      </c>
      <c r="P367" s="2" t="s">
        <v>4375</v>
      </c>
    </row>
    <row r="368" spans="1:16">
      <c r="A368" s="4">
        <v>46244.641631944447</v>
      </c>
      <c r="B368" s="2" t="s">
        <v>3757</v>
      </c>
      <c r="C368" s="2" t="s">
        <v>4120</v>
      </c>
      <c r="D368" s="2" t="s">
        <v>690</v>
      </c>
      <c r="E368" s="2">
        <v>14</v>
      </c>
      <c r="F368" s="2"/>
      <c r="G368" s="2">
        <v>14</v>
      </c>
      <c r="H368" s="2" t="s">
        <v>3132</v>
      </c>
      <c r="I368" s="2" t="s">
        <v>695</v>
      </c>
      <c r="J368" s="2" t="s">
        <v>2537</v>
      </c>
      <c r="K368" s="2" t="s">
        <v>1855</v>
      </c>
      <c r="L368" s="2" t="s">
        <v>2699</v>
      </c>
      <c r="M368" s="2" t="str">
        <f t="shared" si="8"/>
        <v>04</v>
      </c>
      <c r="N368" s="2" t="s">
        <v>642</v>
      </c>
      <c r="O368" s="2" t="s">
        <v>4373</v>
      </c>
      <c r="P368" s="2" t="s">
        <v>4375</v>
      </c>
    </row>
    <row r="369" spans="1:16">
      <c r="A369" s="4">
        <v>46244.640208333331</v>
      </c>
      <c r="B369" s="2" t="s">
        <v>914</v>
      </c>
      <c r="C369" s="2" t="s">
        <v>4120</v>
      </c>
      <c r="D369" s="2" t="s">
        <v>690</v>
      </c>
      <c r="E369" s="2">
        <v>14</v>
      </c>
      <c r="F369" s="2"/>
      <c r="G369" s="2">
        <v>14</v>
      </c>
      <c r="H369" s="2" t="s">
        <v>3132</v>
      </c>
      <c r="I369" s="2" t="s">
        <v>695</v>
      </c>
      <c r="J369" s="2" t="s">
        <v>2537</v>
      </c>
      <c r="K369" s="2" t="s">
        <v>1855</v>
      </c>
      <c r="L369" s="2" t="s">
        <v>2699</v>
      </c>
      <c r="M369" s="2" t="str">
        <f t="shared" si="8"/>
        <v>04</v>
      </c>
      <c r="N369" s="2" t="s">
        <v>1558</v>
      </c>
      <c r="O369" s="2" t="s">
        <v>4373</v>
      </c>
      <c r="P369" s="2" t="s">
        <v>4375</v>
      </c>
    </row>
    <row r="370" spans="1:16">
      <c r="A370" s="4">
        <v>46244.639317129629</v>
      </c>
      <c r="B370" s="2" t="s">
        <v>1545</v>
      </c>
      <c r="C370" s="2" t="s">
        <v>4120</v>
      </c>
      <c r="D370" s="2" t="s">
        <v>690</v>
      </c>
      <c r="E370" s="2">
        <v>14</v>
      </c>
      <c r="F370" s="2"/>
      <c r="G370" s="2">
        <v>14</v>
      </c>
      <c r="H370" s="2" t="s">
        <v>3132</v>
      </c>
      <c r="I370" s="2" t="s">
        <v>695</v>
      </c>
      <c r="J370" s="2" t="s">
        <v>2537</v>
      </c>
      <c r="K370" s="2" t="s">
        <v>1855</v>
      </c>
      <c r="L370" s="2" t="s">
        <v>2699</v>
      </c>
      <c r="M370" s="2" t="str">
        <f t="shared" si="8"/>
        <v>04</v>
      </c>
      <c r="N370" s="2" t="s">
        <v>3344</v>
      </c>
      <c r="O370" s="2" t="s">
        <v>4373</v>
      </c>
      <c r="P370" s="2" t="s">
        <v>4375</v>
      </c>
    </row>
    <row r="371" spans="1:16">
      <c r="A371" s="4">
        <v>46248.467731481483</v>
      </c>
      <c r="B371" s="2" t="s">
        <v>649</v>
      </c>
      <c r="C371" s="2" t="s">
        <v>4216</v>
      </c>
      <c r="D371" s="2" t="s">
        <v>2784</v>
      </c>
      <c r="E371" s="2">
        <v>8</v>
      </c>
      <c r="F371" s="2"/>
      <c r="G371" s="2">
        <v>8</v>
      </c>
      <c r="H371" s="2" t="s">
        <v>493</v>
      </c>
      <c r="I371" s="2" t="s">
        <v>695</v>
      </c>
      <c r="J371" s="2" t="s">
        <v>2537</v>
      </c>
      <c r="K371" s="2" t="s">
        <v>1855</v>
      </c>
      <c r="L371" s="2" t="s">
        <v>2699</v>
      </c>
      <c r="M371" s="2" t="str">
        <f t="shared" si="8"/>
        <v>04</v>
      </c>
      <c r="N371" s="2" t="s">
        <v>1944</v>
      </c>
      <c r="O371" s="2" t="s">
        <v>4373</v>
      </c>
      <c r="P371" s="2" t="s">
        <v>4379</v>
      </c>
    </row>
    <row r="372" spans="1:16">
      <c r="A372" s="4">
        <v>46248.46675925926</v>
      </c>
      <c r="B372" s="2" t="s">
        <v>2054</v>
      </c>
      <c r="C372" s="2" t="s">
        <v>4216</v>
      </c>
      <c r="D372" s="2" t="s">
        <v>2784</v>
      </c>
      <c r="E372" s="2">
        <v>16</v>
      </c>
      <c r="F372" s="2"/>
      <c r="G372" s="2">
        <v>16</v>
      </c>
      <c r="H372" s="2" t="s">
        <v>493</v>
      </c>
      <c r="I372" s="2" t="s">
        <v>695</v>
      </c>
      <c r="J372" s="2" t="s">
        <v>2537</v>
      </c>
      <c r="K372" s="2" t="s">
        <v>1855</v>
      </c>
      <c r="L372" s="2" t="s">
        <v>2699</v>
      </c>
      <c r="M372" s="2" t="str">
        <f t="shared" si="8"/>
        <v>04</v>
      </c>
      <c r="N372" s="2" t="s">
        <v>1421</v>
      </c>
      <c r="O372" s="2" t="s">
        <v>4373</v>
      </c>
      <c r="P372" s="2" t="s">
        <v>4379</v>
      </c>
    </row>
    <row r="373" spans="1:16">
      <c r="A373" s="4">
        <v>46248.465578703705</v>
      </c>
      <c r="B373" s="2" t="s">
        <v>1087</v>
      </c>
      <c r="C373" s="2" t="s">
        <v>4216</v>
      </c>
      <c r="D373" s="2" t="s">
        <v>2784</v>
      </c>
      <c r="E373" s="2">
        <v>16</v>
      </c>
      <c r="F373" s="2"/>
      <c r="G373" s="2">
        <v>16</v>
      </c>
      <c r="H373" s="2" t="s">
        <v>493</v>
      </c>
      <c r="I373" s="2" t="s">
        <v>695</v>
      </c>
      <c r="J373" s="2" t="s">
        <v>2537</v>
      </c>
      <c r="K373" s="2" t="s">
        <v>1855</v>
      </c>
      <c r="L373" s="2" t="s">
        <v>2699</v>
      </c>
      <c r="M373" s="2" t="str">
        <f t="shared" si="8"/>
        <v>04</v>
      </c>
      <c r="N373" s="2" t="s">
        <v>1848</v>
      </c>
      <c r="O373" s="2" t="s">
        <v>4373</v>
      </c>
      <c r="P373" s="2" t="s">
        <v>4379</v>
      </c>
    </row>
    <row r="374" spans="1:16">
      <c r="A374" s="4">
        <v>46248.465509259258</v>
      </c>
      <c r="B374" s="2" t="s">
        <v>1989</v>
      </c>
      <c r="C374" s="2" t="s">
        <v>4216</v>
      </c>
      <c r="D374" s="2" t="s">
        <v>2784</v>
      </c>
      <c r="E374" s="2">
        <v>16</v>
      </c>
      <c r="F374" s="2"/>
      <c r="G374" s="2">
        <v>16</v>
      </c>
      <c r="H374" s="2" t="s">
        <v>493</v>
      </c>
      <c r="I374" s="2" t="s">
        <v>695</v>
      </c>
      <c r="J374" s="2" t="s">
        <v>2537</v>
      </c>
      <c r="K374" s="2" t="s">
        <v>1855</v>
      </c>
      <c r="L374" s="2" t="s">
        <v>2699</v>
      </c>
      <c r="M374" s="2" t="str">
        <f t="shared" si="8"/>
        <v>04</v>
      </c>
      <c r="N374" s="2" t="s">
        <v>308</v>
      </c>
      <c r="O374" s="2" t="s">
        <v>4373</v>
      </c>
      <c r="P374" s="2" t="s">
        <v>4379</v>
      </c>
    </row>
    <row r="375" spans="1:16">
      <c r="A375" s="4">
        <v>46248.464583333334</v>
      </c>
      <c r="B375" s="2" t="s">
        <v>3614</v>
      </c>
      <c r="C375" s="2" t="s">
        <v>4216</v>
      </c>
      <c r="D375" s="2" t="s">
        <v>2784</v>
      </c>
      <c r="E375" s="2">
        <v>16</v>
      </c>
      <c r="F375" s="2"/>
      <c r="G375" s="2">
        <v>16</v>
      </c>
      <c r="H375" s="2" t="s">
        <v>493</v>
      </c>
      <c r="I375" s="2" t="s">
        <v>695</v>
      </c>
      <c r="J375" s="2" t="s">
        <v>2537</v>
      </c>
      <c r="K375" s="2" t="s">
        <v>1855</v>
      </c>
      <c r="L375" s="2" t="s">
        <v>2699</v>
      </c>
      <c r="M375" s="2" t="str">
        <f t="shared" si="8"/>
        <v>04</v>
      </c>
      <c r="N375" s="2" t="s">
        <v>2551</v>
      </c>
      <c r="O375" s="2" t="s">
        <v>4373</v>
      </c>
      <c r="P375" s="2" t="s">
        <v>4379</v>
      </c>
    </row>
    <row r="376" spans="1:16">
      <c r="A376" s="4">
        <v>46248.464004629626</v>
      </c>
      <c r="B376" s="2" t="s">
        <v>1708</v>
      </c>
      <c r="C376" s="2" t="s">
        <v>4216</v>
      </c>
      <c r="D376" s="2" t="s">
        <v>2784</v>
      </c>
      <c r="E376" s="2">
        <v>16</v>
      </c>
      <c r="F376" s="2"/>
      <c r="G376" s="2">
        <v>16</v>
      </c>
      <c r="H376" s="2" t="s">
        <v>493</v>
      </c>
      <c r="I376" s="2" t="s">
        <v>695</v>
      </c>
      <c r="J376" s="2" t="s">
        <v>2537</v>
      </c>
      <c r="K376" s="2" t="s">
        <v>1855</v>
      </c>
      <c r="L376" s="2" t="s">
        <v>2699</v>
      </c>
      <c r="M376" s="2" t="str">
        <f t="shared" si="8"/>
        <v>04</v>
      </c>
      <c r="N376" s="2" t="s">
        <v>2788</v>
      </c>
      <c r="O376" s="2" t="s">
        <v>4373</v>
      </c>
      <c r="P376" s="2" t="s">
        <v>4379</v>
      </c>
    </row>
    <row r="377" spans="1:16">
      <c r="A377" s="4">
        <v>46248.46193287037</v>
      </c>
      <c r="B377" s="2" t="s">
        <v>289</v>
      </c>
      <c r="C377" s="2" t="s">
        <v>4216</v>
      </c>
      <c r="D377" s="2" t="s">
        <v>2784</v>
      </c>
      <c r="E377" s="2">
        <v>16</v>
      </c>
      <c r="F377" s="2"/>
      <c r="G377" s="2">
        <v>16</v>
      </c>
      <c r="H377" s="2" t="s">
        <v>493</v>
      </c>
      <c r="I377" s="2" t="s">
        <v>695</v>
      </c>
      <c r="J377" s="2" t="s">
        <v>2537</v>
      </c>
      <c r="K377" s="2" t="s">
        <v>1855</v>
      </c>
      <c r="L377" s="2" t="s">
        <v>2699</v>
      </c>
      <c r="M377" s="2" t="str">
        <f t="shared" si="8"/>
        <v>04</v>
      </c>
      <c r="N377" s="2" t="s">
        <v>1563</v>
      </c>
      <c r="O377" s="2" t="s">
        <v>4373</v>
      </c>
      <c r="P377" s="2" t="s">
        <v>4379</v>
      </c>
    </row>
    <row r="378" spans="1:16">
      <c r="A378" s="4">
        <v>46248.461770833332</v>
      </c>
      <c r="B378" s="2" t="s">
        <v>3603</v>
      </c>
      <c r="C378" s="2" t="s">
        <v>4216</v>
      </c>
      <c r="D378" s="2" t="s">
        <v>2784</v>
      </c>
      <c r="E378" s="2">
        <v>16</v>
      </c>
      <c r="F378" s="2"/>
      <c r="G378" s="2">
        <v>16</v>
      </c>
      <c r="H378" s="2" t="s">
        <v>493</v>
      </c>
      <c r="I378" s="2" t="s">
        <v>695</v>
      </c>
      <c r="J378" s="2" t="s">
        <v>2537</v>
      </c>
      <c r="K378" s="2" t="s">
        <v>1855</v>
      </c>
      <c r="L378" s="2" t="s">
        <v>2699</v>
      </c>
      <c r="M378" s="2" t="str">
        <f t="shared" si="8"/>
        <v>04</v>
      </c>
      <c r="N378" s="2" t="s">
        <v>3832</v>
      </c>
      <c r="O378" s="2" t="s">
        <v>4373</v>
      </c>
      <c r="P378" s="2" t="s">
        <v>4379</v>
      </c>
    </row>
    <row r="379" spans="1:16">
      <c r="A379" s="4">
        <v>46248.460324074076</v>
      </c>
      <c r="B379" s="2" t="s">
        <v>1863</v>
      </c>
      <c r="C379" s="2" t="s">
        <v>4216</v>
      </c>
      <c r="D379" s="2" t="s">
        <v>2784</v>
      </c>
      <c r="E379" s="2">
        <v>16</v>
      </c>
      <c r="F379" s="2"/>
      <c r="G379" s="2">
        <v>16</v>
      </c>
      <c r="H379" s="2" t="s">
        <v>493</v>
      </c>
      <c r="I379" s="2" t="s">
        <v>695</v>
      </c>
      <c r="J379" s="2" t="s">
        <v>2537</v>
      </c>
      <c r="K379" s="2" t="s">
        <v>1855</v>
      </c>
      <c r="L379" s="2" t="s">
        <v>2699</v>
      </c>
      <c r="M379" s="2" t="str">
        <f t="shared" si="8"/>
        <v>04</v>
      </c>
      <c r="N379" s="2" t="s">
        <v>3507</v>
      </c>
      <c r="O379" s="2" t="s">
        <v>4373</v>
      </c>
      <c r="P379" s="2" t="s">
        <v>4379</v>
      </c>
    </row>
    <row r="380" spans="1:16">
      <c r="A380" s="4">
        <v>46248.460127314815</v>
      </c>
      <c r="B380" s="2" t="s">
        <v>3574</v>
      </c>
      <c r="C380" s="2" t="s">
        <v>4216</v>
      </c>
      <c r="D380" s="2" t="s">
        <v>2784</v>
      </c>
      <c r="E380" s="2">
        <v>16</v>
      </c>
      <c r="F380" s="2"/>
      <c r="G380" s="2">
        <v>16</v>
      </c>
      <c r="H380" s="2" t="s">
        <v>493</v>
      </c>
      <c r="I380" s="2" t="s">
        <v>695</v>
      </c>
      <c r="J380" s="2" t="s">
        <v>2537</v>
      </c>
      <c r="K380" s="2" t="s">
        <v>1855</v>
      </c>
      <c r="L380" s="2" t="s">
        <v>2699</v>
      </c>
      <c r="M380" s="2" t="str">
        <f t="shared" si="8"/>
        <v>04</v>
      </c>
      <c r="N380" s="2" t="s">
        <v>3865</v>
      </c>
      <c r="O380" s="2" t="s">
        <v>4373</v>
      </c>
      <c r="P380" s="2" t="s">
        <v>4379</v>
      </c>
    </row>
    <row r="381" spans="1:16">
      <c r="A381" s="4">
        <v>46248.45890046296</v>
      </c>
      <c r="B381" s="2" t="s">
        <v>3262</v>
      </c>
      <c r="C381" s="2" t="s">
        <v>4216</v>
      </c>
      <c r="D381" s="2" t="s">
        <v>2784</v>
      </c>
      <c r="E381" s="2">
        <v>16</v>
      </c>
      <c r="F381" s="2"/>
      <c r="G381" s="2">
        <v>16</v>
      </c>
      <c r="H381" s="2" t="s">
        <v>493</v>
      </c>
      <c r="I381" s="2" t="s">
        <v>695</v>
      </c>
      <c r="J381" s="2" t="s">
        <v>2537</v>
      </c>
      <c r="K381" s="2" t="s">
        <v>1855</v>
      </c>
      <c r="L381" s="2" t="s">
        <v>2699</v>
      </c>
      <c r="M381" s="2" t="str">
        <f t="shared" si="8"/>
        <v>04</v>
      </c>
      <c r="N381" s="2" t="s">
        <v>4154</v>
      </c>
      <c r="O381" s="2" t="s">
        <v>4373</v>
      </c>
      <c r="P381" s="2" t="s">
        <v>4379</v>
      </c>
    </row>
    <row r="382" spans="1:16">
      <c r="A382" s="4">
        <v>46248.458506944444</v>
      </c>
      <c r="B382" s="2" t="s">
        <v>3888</v>
      </c>
      <c r="C382" s="2" t="s">
        <v>4216</v>
      </c>
      <c r="D382" s="2" t="s">
        <v>2784</v>
      </c>
      <c r="E382" s="2">
        <v>16</v>
      </c>
      <c r="F382" s="2"/>
      <c r="G382" s="2">
        <v>16</v>
      </c>
      <c r="H382" s="2" t="s">
        <v>493</v>
      </c>
      <c r="I382" s="2" t="s">
        <v>695</v>
      </c>
      <c r="J382" s="2" t="s">
        <v>2537</v>
      </c>
      <c r="K382" s="2" t="s">
        <v>1855</v>
      </c>
      <c r="L382" s="2" t="s">
        <v>2699</v>
      </c>
      <c r="M382" s="2" t="str">
        <f t="shared" si="8"/>
        <v>04</v>
      </c>
      <c r="N382" s="2" t="s">
        <v>480</v>
      </c>
      <c r="O382" s="2" t="s">
        <v>4373</v>
      </c>
      <c r="P382" s="2" t="s">
        <v>4379</v>
      </c>
    </row>
    <row r="383" spans="1:16">
      <c r="A383" s="4">
        <v>46248.457256944443</v>
      </c>
      <c r="B383" s="2" t="s">
        <v>439</v>
      </c>
      <c r="C383" s="2" t="s">
        <v>4216</v>
      </c>
      <c r="D383" s="2" t="s">
        <v>2784</v>
      </c>
      <c r="E383" s="2">
        <v>16</v>
      </c>
      <c r="F383" s="2"/>
      <c r="G383" s="2">
        <v>16</v>
      </c>
      <c r="H383" s="2" t="s">
        <v>493</v>
      </c>
      <c r="I383" s="2" t="s">
        <v>695</v>
      </c>
      <c r="J383" s="2" t="s">
        <v>2537</v>
      </c>
      <c r="K383" s="2" t="s">
        <v>1855</v>
      </c>
      <c r="L383" s="2" t="s">
        <v>2699</v>
      </c>
      <c r="M383" s="2" t="str">
        <f t="shared" si="8"/>
        <v>04</v>
      </c>
      <c r="N383" s="2" t="s">
        <v>650</v>
      </c>
      <c r="O383" s="2" t="s">
        <v>4373</v>
      </c>
      <c r="P383" s="2" t="s">
        <v>4379</v>
      </c>
    </row>
    <row r="384" spans="1:16">
      <c r="A384" s="4">
        <v>46248.456932870373</v>
      </c>
      <c r="B384" s="2" t="s">
        <v>2713</v>
      </c>
      <c r="C384" s="2" t="s">
        <v>4216</v>
      </c>
      <c r="D384" s="2" t="s">
        <v>2784</v>
      </c>
      <c r="E384" s="2">
        <v>16</v>
      </c>
      <c r="F384" s="2"/>
      <c r="G384" s="2">
        <v>16</v>
      </c>
      <c r="H384" s="2" t="s">
        <v>493</v>
      </c>
      <c r="I384" s="2" t="s">
        <v>695</v>
      </c>
      <c r="J384" s="2" t="s">
        <v>2537</v>
      </c>
      <c r="K384" s="2" t="s">
        <v>1855</v>
      </c>
      <c r="L384" s="2" t="s">
        <v>2699</v>
      </c>
      <c r="M384" s="2" t="str">
        <f t="shared" si="8"/>
        <v>04</v>
      </c>
      <c r="N384" s="2" t="s">
        <v>4092</v>
      </c>
      <c r="O384" s="2" t="s">
        <v>4373</v>
      </c>
      <c r="P384" s="2" t="s">
        <v>4379</v>
      </c>
    </row>
    <row r="385" spans="1:16">
      <c r="A385" s="4">
        <v>46248.455462962964</v>
      </c>
      <c r="B385" s="2" t="s">
        <v>2479</v>
      </c>
      <c r="C385" s="2" t="s">
        <v>4216</v>
      </c>
      <c r="D385" s="2" t="s">
        <v>2784</v>
      </c>
      <c r="E385" s="2">
        <v>16</v>
      </c>
      <c r="F385" s="2"/>
      <c r="G385" s="2">
        <v>16</v>
      </c>
      <c r="H385" s="2" t="s">
        <v>493</v>
      </c>
      <c r="I385" s="2" t="s">
        <v>695</v>
      </c>
      <c r="J385" s="2" t="s">
        <v>2537</v>
      </c>
      <c r="K385" s="2" t="s">
        <v>1855</v>
      </c>
      <c r="L385" s="2" t="s">
        <v>2699</v>
      </c>
      <c r="M385" s="2" t="str">
        <f t="shared" si="8"/>
        <v>04</v>
      </c>
      <c r="N385" s="2" t="s">
        <v>4150</v>
      </c>
      <c r="O385" s="2" t="s">
        <v>4373</v>
      </c>
      <c r="P385" s="2" t="s">
        <v>4379</v>
      </c>
    </row>
    <row r="386" spans="1:16">
      <c r="A386" s="4">
        <v>46248.455208333333</v>
      </c>
      <c r="B386" s="2" t="s">
        <v>2846</v>
      </c>
      <c r="C386" s="2" t="s">
        <v>4216</v>
      </c>
      <c r="D386" s="2" t="s">
        <v>2784</v>
      </c>
      <c r="E386" s="2">
        <v>16</v>
      </c>
      <c r="F386" s="2"/>
      <c r="G386" s="2">
        <v>16</v>
      </c>
      <c r="H386" s="2" t="s">
        <v>493</v>
      </c>
      <c r="I386" s="2" t="s">
        <v>695</v>
      </c>
      <c r="J386" s="2" t="s">
        <v>2537</v>
      </c>
      <c r="K386" s="2" t="s">
        <v>1855</v>
      </c>
      <c r="L386" s="2" t="s">
        <v>2699</v>
      </c>
      <c r="M386" s="2" t="str">
        <f t="shared" ref="M386:M449" si="9">RIGHT(L386,2)</f>
        <v>04</v>
      </c>
      <c r="N386" s="2" t="s">
        <v>214</v>
      </c>
      <c r="O386" s="2" t="s">
        <v>4373</v>
      </c>
      <c r="P386" s="2" t="s">
        <v>4379</v>
      </c>
    </row>
    <row r="387" spans="1:16">
      <c r="A387" s="4">
        <v>46248.45385416667</v>
      </c>
      <c r="B387" s="2" t="s">
        <v>2011</v>
      </c>
      <c r="C387" s="2" t="s">
        <v>4216</v>
      </c>
      <c r="D387" s="2" t="s">
        <v>2784</v>
      </c>
      <c r="E387" s="2">
        <v>16</v>
      </c>
      <c r="F387" s="2"/>
      <c r="G387" s="2">
        <v>16</v>
      </c>
      <c r="H387" s="2" t="s">
        <v>493</v>
      </c>
      <c r="I387" s="2" t="s">
        <v>695</v>
      </c>
      <c r="J387" s="2" t="s">
        <v>2537</v>
      </c>
      <c r="K387" s="2" t="s">
        <v>1855</v>
      </c>
      <c r="L387" s="2" t="s">
        <v>2699</v>
      </c>
      <c r="M387" s="2" t="str">
        <f t="shared" si="9"/>
        <v>04</v>
      </c>
      <c r="N387" s="2" t="s">
        <v>2430</v>
      </c>
      <c r="O387" s="2" t="s">
        <v>4373</v>
      </c>
      <c r="P387" s="2" t="s">
        <v>4379</v>
      </c>
    </row>
    <row r="388" spans="1:16">
      <c r="A388" s="4">
        <v>46248.453784722224</v>
      </c>
      <c r="B388" s="2" t="s">
        <v>27</v>
      </c>
      <c r="C388" s="2" t="s">
        <v>4216</v>
      </c>
      <c r="D388" s="2" t="s">
        <v>2784</v>
      </c>
      <c r="E388" s="2">
        <v>16</v>
      </c>
      <c r="F388" s="2"/>
      <c r="G388" s="2">
        <v>16</v>
      </c>
      <c r="H388" s="2" t="s">
        <v>493</v>
      </c>
      <c r="I388" s="2" t="s">
        <v>695</v>
      </c>
      <c r="J388" s="2" t="s">
        <v>2537</v>
      </c>
      <c r="K388" s="2" t="s">
        <v>1855</v>
      </c>
      <c r="L388" s="2" t="s">
        <v>2699</v>
      </c>
      <c r="M388" s="2" t="str">
        <f t="shared" si="9"/>
        <v>04</v>
      </c>
      <c r="N388" s="2" t="s">
        <v>56</v>
      </c>
      <c r="O388" s="2" t="s">
        <v>4373</v>
      </c>
      <c r="P388" s="2" t="s">
        <v>4379</v>
      </c>
    </row>
    <row r="389" spans="1:16">
      <c r="A389" s="4">
        <v>46248.45208333333</v>
      </c>
      <c r="B389" s="2" t="s">
        <v>1527</v>
      </c>
      <c r="C389" s="2" t="s">
        <v>4216</v>
      </c>
      <c r="D389" s="2" t="s">
        <v>2784</v>
      </c>
      <c r="E389" s="2">
        <v>16</v>
      </c>
      <c r="F389" s="2"/>
      <c r="G389" s="2">
        <v>16</v>
      </c>
      <c r="H389" s="2" t="s">
        <v>493</v>
      </c>
      <c r="I389" s="2" t="s">
        <v>695</v>
      </c>
      <c r="J389" s="2" t="s">
        <v>2537</v>
      </c>
      <c r="K389" s="2" t="s">
        <v>1855</v>
      </c>
      <c r="L389" s="2" t="s">
        <v>2699</v>
      </c>
      <c r="M389" s="2" t="str">
        <f t="shared" si="9"/>
        <v>04</v>
      </c>
      <c r="N389" s="2" t="s">
        <v>2514</v>
      </c>
      <c r="O389" s="2" t="s">
        <v>4373</v>
      </c>
      <c r="P389" s="2" t="s">
        <v>4379</v>
      </c>
    </row>
    <row r="390" spans="1:16">
      <c r="A390" s="4">
        <v>46248.451967592591</v>
      </c>
      <c r="B390" s="2" t="s">
        <v>1678</v>
      </c>
      <c r="C390" s="2" t="s">
        <v>4216</v>
      </c>
      <c r="D390" s="2" t="s">
        <v>2784</v>
      </c>
      <c r="E390" s="2">
        <v>16</v>
      </c>
      <c r="F390" s="2"/>
      <c r="G390" s="2">
        <v>16</v>
      </c>
      <c r="H390" s="2" t="s">
        <v>493</v>
      </c>
      <c r="I390" s="2" t="s">
        <v>695</v>
      </c>
      <c r="J390" s="2" t="s">
        <v>2537</v>
      </c>
      <c r="K390" s="2" t="s">
        <v>1855</v>
      </c>
      <c r="L390" s="2" t="s">
        <v>2699</v>
      </c>
      <c r="M390" s="2" t="str">
        <f t="shared" si="9"/>
        <v>04</v>
      </c>
      <c r="N390" s="2" t="s">
        <v>3331</v>
      </c>
      <c r="O390" s="2" t="s">
        <v>4373</v>
      </c>
      <c r="P390" s="2" t="s">
        <v>4379</v>
      </c>
    </row>
    <row r="391" spans="1:16">
      <c r="A391" s="4">
        <v>46248.450416666667</v>
      </c>
      <c r="B391" s="2" t="s">
        <v>660</v>
      </c>
      <c r="C391" s="2" t="s">
        <v>4216</v>
      </c>
      <c r="D391" s="2" t="s">
        <v>2784</v>
      </c>
      <c r="E391" s="2">
        <v>16</v>
      </c>
      <c r="F391" s="2"/>
      <c r="G391" s="2">
        <v>16</v>
      </c>
      <c r="H391" s="2" t="s">
        <v>493</v>
      </c>
      <c r="I391" s="2" t="s">
        <v>695</v>
      </c>
      <c r="J391" s="2" t="s">
        <v>2537</v>
      </c>
      <c r="K391" s="2" t="s">
        <v>1855</v>
      </c>
      <c r="L391" s="2" t="s">
        <v>2699</v>
      </c>
      <c r="M391" s="2" t="str">
        <f t="shared" si="9"/>
        <v>04</v>
      </c>
      <c r="N391" s="2" t="s">
        <v>2309</v>
      </c>
      <c r="O391" s="2" t="s">
        <v>4373</v>
      </c>
      <c r="P391" s="2" t="s">
        <v>4379</v>
      </c>
    </row>
    <row r="392" spans="1:16">
      <c r="A392" s="4">
        <v>46248.45039351852</v>
      </c>
      <c r="B392" s="2" t="s">
        <v>3917</v>
      </c>
      <c r="C392" s="2" t="s">
        <v>4216</v>
      </c>
      <c r="D392" s="2" t="s">
        <v>2784</v>
      </c>
      <c r="E392" s="2">
        <v>16</v>
      </c>
      <c r="F392" s="2"/>
      <c r="G392" s="2">
        <v>16</v>
      </c>
      <c r="H392" s="2" t="s">
        <v>493</v>
      </c>
      <c r="I392" s="2" t="s">
        <v>695</v>
      </c>
      <c r="J392" s="2" t="s">
        <v>2537</v>
      </c>
      <c r="K392" s="2" t="s">
        <v>1855</v>
      </c>
      <c r="L392" s="2" t="s">
        <v>2699</v>
      </c>
      <c r="M392" s="2" t="str">
        <f t="shared" si="9"/>
        <v>04</v>
      </c>
      <c r="N392" s="2" t="s">
        <v>433</v>
      </c>
      <c r="O392" s="2" t="s">
        <v>4373</v>
      </c>
      <c r="P392" s="2" t="s">
        <v>4379</v>
      </c>
    </row>
    <row r="393" spans="1:16">
      <c r="A393" s="4">
        <v>46248.447847222225</v>
      </c>
      <c r="B393" s="2" t="s">
        <v>2489</v>
      </c>
      <c r="C393" s="2" t="s">
        <v>4216</v>
      </c>
      <c r="D393" s="2" t="s">
        <v>2784</v>
      </c>
      <c r="E393" s="2">
        <v>16</v>
      </c>
      <c r="F393" s="2"/>
      <c r="G393" s="2">
        <v>16</v>
      </c>
      <c r="H393" s="2" t="s">
        <v>493</v>
      </c>
      <c r="I393" s="2" t="s">
        <v>695</v>
      </c>
      <c r="J393" s="2" t="s">
        <v>2537</v>
      </c>
      <c r="K393" s="2" t="s">
        <v>1855</v>
      </c>
      <c r="L393" s="2" t="s">
        <v>2699</v>
      </c>
      <c r="M393" s="2" t="str">
        <f t="shared" si="9"/>
        <v>04</v>
      </c>
      <c r="N393" s="2" t="s">
        <v>2850</v>
      </c>
      <c r="O393" s="2" t="s">
        <v>4373</v>
      </c>
      <c r="P393" s="2" t="s">
        <v>4379</v>
      </c>
    </row>
    <row r="394" spans="1:16">
      <c r="A394" s="4">
        <v>46248.447488425925</v>
      </c>
      <c r="B394" s="2" t="s">
        <v>2928</v>
      </c>
      <c r="C394" s="2" t="s">
        <v>4216</v>
      </c>
      <c r="D394" s="2" t="s">
        <v>2784</v>
      </c>
      <c r="E394" s="2">
        <v>16</v>
      </c>
      <c r="F394" s="2"/>
      <c r="G394" s="2">
        <v>16</v>
      </c>
      <c r="H394" s="2" t="s">
        <v>493</v>
      </c>
      <c r="I394" s="2" t="s">
        <v>695</v>
      </c>
      <c r="J394" s="2" t="s">
        <v>2537</v>
      </c>
      <c r="K394" s="2" t="s">
        <v>1855</v>
      </c>
      <c r="L394" s="2" t="s">
        <v>2699</v>
      </c>
      <c r="M394" s="2" t="str">
        <f t="shared" si="9"/>
        <v>04</v>
      </c>
      <c r="N394" s="2" t="s">
        <v>2915</v>
      </c>
      <c r="O394" s="2" t="s">
        <v>4373</v>
      </c>
      <c r="P394" s="2" t="s">
        <v>4379</v>
      </c>
    </row>
    <row r="395" spans="1:16">
      <c r="A395" s="4">
        <v>46248.445706018516</v>
      </c>
      <c r="B395" s="2" t="s">
        <v>1347</v>
      </c>
      <c r="C395" s="2" t="s">
        <v>4216</v>
      </c>
      <c r="D395" s="2" t="s">
        <v>2784</v>
      </c>
      <c r="E395" s="2">
        <v>16</v>
      </c>
      <c r="F395" s="2"/>
      <c r="G395" s="2">
        <v>16</v>
      </c>
      <c r="H395" s="2" t="s">
        <v>493</v>
      </c>
      <c r="I395" s="2" t="s">
        <v>695</v>
      </c>
      <c r="J395" s="2" t="s">
        <v>2537</v>
      </c>
      <c r="K395" s="2" t="s">
        <v>1855</v>
      </c>
      <c r="L395" s="2" t="s">
        <v>2699</v>
      </c>
      <c r="M395" s="2" t="str">
        <f t="shared" si="9"/>
        <v>04</v>
      </c>
      <c r="N395" s="2" t="s">
        <v>1233</v>
      </c>
      <c r="O395" s="2" t="s">
        <v>4373</v>
      </c>
      <c r="P395" s="2" t="s">
        <v>4379</v>
      </c>
    </row>
    <row r="396" spans="1:16">
      <c r="A396" s="4">
        <v>46248.445277777777</v>
      </c>
      <c r="B396" s="2" t="s">
        <v>229</v>
      </c>
      <c r="C396" s="2" t="s">
        <v>4216</v>
      </c>
      <c r="D396" s="2" t="s">
        <v>2784</v>
      </c>
      <c r="E396" s="2">
        <v>16</v>
      </c>
      <c r="F396" s="2"/>
      <c r="G396" s="2">
        <v>16</v>
      </c>
      <c r="H396" s="2" t="s">
        <v>493</v>
      </c>
      <c r="I396" s="2" t="s">
        <v>695</v>
      </c>
      <c r="J396" s="2" t="s">
        <v>2537</v>
      </c>
      <c r="K396" s="2" t="s">
        <v>1855</v>
      </c>
      <c r="L396" s="2" t="s">
        <v>2699</v>
      </c>
      <c r="M396" s="2" t="str">
        <f t="shared" si="9"/>
        <v>04</v>
      </c>
      <c r="N396" s="2" t="s">
        <v>1771</v>
      </c>
      <c r="O396" s="2" t="s">
        <v>4373</v>
      </c>
      <c r="P396" s="2" t="s">
        <v>4379</v>
      </c>
    </row>
    <row r="397" spans="1:16">
      <c r="A397" s="4">
        <v>46248.443842592591</v>
      </c>
      <c r="B397" s="2" t="s">
        <v>1208</v>
      </c>
      <c r="C397" s="2" t="s">
        <v>4216</v>
      </c>
      <c r="D397" s="2" t="s">
        <v>2784</v>
      </c>
      <c r="E397" s="2">
        <v>16</v>
      </c>
      <c r="F397" s="2"/>
      <c r="G397" s="2">
        <v>16</v>
      </c>
      <c r="H397" s="2" t="s">
        <v>493</v>
      </c>
      <c r="I397" s="2" t="s">
        <v>695</v>
      </c>
      <c r="J397" s="2" t="s">
        <v>2537</v>
      </c>
      <c r="K397" s="2" t="s">
        <v>1855</v>
      </c>
      <c r="L397" s="2" t="s">
        <v>2699</v>
      </c>
      <c r="M397" s="2" t="str">
        <f t="shared" si="9"/>
        <v>04</v>
      </c>
      <c r="N397" s="2" t="s">
        <v>4176</v>
      </c>
      <c r="O397" s="2" t="s">
        <v>4373</v>
      </c>
      <c r="P397" s="2" t="s">
        <v>4379</v>
      </c>
    </row>
    <row r="398" spans="1:16">
      <c r="A398" s="4">
        <v>46248.443564814814</v>
      </c>
      <c r="B398" s="2" t="s">
        <v>3773</v>
      </c>
      <c r="C398" s="2" t="s">
        <v>4216</v>
      </c>
      <c r="D398" s="2" t="s">
        <v>2784</v>
      </c>
      <c r="E398" s="2">
        <v>16</v>
      </c>
      <c r="F398" s="2"/>
      <c r="G398" s="2">
        <v>16</v>
      </c>
      <c r="H398" s="2" t="s">
        <v>493</v>
      </c>
      <c r="I398" s="2" t="s">
        <v>695</v>
      </c>
      <c r="J398" s="2" t="s">
        <v>2537</v>
      </c>
      <c r="K398" s="2" t="s">
        <v>1855</v>
      </c>
      <c r="L398" s="2" t="s">
        <v>2699</v>
      </c>
      <c r="M398" s="2" t="str">
        <f t="shared" si="9"/>
        <v>04</v>
      </c>
      <c r="N398" s="2" t="s">
        <v>1939</v>
      </c>
      <c r="O398" s="2" t="s">
        <v>4373</v>
      </c>
      <c r="P398" s="2" t="s">
        <v>4379</v>
      </c>
    </row>
    <row r="399" spans="1:16">
      <c r="A399" s="4">
        <v>46244.494652777779</v>
      </c>
      <c r="B399" s="2" t="s">
        <v>911</v>
      </c>
      <c r="C399" s="2" t="s">
        <v>4216</v>
      </c>
      <c r="D399" s="2" t="s">
        <v>2784</v>
      </c>
      <c r="E399" s="2">
        <v>16</v>
      </c>
      <c r="F399" s="2"/>
      <c r="G399" s="2">
        <v>16</v>
      </c>
      <c r="H399" s="2" t="s">
        <v>1997</v>
      </c>
      <c r="I399" s="2" t="s">
        <v>695</v>
      </c>
      <c r="J399" s="2" t="s">
        <v>2537</v>
      </c>
      <c r="K399" s="2" t="s">
        <v>1855</v>
      </c>
      <c r="L399" s="2" t="s">
        <v>1188</v>
      </c>
      <c r="M399" s="2" t="str">
        <f t="shared" si="9"/>
        <v>10</v>
      </c>
      <c r="N399" s="2" t="s">
        <v>2384</v>
      </c>
      <c r="O399" s="2" t="s">
        <v>4373</v>
      </c>
      <c r="P399" s="2" t="s">
        <v>4375</v>
      </c>
    </row>
    <row r="400" spans="1:16">
      <c r="A400" s="4">
        <v>46244.43891203704</v>
      </c>
      <c r="B400" s="2" t="s">
        <v>1916</v>
      </c>
      <c r="C400" s="2" t="s">
        <v>4216</v>
      </c>
      <c r="D400" s="2" t="s">
        <v>2784</v>
      </c>
      <c r="E400" s="2">
        <v>16</v>
      </c>
      <c r="F400" s="2"/>
      <c r="G400" s="2">
        <v>16</v>
      </c>
      <c r="H400" s="2" t="s">
        <v>1997</v>
      </c>
      <c r="I400" s="2" t="s">
        <v>695</v>
      </c>
      <c r="J400" s="2" t="s">
        <v>2537</v>
      </c>
      <c r="K400" s="2" t="s">
        <v>1855</v>
      </c>
      <c r="L400" s="2" t="s">
        <v>1188</v>
      </c>
      <c r="M400" s="2" t="str">
        <f t="shared" si="9"/>
        <v>10</v>
      </c>
      <c r="N400" s="2" t="s">
        <v>3187</v>
      </c>
      <c r="O400" s="2" t="s">
        <v>4373</v>
      </c>
      <c r="P400" s="2" t="s">
        <v>4375</v>
      </c>
    </row>
    <row r="401" spans="1:16">
      <c r="A401" s="4">
        <v>46244.32135416667</v>
      </c>
      <c r="B401" s="2" t="s">
        <v>4319</v>
      </c>
      <c r="C401" s="2" t="s">
        <v>4216</v>
      </c>
      <c r="D401" s="2" t="s">
        <v>2784</v>
      </c>
      <c r="E401" s="2">
        <v>8</v>
      </c>
      <c r="F401" s="2"/>
      <c r="G401" s="2">
        <v>8</v>
      </c>
      <c r="H401" s="2" t="s">
        <v>1997</v>
      </c>
      <c r="I401" s="2" t="s">
        <v>695</v>
      </c>
      <c r="J401" s="2" t="s">
        <v>2537</v>
      </c>
      <c r="K401" s="2" t="s">
        <v>1855</v>
      </c>
      <c r="L401" s="2" t="s">
        <v>1188</v>
      </c>
      <c r="M401" s="2" t="str">
        <f t="shared" si="9"/>
        <v>10</v>
      </c>
      <c r="N401" s="2" t="s">
        <v>3596</v>
      </c>
      <c r="O401" s="2" t="s">
        <v>4373</v>
      </c>
      <c r="P401" s="2" t="s">
        <v>4375</v>
      </c>
    </row>
    <row r="402" spans="1:16">
      <c r="A402" s="4">
        <v>46244.321018518516</v>
      </c>
      <c r="B402" s="2" t="s">
        <v>973</v>
      </c>
      <c r="C402" s="2" t="s">
        <v>4216</v>
      </c>
      <c r="D402" s="2" t="s">
        <v>2784</v>
      </c>
      <c r="E402" s="2">
        <v>16</v>
      </c>
      <c r="F402" s="2"/>
      <c r="G402" s="2">
        <v>16</v>
      </c>
      <c r="H402" s="2" t="s">
        <v>1997</v>
      </c>
      <c r="I402" s="2" t="s">
        <v>695</v>
      </c>
      <c r="J402" s="2" t="s">
        <v>2537</v>
      </c>
      <c r="K402" s="2" t="s">
        <v>1855</v>
      </c>
      <c r="L402" s="2" t="s">
        <v>1188</v>
      </c>
      <c r="M402" s="2" t="str">
        <f t="shared" si="9"/>
        <v>10</v>
      </c>
      <c r="N402" s="2" t="s">
        <v>2841</v>
      </c>
      <c r="O402" s="2" t="s">
        <v>4373</v>
      </c>
      <c r="P402" s="2" t="s">
        <v>4375</v>
      </c>
    </row>
    <row r="403" spans="1:16">
      <c r="A403" s="4">
        <v>46244.319456018522</v>
      </c>
      <c r="B403" s="2" t="s">
        <v>3323</v>
      </c>
      <c r="C403" s="2" t="s">
        <v>4216</v>
      </c>
      <c r="D403" s="2" t="s">
        <v>2784</v>
      </c>
      <c r="E403" s="2">
        <v>16</v>
      </c>
      <c r="F403" s="2"/>
      <c r="G403" s="2">
        <v>16</v>
      </c>
      <c r="H403" s="2" t="s">
        <v>1997</v>
      </c>
      <c r="I403" s="2" t="s">
        <v>695</v>
      </c>
      <c r="J403" s="2" t="s">
        <v>2537</v>
      </c>
      <c r="K403" s="2" t="s">
        <v>1855</v>
      </c>
      <c r="L403" s="2" t="s">
        <v>1188</v>
      </c>
      <c r="M403" s="2" t="str">
        <f t="shared" si="9"/>
        <v>10</v>
      </c>
      <c r="N403" s="2" t="s">
        <v>2855</v>
      </c>
      <c r="O403" s="2" t="s">
        <v>4373</v>
      </c>
      <c r="P403" s="2" t="s">
        <v>4375</v>
      </c>
    </row>
    <row r="404" spans="1:16">
      <c r="A404" s="4">
        <v>46244.319444444445</v>
      </c>
      <c r="B404" s="2" t="s">
        <v>3522</v>
      </c>
      <c r="C404" s="2" t="s">
        <v>4216</v>
      </c>
      <c r="D404" s="2" t="s">
        <v>2784</v>
      </c>
      <c r="E404" s="2">
        <v>16</v>
      </c>
      <c r="F404" s="2"/>
      <c r="G404" s="2">
        <v>16</v>
      </c>
      <c r="H404" s="2" t="s">
        <v>1997</v>
      </c>
      <c r="I404" s="2" t="s">
        <v>695</v>
      </c>
      <c r="J404" s="2" t="s">
        <v>2537</v>
      </c>
      <c r="K404" s="2" t="s">
        <v>1855</v>
      </c>
      <c r="L404" s="2" t="s">
        <v>1188</v>
      </c>
      <c r="M404" s="2" t="str">
        <f t="shared" si="9"/>
        <v>10</v>
      </c>
      <c r="N404" s="2" t="s">
        <v>2370</v>
      </c>
      <c r="O404" s="2" t="s">
        <v>4373</v>
      </c>
      <c r="P404" s="2" t="s">
        <v>4375</v>
      </c>
    </row>
    <row r="405" spans="1:16">
      <c r="A405" s="4">
        <v>46244.318009259259</v>
      </c>
      <c r="B405" s="2" t="s">
        <v>2213</v>
      </c>
      <c r="C405" s="2" t="s">
        <v>4216</v>
      </c>
      <c r="D405" s="2" t="s">
        <v>2784</v>
      </c>
      <c r="E405" s="2">
        <v>16</v>
      </c>
      <c r="F405" s="2"/>
      <c r="G405" s="2">
        <v>16</v>
      </c>
      <c r="H405" s="2" t="s">
        <v>1997</v>
      </c>
      <c r="I405" s="2" t="s">
        <v>695</v>
      </c>
      <c r="J405" s="2" t="s">
        <v>2537</v>
      </c>
      <c r="K405" s="2" t="s">
        <v>1855</v>
      </c>
      <c r="L405" s="2" t="s">
        <v>1188</v>
      </c>
      <c r="M405" s="2" t="str">
        <f t="shared" si="9"/>
        <v>10</v>
      </c>
      <c r="N405" s="2" t="s">
        <v>3310</v>
      </c>
      <c r="O405" s="2" t="s">
        <v>4373</v>
      </c>
      <c r="P405" s="2" t="s">
        <v>4375</v>
      </c>
    </row>
    <row r="406" spans="1:16">
      <c r="A406" s="4">
        <v>46244.317939814813</v>
      </c>
      <c r="B406" s="2" t="s">
        <v>4003</v>
      </c>
      <c r="C406" s="2" t="s">
        <v>4216</v>
      </c>
      <c r="D406" s="2" t="s">
        <v>2784</v>
      </c>
      <c r="E406" s="2">
        <v>16</v>
      </c>
      <c r="F406" s="2"/>
      <c r="G406" s="2">
        <v>16</v>
      </c>
      <c r="H406" s="2" t="s">
        <v>1997</v>
      </c>
      <c r="I406" s="2" t="s">
        <v>695</v>
      </c>
      <c r="J406" s="2" t="s">
        <v>2537</v>
      </c>
      <c r="K406" s="2" t="s">
        <v>1855</v>
      </c>
      <c r="L406" s="2" t="s">
        <v>1188</v>
      </c>
      <c r="M406" s="2" t="str">
        <f t="shared" si="9"/>
        <v>10</v>
      </c>
      <c r="N406" s="2" t="s">
        <v>1106</v>
      </c>
      <c r="O406" s="2" t="s">
        <v>4373</v>
      </c>
      <c r="P406" s="2" t="s">
        <v>4375</v>
      </c>
    </row>
    <row r="407" spans="1:16">
      <c r="A407" s="4">
        <v>46244.316030092596</v>
      </c>
      <c r="B407" s="2" t="s">
        <v>4070</v>
      </c>
      <c r="C407" s="2" t="s">
        <v>4216</v>
      </c>
      <c r="D407" s="2" t="s">
        <v>2784</v>
      </c>
      <c r="E407" s="2">
        <v>16</v>
      </c>
      <c r="F407" s="2"/>
      <c r="G407" s="2">
        <v>16</v>
      </c>
      <c r="H407" s="2" t="s">
        <v>1997</v>
      </c>
      <c r="I407" s="2" t="s">
        <v>695</v>
      </c>
      <c r="J407" s="2" t="s">
        <v>2537</v>
      </c>
      <c r="K407" s="2" t="s">
        <v>1855</v>
      </c>
      <c r="L407" s="2" t="s">
        <v>1188</v>
      </c>
      <c r="M407" s="2" t="str">
        <f t="shared" si="9"/>
        <v>10</v>
      </c>
      <c r="N407" s="2" t="s">
        <v>1601</v>
      </c>
      <c r="O407" s="2" t="s">
        <v>4373</v>
      </c>
      <c r="P407" s="2" t="s">
        <v>4375</v>
      </c>
    </row>
    <row r="408" spans="1:16">
      <c r="A408" s="4">
        <v>46244.315763888888</v>
      </c>
      <c r="B408" s="2" t="s">
        <v>3811</v>
      </c>
      <c r="C408" s="2" t="s">
        <v>4216</v>
      </c>
      <c r="D408" s="2" t="s">
        <v>2784</v>
      </c>
      <c r="E408" s="2">
        <v>16</v>
      </c>
      <c r="F408" s="2"/>
      <c r="G408" s="2">
        <v>16</v>
      </c>
      <c r="H408" s="2" t="s">
        <v>1997</v>
      </c>
      <c r="I408" s="2" t="s">
        <v>695</v>
      </c>
      <c r="J408" s="2" t="s">
        <v>2537</v>
      </c>
      <c r="K408" s="2" t="s">
        <v>1855</v>
      </c>
      <c r="L408" s="2" t="s">
        <v>1188</v>
      </c>
      <c r="M408" s="2" t="str">
        <f t="shared" si="9"/>
        <v>10</v>
      </c>
      <c r="N408" s="2" t="s">
        <v>463</v>
      </c>
      <c r="O408" s="2" t="s">
        <v>4373</v>
      </c>
      <c r="P408" s="2" t="s">
        <v>4375</v>
      </c>
    </row>
    <row r="409" spans="1:16">
      <c r="A409" s="4">
        <v>46244.314421296294</v>
      </c>
      <c r="B409" s="2" t="s">
        <v>628</v>
      </c>
      <c r="C409" s="2" t="s">
        <v>4216</v>
      </c>
      <c r="D409" s="2" t="s">
        <v>2784</v>
      </c>
      <c r="E409" s="2">
        <v>16</v>
      </c>
      <c r="F409" s="2"/>
      <c r="G409" s="2">
        <v>16</v>
      </c>
      <c r="H409" s="2" t="s">
        <v>1997</v>
      </c>
      <c r="I409" s="2" t="s">
        <v>695</v>
      </c>
      <c r="J409" s="2" t="s">
        <v>2537</v>
      </c>
      <c r="K409" s="2" t="s">
        <v>1855</v>
      </c>
      <c r="L409" s="2" t="s">
        <v>1188</v>
      </c>
      <c r="M409" s="2" t="str">
        <f t="shared" si="9"/>
        <v>10</v>
      </c>
      <c r="N409" s="2" t="s">
        <v>1543</v>
      </c>
      <c r="O409" s="2" t="s">
        <v>4373</v>
      </c>
      <c r="P409" s="2" t="s">
        <v>4375</v>
      </c>
    </row>
    <row r="410" spans="1:16">
      <c r="A410" s="4">
        <v>46244.314398148148</v>
      </c>
      <c r="B410" s="2" t="s">
        <v>1411</v>
      </c>
      <c r="C410" s="2" t="s">
        <v>4216</v>
      </c>
      <c r="D410" s="2" t="s">
        <v>2784</v>
      </c>
      <c r="E410" s="2">
        <v>16</v>
      </c>
      <c r="F410" s="2"/>
      <c r="G410" s="2">
        <v>16</v>
      </c>
      <c r="H410" s="2" t="s">
        <v>1997</v>
      </c>
      <c r="I410" s="2" t="s">
        <v>695</v>
      </c>
      <c r="J410" s="2" t="s">
        <v>2537</v>
      </c>
      <c r="K410" s="2" t="s">
        <v>1855</v>
      </c>
      <c r="L410" s="2" t="s">
        <v>1188</v>
      </c>
      <c r="M410" s="2" t="str">
        <f t="shared" si="9"/>
        <v>10</v>
      </c>
      <c r="N410" s="2" t="s">
        <v>389</v>
      </c>
      <c r="O410" s="2" t="s">
        <v>4373</v>
      </c>
      <c r="P410" s="2" t="s">
        <v>4375</v>
      </c>
    </row>
    <row r="411" spans="1:16">
      <c r="A411" s="4">
        <v>46244.313252314816</v>
      </c>
      <c r="B411" s="2" t="s">
        <v>2358</v>
      </c>
      <c r="C411" s="2" t="s">
        <v>4216</v>
      </c>
      <c r="D411" s="2" t="s">
        <v>2784</v>
      </c>
      <c r="E411" s="2">
        <v>16</v>
      </c>
      <c r="F411" s="2"/>
      <c r="G411" s="2">
        <v>16</v>
      </c>
      <c r="H411" s="2" t="s">
        <v>1997</v>
      </c>
      <c r="I411" s="2" t="s">
        <v>695</v>
      </c>
      <c r="J411" s="2" t="s">
        <v>2537</v>
      </c>
      <c r="K411" s="2" t="s">
        <v>1855</v>
      </c>
      <c r="L411" s="2" t="s">
        <v>1188</v>
      </c>
      <c r="M411" s="2" t="str">
        <f t="shared" si="9"/>
        <v>10</v>
      </c>
      <c r="N411" s="2" t="s">
        <v>2199</v>
      </c>
      <c r="O411" s="2" t="s">
        <v>4373</v>
      </c>
      <c r="P411" s="2" t="s">
        <v>4375</v>
      </c>
    </row>
    <row r="412" spans="1:16">
      <c r="A412" s="4">
        <v>46244.312928240739</v>
      </c>
      <c r="B412" s="2" t="s">
        <v>2498</v>
      </c>
      <c r="C412" s="2" t="s">
        <v>4216</v>
      </c>
      <c r="D412" s="2" t="s">
        <v>2784</v>
      </c>
      <c r="E412" s="2">
        <v>16</v>
      </c>
      <c r="F412" s="2"/>
      <c r="G412" s="2">
        <v>16</v>
      </c>
      <c r="H412" s="2" t="s">
        <v>1997</v>
      </c>
      <c r="I412" s="2" t="s">
        <v>695</v>
      </c>
      <c r="J412" s="2" t="s">
        <v>2537</v>
      </c>
      <c r="K412" s="2" t="s">
        <v>1855</v>
      </c>
      <c r="L412" s="2" t="s">
        <v>1188</v>
      </c>
      <c r="M412" s="2" t="str">
        <f t="shared" si="9"/>
        <v>10</v>
      </c>
      <c r="N412" s="2" t="s">
        <v>739</v>
      </c>
      <c r="O412" s="2" t="s">
        <v>4373</v>
      </c>
      <c r="P412" s="2" t="s">
        <v>4375</v>
      </c>
    </row>
    <row r="413" spans="1:16">
      <c r="A413" s="4">
        <v>46244.311782407407</v>
      </c>
      <c r="B413" s="2" t="s">
        <v>1099</v>
      </c>
      <c r="C413" s="2" t="s">
        <v>4216</v>
      </c>
      <c r="D413" s="2" t="s">
        <v>2784</v>
      </c>
      <c r="E413" s="2">
        <v>16</v>
      </c>
      <c r="F413" s="2"/>
      <c r="G413" s="2">
        <v>16</v>
      </c>
      <c r="H413" s="2" t="s">
        <v>1997</v>
      </c>
      <c r="I413" s="2" t="s">
        <v>695</v>
      </c>
      <c r="J413" s="2" t="s">
        <v>2537</v>
      </c>
      <c r="K413" s="2" t="s">
        <v>1855</v>
      </c>
      <c r="L413" s="2" t="s">
        <v>1188</v>
      </c>
      <c r="M413" s="2" t="str">
        <f t="shared" si="9"/>
        <v>10</v>
      </c>
      <c r="N413" s="2" t="s">
        <v>1846</v>
      </c>
      <c r="O413" s="2" t="s">
        <v>4373</v>
      </c>
      <c r="P413" s="2" t="s">
        <v>4375</v>
      </c>
    </row>
    <row r="414" spans="1:16">
      <c r="A414" s="4">
        <v>46244.310300925928</v>
      </c>
      <c r="B414" s="2" t="s">
        <v>3356</v>
      </c>
      <c r="C414" s="2" t="s">
        <v>4216</v>
      </c>
      <c r="D414" s="2" t="s">
        <v>2784</v>
      </c>
      <c r="E414" s="2">
        <v>16</v>
      </c>
      <c r="F414" s="2"/>
      <c r="G414" s="2">
        <v>16</v>
      </c>
      <c r="H414" s="2" t="s">
        <v>1997</v>
      </c>
      <c r="I414" s="2" t="s">
        <v>695</v>
      </c>
      <c r="J414" s="2" t="s">
        <v>2537</v>
      </c>
      <c r="K414" s="2" t="s">
        <v>1855</v>
      </c>
      <c r="L414" s="2" t="s">
        <v>1188</v>
      </c>
      <c r="M414" s="2" t="str">
        <f t="shared" si="9"/>
        <v>10</v>
      </c>
      <c r="N414" s="2" t="s">
        <v>4371</v>
      </c>
      <c r="O414" s="2" t="s">
        <v>4373</v>
      </c>
      <c r="P414" s="2" t="s">
        <v>4375</v>
      </c>
    </row>
    <row r="415" spans="1:16">
      <c r="A415" s="4">
        <v>46244.309930555559</v>
      </c>
      <c r="B415" s="2" t="s">
        <v>667</v>
      </c>
      <c r="C415" s="2" t="s">
        <v>4216</v>
      </c>
      <c r="D415" s="2" t="s">
        <v>2784</v>
      </c>
      <c r="E415" s="2">
        <v>16</v>
      </c>
      <c r="F415" s="2"/>
      <c r="G415" s="2">
        <v>16</v>
      </c>
      <c r="H415" s="2" t="s">
        <v>1997</v>
      </c>
      <c r="I415" s="2" t="s">
        <v>695</v>
      </c>
      <c r="J415" s="2" t="s">
        <v>2537</v>
      </c>
      <c r="K415" s="2" t="s">
        <v>1855</v>
      </c>
      <c r="L415" s="2" t="s">
        <v>1188</v>
      </c>
      <c r="M415" s="2" t="str">
        <f t="shared" si="9"/>
        <v>10</v>
      </c>
      <c r="N415" s="2" t="s">
        <v>3588</v>
      </c>
      <c r="O415" s="2" t="s">
        <v>4373</v>
      </c>
      <c r="P415" s="2" t="s">
        <v>4375</v>
      </c>
    </row>
    <row r="416" spans="1:16">
      <c r="A416" s="4">
        <v>46244.308888888889</v>
      </c>
      <c r="B416" s="2" t="s">
        <v>3183</v>
      </c>
      <c r="C416" s="2" t="s">
        <v>4216</v>
      </c>
      <c r="D416" s="2" t="s">
        <v>2784</v>
      </c>
      <c r="E416" s="2">
        <v>16</v>
      </c>
      <c r="F416" s="2"/>
      <c r="G416" s="2">
        <v>16</v>
      </c>
      <c r="H416" s="2" t="s">
        <v>1997</v>
      </c>
      <c r="I416" s="2" t="s">
        <v>695</v>
      </c>
      <c r="J416" s="2" t="s">
        <v>2537</v>
      </c>
      <c r="K416" s="2" t="s">
        <v>1855</v>
      </c>
      <c r="L416" s="2" t="s">
        <v>1188</v>
      </c>
      <c r="M416" s="2" t="str">
        <f t="shared" si="9"/>
        <v>10</v>
      </c>
      <c r="N416" s="2" t="s">
        <v>3867</v>
      </c>
      <c r="O416" s="2" t="s">
        <v>4373</v>
      </c>
      <c r="P416" s="2" t="s">
        <v>4375</v>
      </c>
    </row>
    <row r="417" spans="1:16">
      <c r="A417" s="4">
        <v>46244.308692129627</v>
      </c>
      <c r="B417" s="2" t="s">
        <v>1852</v>
      </c>
      <c r="C417" s="2" t="s">
        <v>4216</v>
      </c>
      <c r="D417" s="2" t="s">
        <v>2784</v>
      </c>
      <c r="E417" s="2">
        <v>16</v>
      </c>
      <c r="F417" s="2"/>
      <c r="G417" s="2">
        <v>16</v>
      </c>
      <c r="H417" s="2" t="s">
        <v>1997</v>
      </c>
      <c r="I417" s="2" t="s">
        <v>695</v>
      </c>
      <c r="J417" s="2" t="s">
        <v>2537</v>
      </c>
      <c r="K417" s="2" t="s">
        <v>1855</v>
      </c>
      <c r="L417" s="2" t="s">
        <v>1188</v>
      </c>
      <c r="M417" s="2" t="str">
        <f t="shared" si="9"/>
        <v>10</v>
      </c>
      <c r="N417" s="2" t="s">
        <v>145</v>
      </c>
      <c r="O417" s="2" t="s">
        <v>4373</v>
      </c>
      <c r="P417" s="2" t="s">
        <v>4375</v>
      </c>
    </row>
    <row r="418" spans="1:16">
      <c r="A418" s="4">
        <v>46244.306527777779</v>
      </c>
      <c r="B418" s="2" t="s">
        <v>2871</v>
      </c>
      <c r="C418" s="2" t="s">
        <v>4216</v>
      </c>
      <c r="D418" s="2" t="s">
        <v>2784</v>
      </c>
      <c r="E418" s="2">
        <v>16</v>
      </c>
      <c r="F418" s="2"/>
      <c r="G418" s="2">
        <v>16</v>
      </c>
      <c r="H418" s="2" t="s">
        <v>1997</v>
      </c>
      <c r="I418" s="2" t="s">
        <v>695</v>
      </c>
      <c r="J418" s="2" t="s">
        <v>2537</v>
      </c>
      <c r="K418" s="2" t="s">
        <v>1855</v>
      </c>
      <c r="L418" s="2" t="s">
        <v>1188</v>
      </c>
      <c r="M418" s="2" t="str">
        <f t="shared" si="9"/>
        <v>10</v>
      </c>
      <c r="N418" s="2" t="s">
        <v>2985</v>
      </c>
      <c r="O418" s="2" t="s">
        <v>4373</v>
      </c>
      <c r="P418" s="2" t="s">
        <v>4375</v>
      </c>
    </row>
    <row r="419" spans="1:16">
      <c r="A419" s="4">
        <v>46244.304976851854</v>
      </c>
      <c r="B419" s="2" t="s">
        <v>4337</v>
      </c>
      <c r="C419" s="2" t="s">
        <v>4216</v>
      </c>
      <c r="D419" s="2" t="s">
        <v>2784</v>
      </c>
      <c r="E419" s="2">
        <v>16</v>
      </c>
      <c r="F419" s="2"/>
      <c r="G419" s="2">
        <v>16</v>
      </c>
      <c r="H419" s="2" t="s">
        <v>1997</v>
      </c>
      <c r="I419" s="2" t="s">
        <v>695</v>
      </c>
      <c r="J419" s="2" t="s">
        <v>2537</v>
      </c>
      <c r="K419" s="2" t="s">
        <v>1855</v>
      </c>
      <c r="L419" s="2" t="s">
        <v>1188</v>
      </c>
      <c r="M419" s="2" t="str">
        <f t="shared" si="9"/>
        <v>10</v>
      </c>
      <c r="N419" s="2" t="s">
        <v>2232</v>
      </c>
      <c r="O419" s="2" t="s">
        <v>4373</v>
      </c>
      <c r="P419" s="2" t="s">
        <v>4375</v>
      </c>
    </row>
    <row r="420" spans="1:16">
      <c r="A420" s="4">
        <v>46244.304745370369</v>
      </c>
      <c r="B420" s="2" t="s">
        <v>1633</v>
      </c>
      <c r="C420" s="2" t="s">
        <v>4216</v>
      </c>
      <c r="D420" s="2" t="s">
        <v>2784</v>
      </c>
      <c r="E420" s="2">
        <v>16</v>
      </c>
      <c r="F420" s="2"/>
      <c r="G420" s="2">
        <v>16</v>
      </c>
      <c r="H420" s="2" t="s">
        <v>1997</v>
      </c>
      <c r="I420" s="2" t="s">
        <v>695</v>
      </c>
      <c r="J420" s="2" t="s">
        <v>2537</v>
      </c>
      <c r="K420" s="2" t="s">
        <v>1855</v>
      </c>
      <c r="L420" s="2" t="s">
        <v>1188</v>
      </c>
      <c r="M420" s="2" t="str">
        <f t="shared" si="9"/>
        <v>10</v>
      </c>
      <c r="N420" s="2" t="s">
        <v>1434</v>
      </c>
      <c r="O420" s="2" t="s">
        <v>4373</v>
      </c>
      <c r="P420" s="2" t="s">
        <v>4375</v>
      </c>
    </row>
    <row r="421" spans="1:16">
      <c r="A421" s="4">
        <v>46244.303078703706</v>
      </c>
      <c r="B421" s="2" t="s">
        <v>404</v>
      </c>
      <c r="C421" s="2" t="s">
        <v>4216</v>
      </c>
      <c r="D421" s="2" t="s">
        <v>2784</v>
      </c>
      <c r="E421" s="2">
        <v>16</v>
      </c>
      <c r="F421" s="2"/>
      <c r="G421" s="2">
        <v>16</v>
      </c>
      <c r="H421" s="2" t="s">
        <v>1997</v>
      </c>
      <c r="I421" s="2" t="s">
        <v>695</v>
      </c>
      <c r="J421" s="2" t="s">
        <v>2537</v>
      </c>
      <c r="K421" s="2" t="s">
        <v>1855</v>
      </c>
      <c r="L421" s="2" t="s">
        <v>1188</v>
      </c>
      <c r="M421" s="2" t="str">
        <f t="shared" si="9"/>
        <v>10</v>
      </c>
      <c r="N421" s="2" t="s">
        <v>1889</v>
      </c>
      <c r="O421" s="2" t="s">
        <v>4373</v>
      </c>
      <c r="P421" s="2" t="s">
        <v>4375</v>
      </c>
    </row>
    <row r="422" spans="1:16">
      <c r="A422" s="4">
        <v>46244.302939814814</v>
      </c>
      <c r="B422" s="2" t="s">
        <v>3889</v>
      </c>
      <c r="C422" s="2" t="s">
        <v>4216</v>
      </c>
      <c r="D422" s="2" t="s">
        <v>2784</v>
      </c>
      <c r="E422" s="2">
        <v>16</v>
      </c>
      <c r="F422" s="2"/>
      <c r="G422" s="2">
        <v>16</v>
      </c>
      <c r="H422" s="2" t="s">
        <v>1997</v>
      </c>
      <c r="I422" s="2" t="s">
        <v>695</v>
      </c>
      <c r="J422" s="2" t="s">
        <v>2537</v>
      </c>
      <c r="K422" s="2" t="s">
        <v>1855</v>
      </c>
      <c r="L422" s="2" t="s">
        <v>1188</v>
      </c>
      <c r="M422" s="2" t="str">
        <f t="shared" si="9"/>
        <v>10</v>
      </c>
      <c r="N422" s="2" t="s">
        <v>1372</v>
      </c>
      <c r="O422" s="2" t="s">
        <v>4373</v>
      </c>
      <c r="P422" s="2" t="s">
        <v>4375</v>
      </c>
    </row>
    <row r="423" spans="1:16">
      <c r="A423" s="4">
        <v>46244.302349537036</v>
      </c>
      <c r="B423" s="2" t="s">
        <v>3891</v>
      </c>
      <c r="C423" s="2" t="s">
        <v>4216</v>
      </c>
      <c r="D423" s="2" t="s">
        <v>2784</v>
      </c>
      <c r="E423" s="2">
        <v>16</v>
      </c>
      <c r="F423" s="2"/>
      <c r="G423" s="2">
        <v>16</v>
      </c>
      <c r="H423" s="2" t="s">
        <v>1997</v>
      </c>
      <c r="I423" s="2" t="s">
        <v>695</v>
      </c>
      <c r="J423" s="2" t="s">
        <v>2537</v>
      </c>
      <c r="K423" s="2" t="s">
        <v>1855</v>
      </c>
      <c r="L423" s="2" t="s">
        <v>1188</v>
      </c>
      <c r="M423" s="2" t="str">
        <f t="shared" si="9"/>
        <v>10</v>
      </c>
      <c r="N423" s="2" t="s">
        <v>529</v>
      </c>
      <c r="O423" s="2" t="s">
        <v>4373</v>
      </c>
      <c r="P423" s="2" t="s">
        <v>4375</v>
      </c>
    </row>
    <row r="424" spans="1:16">
      <c r="A424" s="4">
        <v>46244.299837962964</v>
      </c>
      <c r="B424" s="2" t="s">
        <v>1775</v>
      </c>
      <c r="C424" s="2" t="s">
        <v>4216</v>
      </c>
      <c r="D424" s="2" t="s">
        <v>2784</v>
      </c>
      <c r="E424" s="2">
        <v>16</v>
      </c>
      <c r="F424" s="2"/>
      <c r="G424" s="2">
        <v>16</v>
      </c>
      <c r="H424" s="2" t="s">
        <v>1997</v>
      </c>
      <c r="I424" s="2" t="s">
        <v>695</v>
      </c>
      <c r="J424" s="2" t="s">
        <v>2537</v>
      </c>
      <c r="K424" s="2" t="s">
        <v>1855</v>
      </c>
      <c r="L424" s="2" t="s">
        <v>1188</v>
      </c>
      <c r="M424" s="2" t="str">
        <f t="shared" si="9"/>
        <v>10</v>
      </c>
      <c r="N424" s="2" t="s">
        <v>1364</v>
      </c>
      <c r="O424" s="2" t="s">
        <v>4373</v>
      </c>
      <c r="P424" s="2" t="s">
        <v>4375</v>
      </c>
    </row>
    <row r="425" spans="1:16">
      <c r="A425" s="4">
        <v>46244.299687500003</v>
      </c>
      <c r="B425" s="2" t="s">
        <v>2941</v>
      </c>
      <c r="C425" s="2" t="s">
        <v>4216</v>
      </c>
      <c r="D425" s="2" t="s">
        <v>2784</v>
      </c>
      <c r="E425" s="2">
        <v>16</v>
      </c>
      <c r="F425" s="2"/>
      <c r="G425" s="2">
        <v>16</v>
      </c>
      <c r="H425" s="2" t="s">
        <v>1997</v>
      </c>
      <c r="I425" s="2" t="s">
        <v>695</v>
      </c>
      <c r="J425" s="2" t="s">
        <v>2537</v>
      </c>
      <c r="K425" s="2" t="s">
        <v>1855</v>
      </c>
      <c r="L425" s="2" t="s">
        <v>1188</v>
      </c>
      <c r="M425" s="2" t="str">
        <f t="shared" si="9"/>
        <v>10</v>
      </c>
      <c r="N425" s="2" t="s">
        <v>4081</v>
      </c>
      <c r="O425" s="2" t="s">
        <v>4373</v>
      </c>
      <c r="P425" s="2" t="s">
        <v>4375</v>
      </c>
    </row>
    <row r="426" spans="1:16">
      <c r="A426" s="4">
        <v>46244.29959490741</v>
      </c>
      <c r="B426" s="2" t="s">
        <v>4310</v>
      </c>
      <c r="C426" s="2" t="s">
        <v>4216</v>
      </c>
      <c r="D426" s="2" t="s">
        <v>2784</v>
      </c>
      <c r="E426" s="2">
        <v>16</v>
      </c>
      <c r="F426" s="2"/>
      <c r="G426" s="2">
        <v>16</v>
      </c>
      <c r="H426" s="2" t="s">
        <v>1997</v>
      </c>
      <c r="I426" s="2" t="s">
        <v>695</v>
      </c>
      <c r="J426" s="2" t="s">
        <v>2537</v>
      </c>
      <c r="K426" s="2" t="s">
        <v>1855</v>
      </c>
      <c r="L426" s="2" t="s">
        <v>1188</v>
      </c>
      <c r="M426" s="2" t="str">
        <f t="shared" si="9"/>
        <v>10</v>
      </c>
      <c r="N426" s="2" t="s">
        <v>3085</v>
      </c>
      <c r="O426" s="2" t="s">
        <v>4373</v>
      </c>
      <c r="P426" s="2" t="s">
        <v>4375</v>
      </c>
    </row>
    <row r="427" spans="1:16">
      <c r="A427" s="4">
        <v>46248.470613425925</v>
      </c>
      <c r="B427" s="2" t="s">
        <v>3874</v>
      </c>
      <c r="C427" s="2" t="s">
        <v>3127</v>
      </c>
      <c r="D427" s="2" t="s">
        <v>1729</v>
      </c>
      <c r="E427" s="2">
        <v>9</v>
      </c>
      <c r="F427" s="2"/>
      <c r="G427" s="2">
        <v>9</v>
      </c>
      <c r="H427" s="2" t="s">
        <v>2656</v>
      </c>
      <c r="I427" s="2" t="s">
        <v>695</v>
      </c>
      <c r="J427" s="2" t="s">
        <v>2537</v>
      </c>
      <c r="K427" s="2" t="s">
        <v>1855</v>
      </c>
      <c r="L427" s="2" t="s">
        <v>850</v>
      </c>
      <c r="M427" s="2" t="str">
        <f t="shared" si="9"/>
        <v>08</v>
      </c>
      <c r="N427" s="2" t="s">
        <v>2983</v>
      </c>
      <c r="O427" s="2" t="s">
        <v>4373</v>
      </c>
      <c r="P427" s="2" t="s">
        <v>4379</v>
      </c>
    </row>
    <row r="428" spans="1:16">
      <c r="A428" s="4">
        <v>46248.470590277779</v>
      </c>
      <c r="B428" s="2" t="s">
        <v>1387</v>
      </c>
      <c r="C428" s="2" t="s">
        <v>3127</v>
      </c>
      <c r="D428" s="2" t="s">
        <v>1729</v>
      </c>
      <c r="E428" s="2">
        <v>9</v>
      </c>
      <c r="F428" s="2"/>
      <c r="G428" s="2">
        <v>9</v>
      </c>
      <c r="H428" s="2" t="s">
        <v>2656</v>
      </c>
      <c r="I428" s="2" t="s">
        <v>695</v>
      </c>
      <c r="J428" s="2" t="s">
        <v>2537</v>
      </c>
      <c r="K428" s="2" t="s">
        <v>1855</v>
      </c>
      <c r="L428" s="2" t="s">
        <v>850</v>
      </c>
      <c r="M428" s="2" t="str">
        <f t="shared" si="9"/>
        <v>08</v>
      </c>
      <c r="N428" s="2" t="s">
        <v>2869</v>
      </c>
      <c r="O428" s="2" t="s">
        <v>4373</v>
      </c>
      <c r="P428" s="2" t="s">
        <v>4379</v>
      </c>
    </row>
    <row r="429" spans="1:16">
      <c r="A429" s="4">
        <v>46248.470486111109</v>
      </c>
      <c r="B429" s="2" t="s">
        <v>1373</v>
      </c>
      <c r="C429" s="2" t="s">
        <v>3127</v>
      </c>
      <c r="D429" s="2" t="s">
        <v>1729</v>
      </c>
      <c r="E429" s="2">
        <v>9</v>
      </c>
      <c r="F429" s="2"/>
      <c r="G429" s="2">
        <v>9</v>
      </c>
      <c r="H429" s="2" t="s">
        <v>2656</v>
      </c>
      <c r="I429" s="2" t="s">
        <v>695</v>
      </c>
      <c r="J429" s="2" t="s">
        <v>2537</v>
      </c>
      <c r="K429" s="2" t="s">
        <v>1855</v>
      </c>
      <c r="L429" s="2" t="s">
        <v>850</v>
      </c>
      <c r="M429" s="2" t="str">
        <f t="shared" si="9"/>
        <v>08</v>
      </c>
      <c r="N429" s="2" t="s">
        <v>475</v>
      </c>
      <c r="O429" s="2" t="s">
        <v>4373</v>
      </c>
      <c r="P429" s="2" t="s">
        <v>4379</v>
      </c>
    </row>
    <row r="430" spans="1:16">
      <c r="A430" s="4">
        <v>46248.469814814816</v>
      </c>
      <c r="B430" s="2" t="s">
        <v>2820</v>
      </c>
      <c r="C430" s="2" t="s">
        <v>3127</v>
      </c>
      <c r="D430" s="2" t="s">
        <v>1729</v>
      </c>
      <c r="E430" s="2">
        <v>9</v>
      </c>
      <c r="F430" s="2"/>
      <c r="G430" s="2">
        <v>9</v>
      </c>
      <c r="H430" s="2" t="s">
        <v>2656</v>
      </c>
      <c r="I430" s="2" t="s">
        <v>695</v>
      </c>
      <c r="J430" s="2" t="s">
        <v>2537</v>
      </c>
      <c r="K430" s="2" t="s">
        <v>1855</v>
      </c>
      <c r="L430" s="2" t="s">
        <v>850</v>
      </c>
      <c r="M430" s="2" t="str">
        <f t="shared" si="9"/>
        <v>08</v>
      </c>
      <c r="N430" s="2" t="s">
        <v>2826</v>
      </c>
      <c r="O430" s="2" t="s">
        <v>4373</v>
      </c>
      <c r="P430" s="2" t="s">
        <v>4379</v>
      </c>
    </row>
    <row r="431" spans="1:16">
      <c r="A431" s="4">
        <v>46248.469699074078</v>
      </c>
      <c r="B431" s="2" t="s">
        <v>2668</v>
      </c>
      <c r="C431" s="2" t="s">
        <v>3127</v>
      </c>
      <c r="D431" s="2" t="s">
        <v>1729</v>
      </c>
      <c r="E431" s="2">
        <v>9</v>
      </c>
      <c r="F431" s="2"/>
      <c r="G431" s="2">
        <v>9</v>
      </c>
      <c r="H431" s="2" t="s">
        <v>2656</v>
      </c>
      <c r="I431" s="2" t="s">
        <v>695</v>
      </c>
      <c r="J431" s="2" t="s">
        <v>2537</v>
      </c>
      <c r="K431" s="2" t="s">
        <v>1855</v>
      </c>
      <c r="L431" s="2" t="s">
        <v>850</v>
      </c>
      <c r="M431" s="2" t="str">
        <f t="shared" si="9"/>
        <v>08</v>
      </c>
      <c r="N431" s="2" t="s">
        <v>2786</v>
      </c>
      <c r="O431" s="2" t="s">
        <v>4373</v>
      </c>
      <c r="P431" s="2" t="s">
        <v>4379</v>
      </c>
    </row>
    <row r="432" spans="1:16">
      <c r="A432" s="4">
        <v>46248.469351851854</v>
      </c>
      <c r="B432" s="2" t="s">
        <v>460</v>
      </c>
      <c r="C432" s="2" t="s">
        <v>3127</v>
      </c>
      <c r="D432" s="2" t="s">
        <v>1729</v>
      </c>
      <c r="E432" s="2">
        <v>9</v>
      </c>
      <c r="F432" s="2"/>
      <c r="G432" s="2">
        <v>9</v>
      </c>
      <c r="H432" s="2" t="s">
        <v>2656</v>
      </c>
      <c r="I432" s="2" t="s">
        <v>695</v>
      </c>
      <c r="J432" s="2" t="s">
        <v>2537</v>
      </c>
      <c r="K432" s="2" t="s">
        <v>1855</v>
      </c>
      <c r="L432" s="2" t="s">
        <v>850</v>
      </c>
      <c r="M432" s="2" t="str">
        <f t="shared" si="9"/>
        <v>08</v>
      </c>
      <c r="N432" s="2" t="s">
        <v>967</v>
      </c>
      <c r="O432" s="2" t="s">
        <v>4373</v>
      </c>
      <c r="P432" s="2" t="s">
        <v>4379</v>
      </c>
    </row>
    <row r="433" spans="1:16">
      <c r="A433" s="4">
        <v>46248.468668981484</v>
      </c>
      <c r="B433" s="2" t="s">
        <v>1787</v>
      </c>
      <c r="C433" s="2" t="s">
        <v>3127</v>
      </c>
      <c r="D433" s="2" t="s">
        <v>1729</v>
      </c>
      <c r="E433" s="2">
        <v>9</v>
      </c>
      <c r="F433" s="2"/>
      <c r="G433" s="2">
        <v>9</v>
      </c>
      <c r="H433" s="2" t="s">
        <v>2656</v>
      </c>
      <c r="I433" s="2" t="s">
        <v>695</v>
      </c>
      <c r="J433" s="2" t="s">
        <v>2537</v>
      </c>
      <c r="K433" s="2" t="s">
        <v>1855</v>
      </c>
      <c r="L433" s="2" t="s">
        <v>850</v>
      </c>
      <c r="M433" s="2" t="str">
        <f t="shared" si="9"/>
        <v>08</v>
      </c>
      <c r="N433" s="2" t="s">
        <v>2185</v>
      </c>
      <c r="O433" s="2" t="s">
        <v>4373</v>
      </c>
      <c r="P433" s="2" t="s">
        <v>4379</v>
      </c>
    </row>
    <row r="434" spans="1:16">
      <c r="A434" s="4">
        <v>46248.468576388892</v>
      </c>
      <c r="B434" s="2" t="s">
        <v>689</v>
      </c>
      <c r="C434" s="2" t="s">
        <v>3127</v>
      </c>
      <c r="D434" s="2" t="s">
        <v>1729</v>
      </c>
      <c r="E434" s="2">
        <v>9</v>
      </c>
      <c r="F434" s="2"/>
      <c r="G434" s="2">
        <v>9</v>
      </c>
      <c r="H434" s="2" t="s">
        <v>2656</v>
      </c>
      <c r="I434" s="2" t="s">
        <v>695</v>
      </c>
      <c r="J434" s="2" t="s">
        <v>2537</v>
      </c>
      <c r="K434" s="2" t="s">
        <v>1855</v>
      </c>
      <c r="L434" s="2" t="s">
        <v>850</v>
      </c>
      <c r="M434" s="2" t="str">
        <f t="shared" si="9"/>
        <v>08</v>
      </c>
      <c r="N434" s="2" t="s">
        <v>3306</v>
      </c>
      <c r="O434" s="2" t="s">
        <v>4373</v>
      </c>
      <c r="P434" s="2" t="s">
        <v>4379</v>
      </c>
    </row>
    <row r="435" spans="1:16">
      <c r="A435" s="4">
        <v>46248.468321759261</v>
      </c>
      <c r="B435" s="2" t="s">
        <v>2582</v>
      </c>
      <c r="C435" s="2" t="s">
        <v>3127</v>
      </c>
      <c r="D435" s="2" t="s">
        <v>1729</v>
      </c>
      <c r="E435" s="2">
        <v>9</v>
      </c>
      <c r="F435" s="2"/>
      <c r="G435" s="2">
        <v>9</v>
      </c>
      <c r="H435" s="2" t="s">
        <v>2656</v>
      </c>
      <c r="I435" s="2" t="s">
        <v>695</v>
      </c>
      <c r="J435" s="2" t="s">
        <v>2537</v>
      </c>
      <c r="K435" s="2" t="s">
        <v>1855</v>
      </c>
      <c r="L435" s="2" t="s">
        <v>850</v>
      </c>
      <c r="M435" s="2" t="str">
        <f t="shared" si="9"/>
        <v>08</v>
      </c>
      <c r="N435" s="2" t="s">
        <v>4190</v>
      </c>
      <c r="O435" s="2" t="s">
        <v>4373</v>
      </c>
      <c r="P435" s="2" t="s">
        <v>4379</v>
      </c>
    </row>
    <row r="436" spans="1:16">
      <c r="A436" s="4">
        <v>46248.467627314814</v>
      </c>
      <c r="B436" s="2" t="s">
        <v>3847</v>
      </c>
      <c r="C436" s="2" t="s">
        <v>3127</v>
      </c>
      <c r="D436" s="2" t="s">
        <v>1729</v>
      </c>
      <c r="E436" s="2">
        <v>9</v>
      </c>
      <c r="F436" s="2"/>
      <c r="G436" s="2">
        <v>9</v>
      </c>
      <c r="H436" s="2" t="s">
        <v>2656</v>
      </c>
      <c r="I436" s="2" t="s">
        <v>695</v>
      </c>
      <c r="J436" s="2" t="s">
        <v>2537</v>
      </c>
      <c r="K436" s="2" t="s">
        <v>1855</v>
      </c>
      <c r="L436" s="2" t="s">
        <v>850</v>
      </c>
      <c r="M436" s="2" t="str">
        <f t="shared" si="9"/>
        <v>08</v>
      </c>
      <c r="N436" s="2" t="s">
        <v>3146</v>
      </c>
      <c r="O436" s="2" t="s">
        <v>4373</v>
      </c>
      <c r="P436" s="2" t="s">
        <v>4379</v>
      </c>
    </row>
    <row r="437" spans="1:16">
      <c r="A437" s="4">
        <v>46248.467395833337</v>
      </c>
      <c r="B437" s="2" t="s">
        <v>2913</v>
      </c>
      <c r="C437" s="2" t="s">
        <v>3127</v>
      </c>
      <c r="D437" s="2" t="s">
        <v>1729</v>
      </c>
      <c r="E437" s="2">
        <v>9</v>
      </c>
      <c r="F437" s="2"/>
      <c r="G437" s="2">
        <v>9</v>
      </c>
      <c r="H437" s="2" t="s">
        <v>2656</v>
      </c>
      <c r="I437" s="2" t="s">
        <v>695</v>
      </c>
      <c r="J437" s="2" t="s">
        <v>2537</v>
      </c>
      <c r="K437" s="2" t="s">
        <v>1855</v>
      </c>
      <c r="L437" s="2" t="s">
        <v>850</v>
      </c>
      <c r="M437" s="2" t="str">
        <f t="shared" si="9"/>
        <v>08</v>
      </c>
      <c r="N437" s="2" t="s">
        <v>2988</v>
      </c>
      <c r="O437" s="2" t="s">
        <v>4373</v>
      </c>
      <c r="P437" s="2" t="s">
        <v>4379</v>
      </c>
    </row>
    <row r="438" spans="1:16">
      <c r="A438" s="4">
        <v>46248.466874999998</v>
      </c>
      <c r="B438" s="2" t="s">
        <v>3647</v>
      </c>
      <c r="C438" s="2" t="s">
        <v>3127</v>
      </c>
      <c r="D438" s="2" t="s">
        <v>1729</v>
      </c>
      <c r="E438" s="2">
        <v>9</v>
      </c>
      <c r="F438" s="2"/>
      <c r="G438" s="2">
        <v>9</v>
      </c>
      <c r="H438" s="2" t="s">
        <v>2656</v>
      </c>
      <c r="I438" s="2" t="s">
        <v>695</v>
      </c>
      <c r="J438" s="2" t="s">
        <v>2537</v>
      </c>
      <c r="K438" s="2" t="s">
        <v>1855</v>
      </c>
      <c r="L438" s="2" t="s">
        <v>850</v>
      </c>
      <c r="M438" s="2" t="str">
        <f t="shared" si="9"/>
        <v>08</v>
      </c>
      <c r="N438" s="2" t="s">
        <v>1358</v>
      </c>
      <c r="O438" s="2" t="s">
        <v>4373</v>
      </c>
      <c r="P438" s="2" t="s">
        <v>4379</v>
      </c>
    </row>
    <row r="439" spans="1:16">
      <c r="A439" s="4">
        <v>46248.466828703706</v>
      </c>
      <c r="B439" s="2" t="s">
        <v>377</v>
      </c>
      <c r="C439" s="2" t="s">
        <v>3127</v>
      </c>
      <c r="D439" s="2" t="s">
        <v>1729</v>
      </c>
      <c r="E439" s="2">
        <v>9</v>
      </c>
      <c r="F439" s="2"/>
      <c r="G439" s="2">
        <v>9</v>
      </c>
      <c r="H439" s="2" t="s">
        <v>2656</v>
      </c>
      <c r="I439" s="2" t="s">
        <v>695</v>
      </c>
      <c r="J439" s="2" t="s">
        <v>2537</v>
      </c>
      <c r="K439" s="2" t="s">
        <v>1855</v>
      </c>
      <c r="L439" s="2" t="s">
        <v>850</v>
      </c>
      <c r="M439" s="2" t="str">
        <f t="shared" si="9"/>
        <v>08</v>
      </c>
      <c r="N439" s="2" t="s">
        <v>390</v>
      </c>
      <c r="O439" s="2" t="s">
        <v>4373</v>
      </c>
      <c r="P439" s="2" t="s">
        <v>4379</v>
      </c>
    </row>
    <row r="440" spans="1:16">
      <c r="A440" s="4">
        <v>46248.466365740744</v>
      </c>
      <c r="B440" s="2" t="s">
        <v>2746</v>
      </c>
      <c r="C440" s="2" t="s">
        <v>3127</v>
      </c>
      <c r="D440" s="2" t="s">
        <v>1729</v>
      </c>
      <c r="E440" s="2">
        <v>9</v>
      </c>
      <c r="F440" s="2"/>
      <c r="G440" s="2">
        <v>9</v>
      </c>
      <c r="H440" s="2" t="s">
        <v>2656</v>
      </c>
      <c r="I440" s="2" t="s">
        <v>695</v>
      </c>
      <c r="J440" s="2" t="s">
        <v>2537</v>
      </c>
      <c r="K440" s="2" t="s">
        <v>1855</v>
      </c>
      <c r="L440" s="2" t="s">
        <v>850</v>
      </c>
      <c r="M440" s="2" t="str">
        <f t="shared" si="9"/>
        <v>08</v>
      </c>
      <c r="N440" s="2" t="s">
        <v>3527</v>
      </c>
      <c r="O440" s="2" t="s">
        <v>4373</v>
      </c>
      <c r="P440" s="2" t="s">
        <v>4379</v>
      </c>
    </row>
    <row r="441" spans="1:16">
      <c r="A441" s="4">
        <v>46248.466134259259</v>
      </c>
      <c r="B441" s="2" t="s">
        <v>3255</v>
      </c>
      <c r="C441" s="2" t="s">
        <v>3127</v>
      </c>
      <c r="D441" s="2" t="s">
        <v>1729</v>
      </c>
      <c r="E441" s="2">
        <v>9</v>
      </c>
      <c r="F441" s="2"/>
      <c r="G441" s="2">
        <v>9</v>
      </c>
      <c r="H441" s="2" t="s">
        <v>2656</v>
      </c>
      <c r="I441" s="2" t="s">
        <v>695</v>
      </c>
      <c r="J441" s="2" t="s">
        <v>2537</v>
      </c>
      <c r="K441" s="2" t="s">
        <v>1855</v>
      </c>
      <c r="L441" s="2" t="s">
        <v>850</v>
      </c>
      <c r="M441" s="2" t="str">
        <f t="shared" si="9"/>
        <v>08</v>
      </c>
      <c r="N441" s="2" t="s">
        <v>2592</v>
      </c>
      <c r="O441" s="2" t="s">
        <v>4373</v>
      </c>
      <c r="P441" s="2" t="s">
        <v>4379</v>
      </c>
    </row>
    <row r="442" spans="1:16">
      <c r="A442" s="4">
        <v>46248.465567129628</v>
      </c>
      <c r="B442" s="2" t="s">
        <v>3624</v>
      </c>
      <c r="C442" s="2" t="s">
        <v>3127</v>
      </c>
      <c r="D442" s="2" t="s">
        <v>1729</v>
      </c>
      <c r="E442" s="2">
        <v>9</v>
      </c>
      <c r="F442" s="2"/>
      <c r="G442" s="2">
        <v>9</v>
      </c>
      <c r="H442" s="2" t="s">
        <v>2656</v>
      </c>
      <c r="I442" s="2" t="s">
        <v>695</v>
      </c>
      <c r="J442" s="2" t="s">
        <v>2537</v>
      </c>
      <c r="K442" s="2" t="s">
        <v>1855</v>
      </c>
      <c r="L442" s="2" t="s">
        <v>850</v>
      </c>
      <c r="M442" s="2" t="str">
        <f t="shared" si="9"/>
        <v>08</v>
      </c>
      <c r="N442" s="2" t="s">
        <v>1616</v>
      </c>
      <c r="O442" s="2" t="s">
        <v>4373</v>
      </c>
      <c r="P442" s="2" t="s">
        <v>4379</v>
      </c>
    </row>
    <row r="443" spans="1:16">
      <c r="A443" s="4">
        <v>46248.465428240743</v>
      </c>
      <c r="B443" s="2" t="s">
        <v>3756</v>
      </c>
      <c r="C443" s="2" t="s">
        <v>3127</v>
      </c>
      <c r="D443" s="2" t="s">
        <v>1729</v>
      </c>
      <c r="E443" s="2">
        <v>9</v>
      </c>
      <c r="F443" s="2"/>
      <c r="G443" s="2">
        <v>9</v>
      </c>
      <c r="H443" s="2" t="s">
        <v>2656</v>
      </c>
      <c r="I443" s="2" t="s">
        <v>695</v>
      </c>
      <c r="J443" s="2" t="s">
        <v>2537</v>
      </c>
      <c r="K443" s="2" t="s">
        <v>1855</v>
      </c>
      <c r="L443" s="2" t="s">
        <v>850</v>
      </c>
      <c r="M443" s="2" t="str">
        <f t="shared" si="9"/>
        <v>08</v>
      </c>
      <c r="N443" s="2" t="s">
        <v>1868</v>
      </c>
      <c r="O443" s="2" t="s">
        <v>4373</v>
      </c>
      <c r="P443" s="2" t="s">
        <v>4379</v>
      </c>
    </row>
    <row r="444" spans="1:16">
      <c r="A444" s="4">
        <v>46248.464918981481</v>
      </c>
      <c r="B444" s="2" t="s">
        <v>509</v>
      </c>
      <c r="C444" s="2" t="s">
        <v>3127</v>
      </c>
      <c r="D444" s="2" t="s">
        <v>1729</v>
      </c>
      <c r="E444" s="2">
        <v>9</v>
      </c>
      <c r="F444" s="2"/>
      <c r="G444" s="2">
        <v>9</v>
      </c>
      <c r="H444" s="2" t="s">
        <v>2656</v>
      </c>
      <c r="I444" s="2" t="s">
        <v>695</v>
      </c>
      <c r="J444" s="2" t="s">
        <v>2537</v>
      </c>
      <c r="K444" s="2" t="s">
        <v>1855</v>
      </c>
      <c r="L444" s="2" t="s">
        <v>850</v>
      </c>
      <c r="M444" s="2" t="str">
        <f t="shared" si="9"/>
        <v>08</v>
      </c>
      <c r="N444" s="2" t="s">
        <v>1086</v>
      </c>
      <c r="O444" s="2" t="s">
        <v>4373</v>
      </c>
      <c r="P444" s="2" t="s">
        <v>4379</v>
      </c>
    </row>
    <row r="445" spans="1:16">
      <c r="A445" s="4">
        <v>46248.464745370373</v>
      </c>
      <c r="B445" s="2" t="s">
        <v>4168</v>
      </c>
      <c r="C445" s="2" t="s">
        <v>3127</v>
      </c>
      <c r="D445" s="2" t="s">
        <v>1729</v>
      </c>
      <c r="E445" s="2">
        <v>9</v>
      </c>
      <c r="F445" s="2"/>
      <c r="G445" s="2">
        <v>9</v>
      </c>
      <c r="H445" s="2" t="s">
        <v>2656</v>
      </c>
      <c r="I445" s="2" t="s">
        <v>695</v>
      </c>
      <c r="J445" s="2" t="s">
        <v>2537</v>
      </c>
      <c r="K445" s="2" t="s">
        <v>1855</v>
      </c>
      <c r="L445" s="2" t="s">
        <v>850</v>
      </c>
      <c r="M445" s="2" t="str">
        <f t="shared" si="9"/>
        <v>08</v>
      </c>
      <c r="N445" s="2" t="s">
        <v>4066</v>
      </c>
      <c r="O445" s="2" t="s">
        <v>4373</v>
      </c>
      <c r="P445" s="2" t="s">
        <v>4379</v>
      </c>
    </row>
    <row r="446" spans="1:16">
      <c r="A446" s="4">
        <v>46248.46471064815</v>
      </c>
      <c r="B446" s="2" t="s">
        <v>3445</v>
      </c>
      <c r="C446" s="2" t="s">
        <v>3127</v>
      </c>
      <c r="D446" s="2" t="s">
        <v>1729</v>
      </c>
      <c r="E446" s="2">
        <v>9</v>
      </c>
      <c r="F446" s="2"/>
      <c r="G446" s="2">
        <v>9</v>
      </c>
      <c r="H446" s="2" t="s">
        <v>2656</v>
      </c>
      <c r="I446" s="2" t="s">
        <v>695</v>
      </c>
      <c r="J446" s="2" t="s">
        <v>2537</v>
      </c>
      <c r="K446" s="2" t="s">
        <v>1855</v>
      </c>
      <c r="L446" s="2" t="s">
        <v>850</v>
      </c>
      <c r="M446" s="2" t="str">
        <f t="shared" si="9"/>
        <v>08</v>
      </c>
      <c r="N446" s="2" t="s">
        <v>1158</v>
      </c>
      <c r="O446" s="2" t="s">
        <v>4373</v>
      </c>
      <c r="P446" s="2" t="s">
        <v>4379</v>
      </c>
    </row>
    <row r="447" spans="1:16">
      <c r="A447" s="4">
        <v>46248.463819444441</v>
      </c>
      <c r="B447" s="2" t="s">
        <v>2156</v>
      </c>
      <c r="C447" s="2" t="s">
        <v>3127</v>
      </c>
      <c r="D447" s="2" t="s">
        <v>1729</v>
      </c>
      <c r="E447" s="2">
        <v>9</v>
      </c>
      <c r="F447" s="2"/>
      <c r="G447" s="2">
        <v>9</v>
      </c>
      <c r="H447" s="2" t="s">
        <v>2656</v>
      </c>
      <c r="I447" s="2" t="s">
        <v>695</v>
      </c>
      <c r="J447" s="2" t="s">
        <v>2537</v>
      </c>
      <c r="K447" s="2" t="s">
        <v>1855</v>
      </c>
      <c r="L447" s="2" t="s">
        <v>850</v>
      </c>
      <c r="M447" s="2" t="str">
        <f t="shared" si="9"/>
        <v>08</v>
      </c>
      <c r="N447" s="2" t="s">
        <v>2497</v>
      </c>
      <c r="O447" s="2" t="s">
        <v>4373</v>
      </c>
      <c r="P447" s="2" t="s">
        <v>4379</v>
      </c>
    </row>
    <row r="448" spans="1:16">
      <c r="A448" s="4">
        <v>46248.463750000003</v>
      </c>
      <c r="B448" s="2" t="s">
        <v>836</v>
      </c>
      <c r="C448" s="2" t="s">
        <v>3127</v>
      </c>
      <c r="D448" s="2" t="s">
        <v>1729</v>
      </c>
      <c r="E448" s="2">
        <v>9</v>
      </c>
      <c r="F448" s="2"/>
      <c r="G448" s="2">
        <v>9</v>
      </c>
      <c r="H448" s="2" t="s">
        <v>2656</v>
      </c>
      <c r="I448" s="2" t="s">
        <v>695</v>
      </c>
      <c r="J448" s="2" t="s">
        <v>2537</v>
      </c>
      <c r="K448" s="2" t="s">
        <v>1855</v>
      </c>
      <c r="L448" s="2" t="s">
        <v>850</v>
      </c>
      <c r="M448" s="2" t="str">
        <f t="shared" si="9"/>
        <v>08</v>
      </c>
      <c r="N448" s="2" t="s">
        <v>3976</v>
      </c>
      <c r="O448" s="2" t="s">
        <v>4373</v>
      </c>
      <c r="P448" s="2" t="s">
        <v>4379</v>
      </c>
    </row>
    <row r="449" spans="1:16">
      <c r="A449" s="4">
        <v>46248.463067129633</v>
      </c>
      <c r="B449" s="2" t="s">
        <v>2474</v>
      </c>
      <c r="C449" s="2" t="s">
        <v>3127</v>
      </c>
      <c r="D449" s="2" t="s">
        <v>1729</v>
      </c>
      <c r="E449" s="2">
        <v>9</v>
      </c>
      <c r="F449" s="2"/>
      <c r="G449" s="2">
        <v>9</v>
      </c>
      <c r="H449" s="2" t="s">
        <v>2656</v>
      </c>
      <c r="I449" s="2" t="s">
        <v>695</v>
      </c>
      <c r="J449" s="2" t="s">
        <v>2537</v>
      </c>
      <c r="K449" s="2" t="s">
        <v>1855</v>
      </c>
      <c r="L449" s="2" t="s">
        <v>850</v>
      </c>
      <c r="M449" s="2" t="str">
        <f t="shared" si="9"/>
        <v>08</v>
      </c>
      <c r="N449" s="2" t="s">
        <v>855</v>
      </c>
      <c r="O449" s="2" t="s">
        <v>4373</v>
      </c>
      <c r="P449" s="2" t="s">
        <v>4379</v>
      </c>
    </row>
    <row r="450" spans="1:16">
      <c r="A450" s="4">
        <v>46248.46303240741</v>
      </c>
      <c r="B450" s="2" t="s">
        <v>1241</v>
      </c>
      <c r="C450" s="2" t="s">
        <v>3127</v>
      </c>
      <c r="D450" s="2" t="s">
        <v>1729</v>
      </c>
      <c r="E450" s="2">
        <v>9</v>
      </c>
      <c r="F450" s="2"/>
      <c r="G450" s="2">
        <v>9</v>
      </c>
      <c r="H450" s="2" t="s">
        <v>2656</v>
      </c>
      <c r="I450" s="2" t="s">
        <v>695</v>
      </c>
      <c r="J450" s="2" t="s">
        <v>2537</v>
      </c>
      <c r="K450" s="2" t="s">
        <v>1855</v>
      </c>
      <c r="L450" s="2" t="s">
        <v>850</v>
      </c>
      <c r="M450" s="2" t="str">
        <f t="shared" ref="M450:M513" si="10">RIGHT(L450,2)</f>
        <v>08</v>
      </c>
      <c r="N450" s="2" t="s">
        <v>2615</v>
      </c>
      <c r="O450" s="2" t="s">
        <v>4373</v>
      </c>
      <c r="P450" s="2" t="s">
        <v>4379</v>
      </c>
    </row>
    <row r="451" spans="1:16">
      <c r="A451" s="4">
        <v>46248.462650462963</v>
      </c>
      <c r="B451" s="2" t="s">
        <v>1335</v>
      </c>
      <c r="C451" s="2" t="s">
        <v>3127</v>
      </c>
      <c r="D451" s="2" t="s">
        <v>1729</v>
      </c>
      <c r="E451" s="2">
        <v>9</v>
      </c>
      <c r="F451" s="2"/>
      <c r="G451" s="2">
        <v>9</v>
      </c>
      <c r="H451" s="2" t="s">
        <v>2656</v>
      </c>
      <c r="I451" s="2" t="s">
        <v>695</v>
      </c>
      <c r="J451" s="2" t="s">
        <v>2537</v>
      </c>
      <c r="K451" s="2" t="s">
        <v>1855</v>
      </c>
      <c r="L451" s="2" t="s">
        <v>850</v>
      </c>
      <c r="M451" s="2" t="str">
        <f t="shared" si="10"/>
        <v>08</v>
      </c>
      <c r="N451" s="2" t="s">
        <v>2629</v>
      </c>
      <c r="O451" s="2" t="s">
        <v>4373</v>
      </c>
      <c r="P451" s="2" t="s">
        <v>4379</v>
      </c>
    </row>
    <row r="452" spans="1:16">
      <c r="A452" s="4">
        <v>46248.462627314817</v>
      </c>
      <c r="B452" s="2" t="s">
        <v>1559</v>
      </c>
      <c r="C452" s="2" t="s">
        <v>3127</v>
      </c>
      <c r="D452" s="2" t="s">
        <v>1729</v>
      </c>
      <c r="E452" s="2">
        <v>9</v>
      </c>
      <c r="F452" s="2"/>
      <c r="G452" s="2">
        <v>9</v>
      </c>
      <c r="H452" s="2" t="s">
        <v>2656</v>
      </c>
      <c r="I452" s="2" t="s">
        <v>695</v>
      </c>
      <c r="J452" s="2" t="s">
        <v>2537</v>
      </c>
      <c r="K452" s="2" t="s">
        <v>1855</v>
      </c>
      <c r="L452" s="2" t="s">
        <v>850</v>
      </c>
      <c r="M452" s="2" t="str">
        <f t="shared" si="10"/>
        <v>08</v>
      </c>
      <c r="N452" s="2" t="s">
        <v>3413</v>
      </c>
      <c r="O452" s="2" t="s">
        <v>4373</v>
      </c>
      <c r="P452" s="2" t="s">
        <v>4379</v>
      </c>
    </row>
    <row r="453" spans="1:16">
      <c r="A453" s="4">
        <v>46246.438136574077</v>
      </c>
      <c r="B453" s="2" t="s">
        <v>3958</v>
      </c>
      <c r="C453" s="2" t="s">
        <v>3127</v>
      </c>
      <c r="D453" s="2" t="s">
        <v>1729</v>
      </c>
      <c r="E453" s="2">
        <v>9</v>
      </c>
      <c r="F453" s="2"/>
      <c r="G453" s="2">
        <v>9</v>
      </c>
      <c r="H453" s="2" t="s">
        <v>2656</v>
      </c>
      <c r="I453" s="2" t="s">
        <v>695</v>
      </c>
      <c r="J453" s="2" t="s">
        <v>2537</v>
      </c>
      <c r="K453" s="2" t="s">
        <v>1855</v>
      </c>
      <c r="L453" s="2" t="s">
        <v>4344</v>
      </c>
      <c r="M453" s="2" t="str">
        <f t="shared" si="10"/>
        <v>06</v>
      </c>
      <c r="N453" s="2" t="s">
        <v>3776</v>
      </c>
      <c r="O453" s="2" t="s">
        <v>4373</v>
      </c>
      <c r="P453" s="2" t="s">
        <v>4381</v>
      </c>
    </row>
    <row r="454" spans="1:16">
      <c r="A454" s="4">
        <v>46245.912048611113</v>
      </c>
      <c r="B454" s="2" t="s">
        <v>2969</v>
      </c>
      <c r="C454" s="2" t="s">
        <v>3127</v>
      </c>
      <c r="D454" s="2" t="s">
        <v>1729</v>
      </c>
      <c r="E454" s="2">
        <v>9</v>
      </c>
      <c r="F454" s="2"/>
      <c r="G454" s="2">
        <v>9</v>
      </c>
      <c r="H454" s="2" t="s">
        <v>2656</v>
      </c>
      <c r="I454" s="2" t="s">
        <v>695</v>
      </c>
      <c r="J454" s="2" t="s">
        <v>2537</v>
      </c>
      <c r="K454" s="2" t="s">
        <v>1855</v>
      </c>
      <c r="L454" s="2" t="s">
        <v>1188</v>
      </c>
      <c r="M454" s="2" t="str">
        <f t="shared" si="10"/>
        <v>10</v>
      </c>
      <c r="N454" s="2" t="s">
        <v>1334</v>
      </c>
      <c r="O454" s="2" t="s">
        <v>4373</v>
      </c>
      <c r="P454" s="2" t="s">
        <v>4382</v>
      </c>
    </row>
    <row r="455" spans="1:16">
      <c r="A455" s="4">
        <v>46245.912002314813</v>
      </c>
      <c r="B455" s="2" t="s">
        <v>2315</v>
      </c>
      <c r="C455" s="2" t="s">
        <v>3127</v>
      </c>
      <c r="D455" s="2" t="s">
        <v>1729</v>
      </c>
      <c r="E455" s="2">
        <v>9</v>
      </c>
      <c r="F455" s="2"/>
      <c r="G455" s="2">
        <v>9</v>
      </c>
      <c r="H455" s="2" t="s">
        <v>2656</v>
      </c>
      <c r="I455" s="2" t="s">
        <v>695</v>
      </c>
      <c r="J455" s="2" t="s">
        <v>2537</v>
      </c>
      <c r="K455" s="2" t="s">
        <v>1855</v>
      </c>
      <c r="L455" s="2" t="s">
        <v>1188</v>
      </c>
      <c r="M455" s="2" t="str">
        <f t="shared" si="10"/>
        <v>10</v>
      </c>
      <c r="N455" s="2" t="s">
        <v>3619</v>
      </c>
      <c r="O455" s="2" t="s">
        <v>4373</v>
      </c>
      <c r="P455" s="2" t="s">
        <v>4382</v>
      </c>
    </row>
    <row r="456" spans="1:16">
      <c r="A456" s="4">
        <v>46245.911620370367</v>
      </c>
      <c r="B456" s="2" t="s">
        <v>2799</v>
      </c>
      <c r="C456" s="2" t="s">
        <v>3127</v>
      </c>
      <c r="D456" s="2" t="s">
        <v>1729</v>
      </c>
      <c r="E456" s="2">
        <v>9</v>
      </c>
      <c r="F456" s="2"/>
      <c r="G456" s="2">
        <v>9</v>
      </c>
      <c r="H456" s="2" t="s">
        <v>2656</v>
      </c>
      <c r="I456" s="2" t="s">
        <v>695</v>
      </c>
      <c r="J456" s="2" t="s">
        <v>2537</v>
      </c>
      <c r="K456" s="2" t="s">
        <v>1855</v>
      </c>
      <c r="L456" s="2" t="s">
        <v>1188</v>
      </c>
      <c r="M456" s="2" t="str">
        <f t="shared" si="10"/>
        <v>10</v>
      </c>
      <c r="N456" s="2" t="s">
        <v>567</v>
      </c>
      <c r="O456" s="2" t="s">
        <v>4373</v>
      </c>
      <c r="P456" s="2" t="s">
        <v>4382</v>
      </c>
    </row>
    <row r="457" spans="1:16">
      <c r="A457" s="4">
        <v>46245.911608796298</v>
      </c>
      <c r="B457" s="2" t="s">
        <v>3487</v>
      </c>
      <c r="C457" s="2" t="s">
        <v>3127</v>
      </c>
      <c r="D457" s="2" t="s">
        <v>1729</v>
      </c>
      <c r="E457" s="2">
        <v>9</v>
      </c>
      <c r="F457" s="2"/>
      <c r="G457" s="2">
        <v>9</v>
      </c>
      <c r="H457" s="2" t="s">
        <v>2656</v>
      </c>
      <c r="I457" s="2" t="s">
        <v>695</v>
      </c>
      <c r="J457" s="2" t="s">
        <v>2537</v>
      </c>
      <c r="K457" s="2" t="s">
        <v>1855</v>
      </c>
      <c r="L457" s="2" t="s">
        <v>1188</v>
      </c>
      <c r="M457" s="2" t="str">
        <f t="shared" si="10"/>
        <v>10</v>
      </c>
      <c r="N457" s="2" t="s">
        <v>2250</v>
      </c>
      <c r="O457" s="2" t="s">
        <v>4373</v>
      </c>
      <c r="P457" s="2" t="s">
        <v>4382</v>
      </c>
    </row>
    <row r="458" spans="1:16">
      <c r="A458" s="4">
        <v>46245.911504629628</v>
      </c>
      <c r="B458" s="2" t="s">
        <v>631</v>
      </c>
      <c r="C458" s="2" t="s">
        <v>3127</v>
      </c>
      <c r="D458" s="2" t="s">
        <v>1729</v>
      </c>
      <c r="E458" s="2">
        <v>9</v>
      </c>
      <c r="F458" s="2"/>
      <c r="G458" s="2">
        <v>9</v>
      </c>
      <c r="H458" s="2" t="s">
        <v>2656</v>
      </c>
      <c r="I458" s="2" t="s">
        <v>695</v>
      </c>
      <c r="J458" s="2" t="s">
        <v>2537</v>
      </c>
      <c r="K458" s="2" t="s">
        <v>1855</v>
      </c>
      <c r="L458" s="2" t="s">
        <v>1188</v>
      </c>
      <c r="M458" s="2" t="str">
        <f t="shared" si="10"/>
        <v>10</v>
      </c>
      <c r="N458" s="2" t="s">
        <v>3054</v>
      </c>
      <c r="O458" s="2" t="s">
        <v>4373</v>
      </c>
      <c r="P458" s="2" t="s">
        <v>4382</v>
      </c>
    </row>
    <row r="459" spans="1:16">
      <c r="A459" s="4">
        <v>46245.91034722222</v>
      </c>
      <c r="B459" s="2" t="s">
        <v>344</v>
      </c>
      <c r="C459" s="2" t="s">
        <v>3127</v>
      </c>
      <c r="D459" s="2" t="s">
        <v>1729</v>
      </c>
      <c r="E459" s="2">
        <v>9</v>
      </c>
      <c r="F459" s="2"/>
      <c r="G459" s="2">
        <v>9</v>
      </c>
      <c r="H459" s="2" t="s">
        <v>2656</v>
      </c>
      <c r="I459" s="2" t="s">
        <v>695</v>
      </c>
      <c r="J459" s="2" t="s">
        <v>2537</v>
      </c>
      <c r="K459" s="2" t="s">
        <v>1855</v>
      </c>
      <c r="L459" s="2" t="s">
        <v>1188</v>
      </c>
      <c r="M459" s="2" t="str">
        <f t="shared" si="10"/>
        <v>10</v>
      </c>
      <c r="N459" s="2" t="s">
        <v>913</v>
      </c>
      <c r="O459" s="2" t="s">
        <v>4373</v>
      </c>
      <c r="P459" s="2" t="s">
        <v>4382</v>
      </c>
    </row>
    <row r="460" spans="1:16">
      <c r="A460" s="4">
        <v>46245.910254629627</v>
      </c>
      <c r="B460" s="2" t="s">
        <v>1757</v>
      </c>
      <c r="C460" s="2" t="s">
        <v>3127</v>
      </c>
      <c r="D460" s="2" t="s">
        <v>1729</v>
      </c>
      <c r="E460" s="2">
        <v>9</v>
      </c>
      <c r="F460" s="2"/>
      <c r="G460" s="2">
        <v>9</v>
      </c>
      <c r="H460" s="2" t="s">
        <v>2656</v>
      </c>
      <c r="I460" s="2" t="s">
        <v>695</v>
      </c>
      <c r="J460" s="2" t="s">
        <v>2537</v>
      </c>
      <c r="K460" s="2" t="s">
        <v>1855</v>
      </c>
      <c r="L460" s="2" t="s">
        <v>1188</v>
      </c>
      <c r="M460" s="2" t="str">
        <f t="shared" si="10"/>
        <v>10</v>
      </c>
      <c r="N460" s="2" t="s">
        <v>2221</v>
      </c>
      <c r="O460" s="2" t="s">
        <v>4373</v>
      </c>
      <c r="P460" s="2" t="s">
        <v>4382</v>
      </c>
    </row>
    <row r="461" spans="1:16">
      <c r="A461" s="4">
        <v>46245.910185185188</v>
      </c>
      <c r="B461" s="2" t="s">
        <v>2521</v>
      </c>
      <c r="C461" s="2" t="s">
        <v>3127</v>
      </c>
      <c r="D461" s="2" t="s">
        <v>1729</v>
      </c>
      <c r="E461" s="2">
        <v>9</v>
      </c>
      <c r="F461" s="2"/>
      <c r="G461" s="2">
        <v>9</v>
      </c>
      <c r="H461" s="2" t="s">
        <v>2656</v>
      </c>
      <c r="I461" s="2" t="s">
        <v>695</v>
      </c>
      <c r="J461" s="2" t="s">
        <v>2537</v>
      </c>
      <c r="K461" s="2" t="s">
        <v>1855</v>
      </c>
      <c r="L461" s="2" t="s">
        <v>1188</v>
      </c>
      <c r="M461" s="2" t="str">
        <f t="shared" si="10"/>
        <v>10</v>
      </c>
      <c r="N461" s="2" t="s">
        <v>4324</v>
      </c>
      <c r="O461" s="2" t="s">
        <v>4373</v>
      </c>
      <c r="P461" s="2" t="s">
        <v>4382</v>
      </c>
    </row>
    <row r="462" spans="1:16">
      <c r="A462" s="4">
        <v>46245.909988425927</v>
      </c>
      <c r="B462" s="2" t="s">
        <v>362</v>
      </c>
      <c r="C462" s="2" t="s">
        <v>3127</v>
      </c>
      <c r="D462" s="2" t="s">
        <v>1729</v>
      </c>
      <c r="E462" s="2">
        <v>9</v>
      </c>
      <c r="F462" s="2"/>
      <c r="G462" s="2">
        <v>9</v>
      </c>
      <c r="H462" s="2" t="s">
        <v>2656</v>
      </c>
      <c r="I462" s="2" t="s">
        <v>695</v>
      </c>
      <c r="J462" s="2" t="s">
        <v>2537</v>
      </c>
      <c r="K462" s="2" t="s">
        <v>1855</v>
      </c>
      <c r="L462" s="2" t="s">
        <v>1188</v>
      </c>
      <c r="M462" s="2" t="str">
        <f t="shared" si="10"/>
        <v>10</v>
      </c>
      <c r="N462" s="2" t="s">
        <v>288</v>
      </c>
      <c r="O462" s="2" t="s">
        <v>4373</v>
      </c>
      <c r="P462" s="2" t="s">
        <v>4382</v>
      </c>
    </row>
    <row r="463" spans="1:16">
      <c r="A463" s="4">
        <v>46245.909467592595</v>
      </c>
      <c r="B463" s="2" t="s">
        <v>3615</v>
      </c>
      <c r="C463" s="2" t="s">
        <v>3127</v>
      </c>
      <c r="D463" s="2" t="s">
        <v>1729</v>
      </c>
      <c r="E463" s="2">
        <v>9</v>
      </c>
      <c r="F463" s="2"/>
      <c r="G463" s="2">
        <v>9</v>
      </c>
      <c r="H463" s="2" t="s">
        <v>2656</v>
      </c>
      <c r="I463" s="2" t="s">
        <v>695</v>
      </c>
      <c r="J463" s="2" t="s">
        <v>2537</v>
      </c>
      <c r="K463" s="2" t="s">
        <v>1855</v>
      </c>
      <c r="L463" s="2" t="s">
        <v>1188</v>
      </c>
      <c r="M463" s="2" t="str">
        <f t="shared" si="10"/>
        <v>10</v>
      </c>
      <c r="N463" s="2" t="s">
        <v>3792</v>
      </c>
      <c r="O463" s="2" t="s">
        <v>4373</v>
      </c>
      <c r="P463" s="2" t="s">
        <v>4382</v>
      </c>
    </row>
    <row r="464" spans="1:16">
      <c r="A464" s="4">
        <v>46245.909212962964</v>
      </c>
      <c r="B464" s="2" t="s">
        <v>2741</v>
      </c>
      <c r="C464" s="2" t="s">
        <v>3127</v>
      </c>
      <c r="D464" s="2" t="s">
        <v>1729</v>
      </c>
      <c r="E464" s="2">
        <v>9</v>
      </c>
      <c r="F464" s="2"/>
      <c r="G464" s="2">
        <v>9</v>
      </c>
      <c r="H464" s="2" t="s">
        <v>2656</v>
      </c>
      <c r="I464" s="2" t="s">
        <v>695</v>
      </c>
      <c r="J464" s="2" t="s">
        <v>2537</v>
      </c>
      <c r="K464" s="2" t="s">
        <v>1855</v>
      </c>
      <c r="L464" s="2" t="s">
        <v>1188</v>
      </c>
      <c r="M464" s="2" t="str">
        <f t="shared" si="10"/>
        <v>10</v>
      </c>
      <c r="N464" s="2" t="s">
        <v>1452</v>
      </c>
      <c r="O464" s="2" t="s">
        <v>4373</v>
      </c>
      <c r="P464" s="2" t="s">
        <v>4382</v>
      </c>
    </row>
    <row r="465" spans="1:16">
      <c r="A465" s="4">
        <v>46245.907141203701</v>
      </c>
      <c r="B465" s="2" t="s">
        <v>4078</v>
      </c>
      <c r="C465" s="2" t="s">
        <v>3127</v>
      </c>
      <c r="D465" s="2" t="s">
        <v>1729</v>
      </c>
      <c r="E465" s="2">
        <v>9</v>
      </c>
      <c r="F465" s="2"/>
      <c r="G465" s="2">
        <v>9</v>
      </c>
      <c r="H465" s="2" t="s">
        <v>2656</v>
      </c>
      <c r="I465" s="2" t="s">
        <v>695</v>
      </c>
      <c r="J465" s="2" t="s">
        <v>2537</v>
      </c>
      <c r="K465" s="2" t="s">
        <v>1855</v>
      </c>
      <c r="L465" s="2" t="s">
        <v>1188</v>
      </c>
      <c r="M465" s="2" t="str">
        <f t="shared" si="10"/>
        <v>10</v>
      </c>
      <c r="N465" s="2" t="s">
        <v>748</v>
      </c>
      <c r="O465" s="2" t="s">
        <v>4373</v>
      </c>
      <c r="P465" s="2" t="s">
        <v>4382</v>
      </c>
    </row>
    <row r="466" spans="1:16">
      <c r="A466" s="4">
        <v>46245.907025462962</v>
      </c>
      <c r="B466" s="2" t="s">
        <v>3143</v>
      </c>
      <c r="C466" s="2" t="s">
        <v>3127</v>
      </c>
      <c r="D466" s="2" t="s">
        <v>1729</v>
      </c>
      <c r="E466" s="2">
        <v>9</v>
      </c>
      <c r="F466" s="2"/>
      <c r="G466" s="2">
        <v>9</v>
      </c>
      <c r="H466" s="2" t="s">
        <v>2656</v>
      </c>
      <c r="I466" s="2" t="s">
        <v>695</v>
      </c>
      <c r="J466" s="2" t="s">
        <v>2537</v>
      </c>
      <c r="K466" s="2" t="s">
        <v>1855</v>
      </c>
      <c r="L466" s="2" t="s">
        <v>1188</v>
      </c>
      <c r="M466" s="2" t="str">
        <f t="shared" si="10"/>
        <v>10</v>
      </c>
      <c r="N466" s="2" t="s">
        <v>1271</v>
      </c>
      <c r="O466" s="2" t="s">
        <v>4373</v>
      </c>
      <c r="P466" s="2" t="s">
        <v>4382</v>
      </c>
    </row>
    <row r="467" spans="1:16">
      <c r="A467" s="4">
        <v>46245.906782407408</v>
      </c>
      <c r="B467" s="2" t="s">
        <v>4099</v>
      </c>
      <c r="C467" s="2" t="s">
        <v>3127</v>
      </c>
      <c r="D467" s="2" t="s">
        <v>1729</v>
      </c>
      <c r="E467" s="2">
        <v>9</v>
      </c>
      <c r="F467" s="2"/>
      <c r="G467" s="2">
        <v>9</v>
      </c>
      <c r="H467" s="2" t="s">
        <v>2656</v>
      </c>
      <c r="I467" s="2" t="s">
        <v>695</v>
      </c>
      <c r="J467" s="2" t="s">
        <v>2537</v>
      </c>
      <c r="K467" s="2" t="s">
        <v>1855</v>
      </c>
      <c r="L467" s="2" t="s">
        <v>1188</v>
      </c>
      <c r="M467" s="2" t="str">
        <f t="shared" si="10"/>
        <v>10</v>
      </c>
      <c r="N467" s="2" t="s">
        <v>962</v>
      </c>
      <c r="O467" s="2" t="s">
        <v>4373</v>
      </c>
      <c r="P467" s="2" t="s">
        <v>4382</v>
      </c>
    </row>
    <row r="468" spans="1:16">
      <c r="A468" s="4">
        <v>46245.902337962965</v>
      </c>
      <c r="B468" s="2" t="s">
        <v>782</v>
      </c>
      <c r="C468" s="2" t="s">
        <v>3127</v>
      </c>
      <c r="D468" s="2" t="s">
        <v>1729</v>
      </c>
      <c r="E468" s="2">
        <v>9</v>
      </c>
      <c r="F468" s="2"/>
      <c r="G468" s="2">
        <v>9</v>
      </c>
      <c r="H468" s="2" t="s">
        <v>2656</v>
      </c>
      <c r="I468" s="2" t="s">
        <v>695</v>
      </c>
      <c r="J468" s="2" t="s">
        <v>2537</v>
      </c>
      <c r="K468" s="2" t="s">
        <v>1855</v>
      </c>
      <c r="L468" s="2" t="s">
        <v>1188</v>
      </c>
      <c r="M468" s="2" t="str">
        <f t="shared" si="10"/>
        <v>10</v>
      </c>
      <c r="N468" s="2" t="s">
        <v>3027</v>
      </c>
      <c r="O468" s="2" t="s">
        <v>4373</v>
      </c>
      <c r="P468" s="2" t="s">
        <v>4382</v>
      </c>
    </row>
    <row r="469" spans="1:16">
      <c r="A469" s="4">
        <v>46245.902291666665</v>
      </c>
      <c r="B469" s="2" t="s">
        <v>829</v>
      </c>
      <c r="C469" s="2" t="s">
        <v>3127</v>
      </c>
      <c r="D469" s="2" t="s">
        <v>1729</v>
      </c>
      <c r="E469" s="2">
        <v>9</v>
      </c>
      <c r="F469" s="2"/>
      <c r="G469" s="2">
        <v>9</v>
      </c>
      <c r="H469" s="2" t="s">
        <v>2656</v>
      </c>
      <c r="I469" s="2" t="s">
        <v>695</v>
      </c>
      <c r="J469" s="2" t="s">
        <v>2537</v>
      </c>
      <c r="K469" s="2" t="s">
        <v>1855</v>
      </c>
      <c r="L469" s="2" t="s">
        <v>1188</v>
      </c>
      <c r="M469" s="2" t="str">
        <f t="shared" si="10"/>
        <v>10</v>
      </c>
      <c r="N469" s="2" t="s">
        <v>3884</v>
      </c>
      <c r="O469" s="2" t="s">
        <v>4373</v>
      </c>
      <c r="P469" s="2" t="s">
        <v>4382</v>
      </c>
    </row>
    <row r="470" spans="1:16">
      <c r="A470" s="4">
        <v>46245.902268518519</v>
      </c>
      <c r="B470" s="2" t="s">
        <v>1517</v>
      </c>
      <c r="C470" s="2" t="s">
        <v>3127</v>
      </c>
      <c r="D470" s="2" t="s">
        <v>1729</v>
      </c>
      <c r="E470" s="2">
        <v>9</v>
      </c>
      <c r="F470" s="2"/>
      <c r="G470" s="2">
        <v>9</v>
      </c>
      <c r="H470" s="2" t="s">
        <v>2656</v>
      </c>
      <c r="I470" s="2" t="s">
        <v>695</v>
      </c>
      <c r="J470" s="2" t="s">
        <v>2537</v>
      </c>
      <c r="K470" s="2" t="s">
        <v>1855</v>
      </c>
      <c r="L470" s="2" t="s">
        <v>1188</v>
      </c>
      <c r="M470" s="2" t="str">
        <f t="shared" si="10"/>
        <v>10</v>
      </c>
      <c r="N470" s="2" t="s">
        <v>3379</v>
      </c>
      <c r="O470" s="2" t="s">
        <v>4373</v>
      </c>
      <c r="P470" s="2" t="s">
        <v>4382</v>
      </c>
    </row>
    <row r="471" spans="1:16">
      <c r="A471" s="4">
        <v>46245.901712962965</v>
      </c>
      <c r="B471" s="2" t="s">
        <v>3725</v>
      </c>
      <c r="C471" s="2" t="s">
        <v>3127</v>
      </c>
      <c r="D471" s="2" t="s">
        <v>1729</v>
      </c>
      <c r="E471" s="2">
        <v>9</v>
      </c>
      <c r="F471" s="2"/>
      <c r="G471" s="2">
        <v>9</v>
      </c>
      <c r="H471" s="2" t="s">
        <v>2656</v>
      </c>
      <c r="I471" s="2" t="s">
        <v>695</v>
      </c>
      <c r="J471" s="2" t="s">
        <v>2537</v>
      </c>
      <c r="K471" s="2" t="s">
        <v>1855</v>
      </c>
      <c r="L471" s="2" t="s">
        <v>1188</v>
      </c>
      <c r="M471" s="2" t="str">
        <f t="shared" si="10"/>
        <v>10</v>
      </c>
      <c r="N471" s="2" t="s">
        <v>477</v>
      </c>
      <c r="O471" s="2" t="s">
        <v>4373</v>
      </c>
      <c r="P471" s="2" t="s">
        <v>4382</v>
      </c>
    </row>
    <row r="472" spans="1:16">
      <c r="A472" s="4">
        <v>46245.901539351849</v>
      </c>
      <c r="B472" s="2" t="s">
        <v>4339</v>
      </c>
      <c r="C472" s="2" t="s">
        <v>3127</v>
      </c>
      <c r="D472" s="2" t="s">
        <v>1729</v>
      </c>
      <c r="E472" s="2">
        <v>9</v>
      </c>
      <c r="F472" s="2"/>
      <c r="G472" s="2">
        <v>9</v>
      </c>
      <c r="H472" s="2" t="s">
        <v>2656</v>
      </c>
      <c r="I472" s="2" t="s">
        <v>695</v>
      </c>
      <c r="J472" s="2" t="s">
        <v>2537</v>
      </c>
      <c r="K472" s="2" t="s">
        <v>1855</v>
      </c>
      <c r="L472" s="2" t="s">
        <v>1188</v>
      </c>
      <c r="M472" s="2" t="str">
        <f t="shared" si="10"/>
        <v>10</v>
      </c>
      <c r="N472" s="2" t="s">
        <v>2070</v>
      </c>
      <c r="O472" s="2" t="s">
        <v>4373</v>
      </c>
      <c r="P472" s="2" t="s">
        <v>4382</v>
      </c>
    </row>
    <row r="473" spans="1:16">
      <c r="A473" s="4">
        <v>46245.901226851849</v>
      </c>
      <c r="B473" s="2" t="s">
        <v>638</v>
      </c>
      <c r="C473" s="2" t="s">
        <v>3127</v>
      </c>
      <c r="D473" s="2" t="s">
        <v>1729</v>
      </c>
      <c r="E473" s="2">
        <v>9</v>
      </c>
      <c r="F473" s="2"/>
      <c r="G473" s="2">
        <v>9</v>
      </c>
      <c r="H473" s="2" t="s">
        <v>2656</v>
      </c>
      <c r="I473" s="2" t="s">
        <v>695</v>
      </c>
      <c r="J473" s="2" t="s">
        <v>2537</v>
      </c>
      <c r="K473" s="2" t="s">
        <v>1855</v>
      </c>
      <c r="L473" s="2" t="s">
        <v>1188</v>
      </c>
      <c r="M473" s="2" t="str">
        <f t="shared" si="10"/>
        <v>10</v>
      </c>
      <c r="N473" s="2" t="s">
        <v>1574</v>
      </c>
      <c r="O473" s="2" t="s">
        <v>4373</v>
      </c>
      <c r="P473" s="2" t="s">
        <v>4382</v>
      </c>
    </row>
    <row r="474" spans="1:16">
      <c r="A474" s="4">
        <v>46244.484594907408</v>
      </c>
      <c r="B474" s="2" t="s">
        <v>2573</v>
      </c>
      <c r="C474" s="2" t="s">
        <v>3127</v>
      </c>
      <c r="D474" s="2" t="s">
        <v>1729</v>
      </c>
      <c r="E474" s="2">
        <v>9</v>
      </c>
      <c r="F474" s="2"/>
      <c r="G474" s="2">
        <v>9</v>
      </c>
      <c r="H474" s="2" t="s">
        <v>2656</v>
      </c>
      <c r="I474" s="2" t="s">
        <v>695</v>
      </c>
      <c r="J474" s="2" t="s">
        <v>2537</v>
      </c>
      <c r="K474" s="2" t="s">
        <v>1855</v>
      </c>
      <c r="L474" s="2" t="s">
        <v>156</v>
      </c>
      <c r="M474" s="2" t="str">
        <f t="shared" si="10"/>
        <v>15</v>
      </c>
      <c r="N474" s="2" t="s">
        <v>3033</v>
      </c>
      <c r="O474" s="2" t="s">
        <v>4373</v>
      </c>
      <c r="P474" s="2" t="s">
        <v>4375</v>
      </c>
    </row>
    <row r="475" spans="1:16">
      <c r="A475" s="4">
        <v>46244.482407407406</v>
      </c>
      <c r="B475" s="2" t="s">
        <v>1260</v>
      </c>
      <c r="C475" s="2" t="s">
        <v>3127</v>
      </c>
      <c r="D475" s="2" t="s">
        <v>1729</v>
      </c>
      <c r="E475" s="2">
        <v>9</v>
      </c>
      <c r="F475" s="2"/>
      <c r="G475" s="2">
        <v>9</v>
      </c>
      <c r="H475" s="2" t="s">
        <v>2656</v>
      </c>
      <c r="I475" s="2" t="s">
        <v>695</v>
      </c>
      <c r="J475" s="2" t="s">
        <v>2537</v>
      </c>
      <c r="K475" s="2" t="s">
        <v>1855</v>
      </c>
      <c r="L475" s="2" t="s">
        <v>156</v>
      </c>
      <c r="M475" s="2" t="str">
        <f t="shared" si="10"/>
        <v>15</v>
      </c>
      <c r="N475" s="2" t="s">
        <v>875</v>
      </c>
      <c r="O475" s="2" t="s">
        <v>4373</v>
      </c>
      <c r="P475" s="2" t="s">
        <v>4375</v>
      </c>
    </row>
    <row r="476" spans="1:16">
      <c r="A476" s="4">
        <v>46244.481886574074</v>
      </c>
      <c r="B476" s="2" t="s">
        <v>102</v>
      </c>
      <c r="C476" s="2" t="s">
        <v>3127</v>
      </c>
      <c r="D476" s="2" t="s">
        <v>1729</v>
      </c>
      <c r="E476" s="2">
        <v>9</v>
      </c>
      <c r="F476" s="2"/>
      <c r="G476" s="2">
        <v>9</v>
      </c>
      <c r="H476" s="2" t="s">
        <v>2656</v>
      </c>
      <c r="I476" s="2" t="s">
        <v>695</v>
      </c>
      <c r="J476" s="2" t="s">
        <v>2537</v>
      </c>
      <c r="K476" s="2" t="s">
        <v>1855</v>
      </c>
      <c r="L476" s="2" t="s">
        <v>156</v>
      </c>
      <c r="M476" s="2" t="str">
        <f t="shared" si="10"/>
        <v>15</v>
      </c>
      <c r="N476" s="2" t="s">
        <v>3039</v>
      </c>
      <c r="O476" s="2" t="s">
        <v>4373</v>
      </c>
      <c r="P476" s="2" t="s">
        <v>4375</v>
      </c>
    </row>
    <row r="477" spans="1:16">
      <c r="A477" s="4">
        <v>46244.481226851851</v>
      </c>
      <c r="B477" s="2" t="s">
        <v>503</v>
      </c>
      <c r="C477" s="2" t="s">
        <v>3127</v>
      </c>
      <c r="D477" s="2" t="s">
        <v>1729</v>
      </c>
      <c r="E477" s="2">
        <v>9</v>
      </c>
      <c r="F477" s="2"/>
      <c r="G477" s="2">
        <v>9</v>
      </c>
      <c r="H477" s="2" t="s">
        <v>2656</v>
      </c>
      <c r="I477" s="2" t="s">
        <v>695</v>
      </c>
      <c r="J477" s="2" t="s">
        <v>2537</v>
      </c>
      <c r="K477" s="2" t="s">
        <v>1855</v>
      </c>
      <c r="L477" s="2" t="s">
        <v>156</v>
      </c>
      <c r="M477" s="2" t="str">
        <f t="shared" si="10"/>
        <v>15</v>
      </c>
      <c r="N477" s="2" t="s">
        <v>2407</v>
      </c>
      <c r="O477" s="2" t="s">
        <v>4373</v>
      </c>
      <c r="P477" s="2" t="s">
        <v>4375</v>
      </c>
    </row>
    <row r="478" spans="1:16">
      <c r="A478" s="4">
        <v>46244.480995370373</v>
      </c>
      <c r="B478" s="2" t="s">
        <v>2241</v>
      </c>
      <c r="C478" s="2" t="s">
        <v>3127</v>
      </c>
      <c r="D478" s="2" t="s">
        <v>1729</v>
      </c>
      <c r="E478" s="2">
        <v>9</v>
      </c>
      <c r="F478" s="2"/>
      <c r="G478" s="2">
        <v>9</v>
      </c>
      <c r="H478" s="2" t="s">
        <v>2656</v>
      </c>
      <c r="I478" s="2" t="s">
        <v>695</v>
      </c>
      <c r="J478" s="2" t="s">
        <v>2537</v>
      </c>
      <c r="K478" s="2" t="s">
        <v>1855</v>
      </c>
      <c r="L478" s="2" t="s">
        <v>156</v>
      </c>
      <c r="M478" s="2" t="str">
        <f t="shared" si="10"/>
        <v>15</v>
      </c>
      <c r="N478" s="2" t="s">
        <v>4027</v>
      </c>
      <c r="O478" s="2" t="s">
        <v>4373</v>
      </c>
      <c r="P478" s="2" t="s">
        <v>4375</v>
      </c>
    </row>
    <row r="479" spans="1:16">
      <c r="A479" s="4">
        <v>46244.480428240742</v>
      </c>
      <c r="B479" s="2" t="s">
        <v>3465</v>
      </c>
      <c r="C479" s="2" t="s">
        <v>3127</v>
      </c>
      <c r="D479" s="2" t="s">
        <v>1729</v>
      </c>
      <c r="E479" s="2">
        <v>9</v>
      </c>
      <c r="F479" s="2"/>
      <c r="G479" s="2">
        <v>9</v>
      </c>
      <c r="H479" s="2" t="s">
        <v>2656</v>
      </c>
      <c r="I479" s="2" t="s">
        <v>695</v>
      </c>
      <c r="J479" s="2" t="s">
        <v>2537</v>
      </c>
      <c r="K479" s="2" t="s">
        <v>1855</v>
      </c>
      <c r="L479" s="2" t="s">
        <v>156</v>
      </c>
      <c r="M479" s="2" t="str">
        <f t="shared" si="10"/>
        <v>15</v>
      </c>
      <c r="N479" s="2" t="s">
        <v>1566</v>
      </c>
      <c r="O479" s="2" t="s">
        <v>4373</v>
      </c>
      <c r="P479" s="2" t="s">
        <v>4375</v>
      </c>
    </row>
    <row r="480" spans="1:16">
      <c r="A480" s="4">
        <v>46244.479722222219</v>
      </c>
      <c r="B480" s="2" t="s">
        <v>2777</v>
      </c>
      <c r="C480" s="2" t="s">
        <v>3127</v>
      </c>
      <c r="D480" s="2" t="s">
        <v>1729</v>
      </c>
      <c r="E480" s="2">
        <v>9</v>
      </c>
      <c r="F480" s="2"/>
      <c r="G480" s="2">
        <v>9</v>
      </c>
      <c r="H480" s="2" t="s">
        <v>2656</v>
      </c>
      <c r="I480" s="2" t="s">
        <v>695</v>
      </c>
      <c r="J480" s="2" t="s">
        <v>2537</v>
      </c>
      <c r="K480" s="2" t="s">
        <v>1855</v>
      </c>
      <c r="L480" s="2" t="s">
        <v>156</v>
      </c>
      <c r="M480" s="2" t="str">
        <f t="shared" si="10"/>
        <v>15</v>
      </c>
      <c r="N480" s="2" t="s">
        <v>1437</v>
      </c>
      <c r="O480" s="2" t="s">
        <v>4373</v>
      </c>
      <c r="P480" s="2" t="s">
        <v>4375</v>
      </c>
    </row>
    <row r="481" spans="1:16">
      <c r="A481" s="4">
        <v>46244.47960648148</v>
      </c>
      <c r="B481" s="2" t="s">
        <v>2771</v>
      </c>
      <c r="C481" s="2" t="s">
        <v>3127</v>
      </c>
      <c r="D481" s="2" t="s">
        <v>1729</v>
      </c>
      <c r="E481" s="2">
        <v>9</v>
      </c>
      <c r="F481" s="2"/>
      <c r="G481" s="2">
        <v>9</v>
      </c>
      <c r="H481" s="2" t="s">
        <v>2656</v>
      </c>
      <c r="I481" s="2" t="s">
        <v>695</v>
      </c>
      <c r="J481" s="2" t="s">
        <v>2537</v>
      </c>
      <c r="K481" s="2" t="s">
        <v>1855</v>
      </c>
      <c r="L481" s="2" t="s">
        <v>156</v>
      </c>
      <c r="M481" s="2" t="str">
        <f t="shared" si="10"/>
        <v>15</v>
      </c>
      <c r="N481" s="2" t="s">
        <v>2065</v>
      </c>
      <c r="O481" s="2" t="s">
        <v>4373</v>
      </c>
      <c r="P481" s="2" t="s">
        <v>4375</v>
      </c>
    </row>
    <row r="482" spans="1:16">
      <c r="A482" s="4">
        <v>46244.478773148148</v>
      </c>
      <c r="B482" s="2" t="s">
        <v>2754</v>
      </c>
      <c r="C482" s="2" t="s">
        <v>3127</v>
      </c>
      <c r="D482" s="2" t="s">
        <v>1729</v>
      </c>
      <c r="E482" s="2">
        <v>9</v>
      </c>
      <c r="F482" s="2"/>
      <c r="G482" s="2">
        <v>9</v>
      </c>
      <c r="H482" s="2" t="s">
        <v>2656</v>
      </c>
      <c r="I482" s="2" t="s">
        <v>695</v>
      </c>
      <c r="J482" s="2" t="s">
        <v>2537</v>
      </c>
      <c r="K482" s="2" t="s">
        <v>1855</v>
      </c>
      <c r="L482" s="2" t="s">
        <v>156</v>
      </c>
      <c r="M482" s="2" t="str">
        <f t="shared" si="10"/>
        <v>15</v>
      </c>
      <c r="N482" s="2" t="s">
        <v>4235</v>
      </c>
      <c r="O482" s="2" t="s">
        <v>4373</v>
      </c>
      <c r="P482" s="2" t="s">
        <v>4375</v>
      </c>
    </row>
    <row r="483" spans="1:16">
      <c r="A483" s="4">
        <v>46244.478761574072</v>
      </c>
      <c r="B483" s="2" t="s">
        <v>1449</v>
      </c>
      <c r="C483" s="2" t="s">
        <v>3127</v>
      </c>
      <c r="D483" s="2" t="s">
        <v>1729</v>
      </c>
      <c r="E483" s="2">
        <v>9</v>
      </c>
      <c r="F483" s="2"/>
      <c r="G483" s="2">
        <v>9</v>
      </c>
      <c r="H483" s="2" t="s">
        <v>2656</v>
      </c>
      <c r="I483" s="2" t="s">
        <v>695</v>
      </c>
      <c r="J483" s="2" t="s">
        <v>2537</v>
      </c>
      <c r="K483" s="2" t="s">
        <v>1855</v>
      </c>
      <c r="L483" s="2" t="s">
        <v>156</v>
      </c>
      <c r="M483" s="2" t="str">
        <f t="shared" si="10"/>
        <v>15</v>
      </c>
      <c r="N483" s="2" t="s">
        <v>3713</v>
      </c>
      <c r="O483" s="2" t="s">
        <v>4373</v>
      </c>
      <c r="P483" s="2" t="s">
        <v>4375</v>
      </c>
    </row>
    <row r="484" spans="1:16">
      <c r="A484" s="4">
        <v>46244.477986111109</v>
      </c>
      <c r="B484" s="2" t="s">
        <v>1398</v>
      </c>
      <c r="C484" s="2" t="s">
        <v>3127</v>
      </c>
      <c r="D484" s="2" t="s">
        <v>1729</v>
      </c>
      <c r="E484" s="2">
        <v>9</v>
      </c>
      <c r="F484" s="2"/>
      <c r="G484" s="2">
        <v>9</v>
      </c>
      <c r="H484" s="2" t="s">
        <v>2656</v>
      </c>
      <c r="I484" s="2" t="s">
        <v>695</v>
      </c>
      <c r="J484" s="2" t="s">
        <v>2537</v>
      </c>
      <c r="K484" s="2" t="s">
        <v>1855</v>
      </c>
      <c r="L484" s="2" t="s">
        <v>156</v>
      </c>
      <c r="M484" s="2" t="str">
        <f t="shared" si="10"/>
        <v>15</v>
      </c>
      <c r="N484" s="2" t="s">
        <v>2545</v>
      </c>
      <c r="O484" s="2" t="s">
        <v>4373</v>
      </c>
      <c r="P484" s="2" t="s">
        <v>4375</v>
      </c>
    </row>
    <row r="485" spans="1:16">
      <c r="A485" s="4">
        <v>46244.477905092594</v>
      </c>
      <c r="B485" s="2" t="s">
        <v>1595</v>
      </c>
      <c r="C485" s="2" t="s">
        <v>3127</v>
      </c>
      <c r="D485" s="2" t="s">
        <v>1729</v>
      </c>
      <c r="E485" s="2">
        <v>9</v>
      </c>
      <c r="F485" s="2"/>
      <c r="G485" s="2">
        <v>9</v>
      </c>
      <c r="H485" s="2" t="s">
        <v>2656</v>
      </c>
      <c r="I485" s="2" t="s">
        <v>695</v>
      </c>
      <c r="J485" s="2" t="s">
        <v>2537</v>
      </c>
      <c r="K485" s="2" t="s">
        <v>1855</v>
      </c>
      <c r="L485" s="2" t="s">
        <v>156</v>
      </c>
      <c r="M485" s="2" t="str">
        <f t="shared" si="10"/>
        <v>15</v>
      </c>
      <c r="N485" s="2" t="s">
        <v>243</v>
      </c>
      <c r="O485" s="2" t="s">
        <v>4373</v>
      </c>
      <c r="P485" s="2" t="s">
        <v>4375</v>
      </c>
    </row>
    <row r="486" spans="1:16">
      <c r="A486" s="4">
        <v>46244.477071759262</v>
      </c>
      <c r="B486" s="2" t="s">
        <v>949</v>
      </c>
      <c r="C486" s="2" t="s">
        <v>3127</v>
      </c>
      <c r="D486" s="2" t="s">
        <v>1729</v>
      </c>
      <c r="E486" s="2">
        <v>9</v>
      </c>
      <c r="F486" s="2"/>
      <c r="G486" s="2">
        <v>9</v>
      </c>
      <c r="H486" s="2" t="s">
        <v>2656</v>
      </c>
      <c r="I486" s="2" t="s">
        <v>695</v>
      </c>
      <c r="J486" s="2" t="s">
        <v>2537</v>
      </c>
      <c r="K486" s="2" t="s">
        <v>1855</v>
      </c>
      <c r="L486" s="2" t="s">
        <v>156</v>
      </c>
      <c r="M486" s="2" t="str">
        <f t="shared" si="10"/>
        <v>15</v>
      </c>
      <c r="N486" s="2" t="s">
        <v>2691</v>
      </c>
      <c r="O486" s="2" t="s">
        <v>4373</v>
      </c>
      <c r="P486" s="2" t="s">
        <v>4375</v>
      </c>
    </row>
    <row r="487" spans="1:16">
      <c r="A487" s="4">
        <v>46244.476701388892</v>
      </c>
      <c r="B487" s="2" t="s">
        <v>2706</v>
      </c>
      <c r="C487" s="2" t="s">
        <v>3127</v>
      </c>
      <c r="D487" s="2" t="s">
        <v>1729</v>
      </c>
      <c r="E487" s="2">
        <v>9</v>
      </c>
      <c r="F487" s="2"/>
      <c r="G487" s="2">
        <v>9</v>
      </c>
      <c r="H487" s="2" t="s">
        <v>2656</v>
      </c>
      <c r="I487" s="2" t="s">
        <v>695</v>
      </c>
      <c r="J487" s="2" t="s">
        <v>2537</v>
      </c>
      <c r="K487" s="2" t="s">
        <v>1855</v>
      </c>
      <c r="L487" s="2" t="s">
        <v>156</v>
      </c>
      <c r="M487" s="2" t="str">
        <f t="shared" si="10"/>
        <v>15</v>
      </c>
      <c r="N487" s="2" t="s">
        <v>1977</v>
      </c>
      <c r="O487" s="2" t="s">
        <v>4373</v>
      </c>
      <c r="P487" s="2" t="s">
        <v>4375</v>
      </c>
    </row>
    <row r="488" spans="1:16">
      <c r="A488" s="4">
        <v>46244.476435185185</v>
      </c>
      <c r="B488" s="2" t="s">
        <v>4138</v>
      </c>
      <c r="C488" s="2" t="s">
        <v>3127</v>
      </c>
      <c r="D488" s="2" t="s">
        <v>1729</v>
      </c>
      <c r="E488" s="2">
        <v>9</v>
      </c>
      <c r="F488" s="2"/>
      <c r="G488" s="2">
        <v>9</v>
      </c>
      <c r="H488" s="2" t="s">
        <v>2656</v>
      </c>
      <c r="I488" s="2" t="s">
        <v>695</v>
      </c>
      <c r="J488" s="2" t="s">
        <v>2537</v>
      </c>
      <c r="K488" s="2" t="s">
        <v>1855</v>
      </c>
      <c r="L488" s="2" t="s">
        <v>156</v>
      </c>
      <c r="M488" s="2" t="str">
        <f t="shared" si="10"/>
        <v>15</v>
      </c>
      <c r="N488" s="2" t="s">
        <v>2579</v>
      </c>
      <c r="O488" s="2" t="s">
        <v>4373</v>
      </c>
      <c r="P488" s="2" t="s">
        <v>4375</v>
      </c>
    </row>
    <row r="489" spans="1:16">
      <c r="A489" s="4">
        <v>46244.476018518515</v>
      </c>
      <c r="B489" s="2" t="s">
        <v>2829</v>
      </c>
      <c r="C489" s="2" t="s">
        <v>3127</v>
      </c>
      <c r="D489" s="2" t="s">
        <v>1729</v>
      </c>
      <c r="E489" s="2">
        <v>9</v>
      </c>
      <c r="F489" s="2"/>
      <c r="G489" s="2">
        <v>9</v>
      </c>
      <c r="H489" s="2" t="s">
        <v>2656</v>
      </c>
      <c r="I489" s="2" t="s">
        <v>695</v>
      </c>
      <c r="J489" s="2" t="s">
        <v>2537</v>
      </c>
      <c r="K489" s="2" t="s">
        <v>1855</v>
      </c>
      <c r="L489" s="2" t="s">
        <v>156</v>
      </c>
      <c r="M489" s="2" t="str">
        <f t="shared" si="10"/>
        <v>15</v>
      </c>
      <c r="N489" s="2" t="s">
        <v>1792</v>
      </c>
      <c r="O489" s="2" t="s">
        <v>4373</v>
      </c>
      <c r="P489" s="2" t="s">
        <v>4375</v>
      </c>
    </row>
    <row r="490" spans="1:16">
      <c r="A490" s="4">
        <v>46244.474988425929</v>
      </c>
      <c r="B490" s="2" t="s">
        <v>3011</v>
      </c>
      <c r="C490" s="2" t="s">
        <v>3127</v>
      </c>
      <c r="D490" s="2" t="s">
        <v>1729</v>
      </c>
      <c r="E490" s="2">
        <v>9</v>
      </c>
      <c r="F490" s="2"/>
      <c r="G490" s="2">
        <v>9</v>
      </c>
      <c r="H490" s="2" t="s">
        <v>2656</v>
      </c>
      <c r="I490" s="2" t="s">
        <v>695</v>
      </c>
      <c r="J490" s="2" t="s">
        <v>2537</v>
      </c>
      <c r="K490" s="2" t="s">
        <v>1855</v>
      </c>
      <c r="L490" s="2" t="s">
        <v>156</v>
      </c>
      <c r="M490" s="2" t="str">
        <f t="shared" si="10"/>
        <v>15</v>
      </c>
      <c r="N490" s="2" t="s">
        <v>3676</v>
      </c>
      <c r="O490" s="2" t="s">
        <v>4373</v>
      </c>
      <c r="P490" s="2" t="s">
        <v>4375</v>
      </c>
    </row>
    <row r="491" spans="1:16">
      <c r="A491" s="4">
        <v>46244.474918981483</v>
      </c>
      <c r="B491" s="2" t="s">
        <v>2674</v>
      </c>
      <c r="C491" s="2" t="s">
        <v>3127</v>
      </c>
      <c r="D491" s="2" t="s">
        <v>1729</v>
      </c>
      <c r="E491" s="2">
        <v>9</v>
      </c>
      <c r="F491" s="2"/>
      <c r="G491" s="2">
        <v>9</v>
      </c>
      <c r="H491" s="2" t="s">
        <v>2656</v>
      </c>
      <c r="I491" s="2" t="s">
        <v>695</v>
      </c>
      <c r="J491" s="2" t="s">
        <v>2537</v>
      </c>
      <c r="K491" s="2" t="s">
        <v>1855</v>
      </c>
      <c r="L491" s="2" t="s">
        <v>156</v>
      </c>
      <c r="M491" s="2" t="str">
        <f t="shared" si="10"/>
        <v>15</v>
      </c>
      <c r="N491" s="2" t="s">
        <v>213</v>
      </c>
      <c r="O491" s="2" t="s">
        <v>4373</v>
      </c>
      <c r="P491" s="2" t="s">
        <v>4375</v>
      </c>
    </row>
    <row r="492" spans="1:16">
      <c r="A492" s="4">
        <v>46244.473865740743</v>
      </c>
      <c r="B492" s="2" t="s">
        <v>1817</v>
      </c>
      <c r="C492" s="2" t="s">
        <v>3127</v>
      </c>
      <c r="D492" s="2" t="s">
        <v>1729</v>
      </c>
      <c r="E492" s="2">
        <v>9</v>
      </c>
      <c r="F492" s="2"/>
      <c r="G492" s="2">
        <v>9</v>
      </c>
      <c r="H492" s="2" t="s">
        <v>2656</v>
      </c>
      <c r="I492" s="2" t="s">
        <v>695</v>
      </c>
      <c r="J492" s="2" t="s">
        <v>2537</v>
      </c>
      <c r="K492" s="2" t="s">
        <v>1855</v>
      </c>
      <c r="L492" s="2" t="s">
        <v>156</v>
      </c>
      <c r="M492" s="2" t="str">
        <f t="shared" si="10"/>
        <v>15</v>
      </c>
      <c r="N492" s="2" t="s">
        <v>1955</v>
      </c>
      <c r="O492" s="2" t="s">
        <v>4373</v>
      </c>
      <c r="P492" s="2" t="s">
        <v>4375</v>
      </c>
    </row>
    <row r="493" spans="1:16">
      <c r="A493" s="4">
        <v>46244.473738425928</v>
      </c>
      <c r="B493" s="2" t="s">
        <v>998</v>
      </c>
      <c r="C493" s="2" t="s">
        <v>3127</v>
      </c>
      <c r="D493" s="2" t="s">
        <v>1729</v>
      </c>
      <c r="E493" s="2">
        <v>9</v>
      </c>
      <c r="F493" s="2"/>
      <c r="G493" s="2">
        <v>9</v>
      </c>
      <c r="H493" s="2" t="s">
        <v>2656</v>
      </c>
      <c r="I493" s="2" t="s">
        <v>695</v>
      </c>
      <c r="J493" s="2" t="s">
        <v>2537</v>
      </c>
      <c r="K493" s="2" t="s">
        <v>1855</v>
      </c>
      <c r="L493" s="2" t="s">
        <v>156</v>
      </c>
      <c r="M493" s="2" t="str">
        <f t="shared" si="10"/>
        <v>15</v>
      </c>
      <c r="N493" s="2" t="s">
        <v>1759</v>
      </c>
      <c r="O493" s="2" t="s">
        <v>4373</v>
      </c>
      <c r="P493" s="2" t="s">
        <v>4375</v>
      </c>
    </row>
    <row r="494" spans="1:16">
      <c r="A494" s="4">
        <v>46244.473576388889</v>
      </c>
      <c r="B494" s="2" t="s">
        <v>3968</v>
      </c>
      <c r="C494" s="2" t="s">
        <v>3127</v>
      </c>
      <c r="D494" s="2" t="s">
        <v>1729</v>
      </c>
      <c r="E494" s="2">
        <v>9</v>
      </c>
      <c r="F494" s="2"/>
      <c r="G494" s="2">
        <v>9</v>
      </c>
      <c r="H494" s="2" t="s">
        <v>2656</v>
      </c>
      <c r="I494" s="2" t="s">
        <v>695</v>
      </c>
      <c r="J494" s="2" t="s">
        <v>2537</v>
      </c>
      <c r="K494" s="2" t="s">
        <v>1855</v>
      </c>
      <c r="L494" s="2" t="s">
        <v>156</v>
      </c>
      <c r="M494" s="2" t="str">
        <f t="shared" si="10"/>
        <v>15</v>
      </c>
      <c r="N494" s="2" t="s">
        <v>82</v>
      </c>
      <c r="O494" s="2" t="s">
        <v>4373</v>
      </c>
      <c r="P494" s="2" t="s">
        <v>4375</v>
      </c>
    </row>
    <row r="495" spans="1:16">
      <c r="A495" s="4">
        <v>46244.47283564815</v>
      </c>
      <c r="B495" s="2" t="s">
        <v>3192</v>
      </c>
      <c r="C495" s="2" t="s">
        <v>3127</v>
      </c>
      <c r="D495" s="2" t="s">
        <v>1729</v>
      </c>
      <c r="E495" s="2">
        <v>9</v>
      </c>
      <c r="F495" s="2"/>
      <c r="G495" s="2">
        <v>9</v>
      </c>
      <c r="H495" s="2" t="s">
        <v>2656</v>
      </c>
      <c r="I495" s="2" t="s">
        <v>695</v>
      </c>
      <c r="J495" s="2" t="s">
        <v>2537</v>
      </c>
      <c r="K495" s="2" t="s">
        <v>1855</v>
      </c>
      <c r="L495" s="2" t="s">
        <v>156</v>
      </c>
      <c r="M495" s="2" t="str">
        <f t="shared" si="10"/>
        <v>15</v>
      </c>
      <c r="N495" s="2" t="s">
        <v>2882</v>
      </c>
      <c r="O495" s="2" t="s">
        <v>4373</v>
      </c>
      <c r="P495" s="2" t="s">
        <v>4375</v>
      </c>
    </row>
    <row r="496" spans="1:16">
      <c r="A496" s="4">
        <v>46244.471805555557</v>
      </c>
      <c r="B496" s="2" t="s">
        <v>1107</v>
      </c>
      <c r="C496" s="2" t="s">
        <v>3127</v>
      </c>
      <c r="D496" s="2" t="s">
        <v>1729</v>
      </c>
      <c r="E496" s="2">
        <v>9</v>
      </c>
      <c r="F496" s="2"/>
      <c r="G496" s="2">
        <v>9</v>
      </c>
      <c r="H496" s="2" t="s">
        <v>2656</v>
      </c>
      <c r="I496" s="2" t="s">
        <v>695</v>
      </c>
      <c r="J496" s="2" t="s">
        <v>2537</v>
      </c>
      <c r="K496" s="2" t="s">
        <v>1855</v>
      </c>
      <c r="L496" s="2" t="s">
        <v>156</v>
      </c>
      <c r="M496" s="2" t="str">
        <f t="shared" si="10"/>
        <v>15</v>
      </c>
      <c r="N496" s="2" t="s">
        <v>671</v>
      </c>
      <c r="O496" s="2" t="s">
        <v>4373</v>
      </c>
      <c r="P496" s="2" t="s">
        <v>4375</v>
      </c>
    </row>
    <row r="497" spans="1:16">
      <c r="A497" s="4">
        <v>46244.471770833334</v>
      </c>
      <c r="B497" s="2" t="s">
        <v>4017</v>
      </c>
      <c r="C497" s="2" t="s">
        <v>3127</v>
      </c>
      <c r="D497" s="2" t="s">
        <v>1729</v>
      </c>
      <c r="E497" s="2">
        <v>9</v>
      </c>
      <c r="F497" s="2"/>
      <c r="G497" s="2">
        <v>9</v>
      </c>
      <c r="H497" s="2" t="s">
        <v>2656</v>
      </c>
      <c r="I497" s="2" t="s">
        <v>695</v>
      </c>
      <c r="J497" s="2" t="s">
        <v>2537</v>
      </c>
      <c r="K497" s="2" t="s">
        <v>1855</v>
      </c>
      <c r="L497" s="2" t="s">
        <v>156</v>
      </c>
      <c r="M497" s="2" t="str">
        <f t="shared" si="10"/>
        <v>15</v>
      </c>
      <c r="N497" s="2" t="s">
        <v>3684</v>
      </c>
      <c r="O497" s="2" t="s">
        <v>4373</v>
      </c>
      <c r="P497" s="2" t="s">
        <v>4375</v>
      </c>
    </row>
    <row r="498" spans="1:16">
      <c r="A498" s="4">
        <v>46244.470891203702</v>
      </c>
      <c r="B498" s="2" t="s">
        <v>3467</v>
      </c>
      <c r="C498" s="2" t="s">
        <v>3127</v>
      </c>
      <c r="D498" s="2" t="s">
        <v>1729</v>
      </c>
      <c r="E498" s="2">
        <v>9</v>
      </c>
      <c r="F498" s="2"/>
      <c r="G498" s="2">
        <v>9</v>
      </c>
      <c r="H498" s="2" t="s">
        <v>2656</v>
      </c>
      <c r="I498" s="2" t="s">
        <v>695</v>
      </c>
      <c r="J498" s="2" t="s">
        <v>2537</v>
      </c>
      <c r="K498" s="2" t="s">
        <v>1855</v>
      </c>
      <c r="L498" s="2" t="s">
        <v>156</v>
      </c>
      <c r="M498" s="2" t="str">
        <f t="shared" si="10"/>
        <v>15</v>
      </c>
      <c r="N498" s="2" t="s">
        <v>752</v>
      </c>
      <c r="O498" s="2" t="s">
        <v>4373</v>
      </c>
      <c r="P498" s="2" t="s">
        <v>4375</v>
      </c>
    </row>
    <row r="499" spans="1:16">
      <c r="A499" s="4">
        <v>46244.470671296294</v>
      </c>
      <c r="B499" s="2" t="s">
        <v>658</v>
      </c>
      <c r="C499" s="2" t="s">
        <v>3127</v>
      </c>
      <c r="D499" s="2" t="s">
        <v>1729</v>
      </c>
      <c r="E499" s="2">
        <v>9</v>
      </c>
      <c r="F499" s="2"/>
      <c r="G499" s="2">
        <v>9</v>
      </c>
      <c r="H499" s="2" t="s">
        <v>2656</v>
      </c>
      <c r="I499" s="2" t="s">
        <v>695</v>
      </c>
      <c r="J499" s="2" t="s">
        <v>2537</v>
      </c>
      <c r="K499" s="2" t="s">
        <v>1855</v>
      </c>
      <c r="L499" s="2" t="s">
        <v>156</v>
      </c>
      <c r="M499" s="2" t="str">
        <f t="shared" si="10"/>
        <v>15</v>
      </c>
      <c r="N499" s="2" t="s">
        <v>1824</v>
      </c>
      <c r="O499" s="2" t="s">
        <v>4373</v>
      </c>
      <c r="P499" s="2" t="s">
        <v>4375</v>
      </c>
    </row>
    <row r="500" spans="1:16">
      <c r="A500" s="4">
        <v>46244.468599537038</v>
      </c>
      <c r="B500" s="2" t="s">
        <v>445</v>
      </c>
      <c r="C500" s="2" t="s">
        <v>3127</v>
      </c>
      <c r="D500" s="2" t="s">
        <v>1729</v>
      </c>
      <c r="E500" s="2">
        <v>9</v>
      </c>
      <c r="F500" s="2"/>
      <c r="G500" s="2">
        <v>9</v>
      </c>
      <c r="H500" s="2" t="s">
        <v>2656</v>
      </c>
      <c r="I500" s="2" t="s">
        <v>695</v>
      </c>
      <c r="J500" s="2" t="s">
        <v>2537</v>
      </c>
      <c r="K500" s="2" t="s">
        <v>1855</v>
      </c>
      <c r="L500" s="2" t="s">
        <v>156</v>
      </c>
      <c r="M500" s="2" t="str">
        <f t="shared" si="10"/>
        <v>15</v>
      </c>
      <c r="N500" s="2" t="s">
        <v>2952</v>
      </c>
      <c r="O500" s="2" t="s">
        <v>4373</v>
      </c>
      <c r="P500" s="2" t="s">
        <v>4375</v>
      </c>
    </row>
    <row r="501" spans="1:16">
      <c r="A501" s="4">
        <v>46244.468587962961</v>
      </c>
      <c r="B501" s="2" t="s">
        <v>1956</v>
      </c>
      <c r="C501" s="2" t="s">
        <v>3127</v>
      </c>
      <c r="D501" s="2" t="s">
        <v>1729</v>
      </c>
      <c r="E501" s="2">
        <v>9</v>
      </c>
      <c r="F501" s="2"/>
      <c r="G501" s="2">
        <v>9</v>
      </c>
      <c r="H501" s="2" t="s">
        <v>2656</v>
      </c>
      <c r="I501" s="2" t="s">
        <v>695</v>
      </c>
      <c r="J501" s="2" t="s">
        <v>2537</v>
      </c>
      <c r="K501" s="2" t="s">
        <v>1855</v>
      </c>
      <c r="L501" s="2" t="s">
        <v>156</v>
      </c>
      <c r="M501" s="2" t="str">
        <f t="shared" si="10"/>
        <v>15</v>
      </c>
      <c r="N501" s="2" t="s">
        <v>3296</v>
      </c>
      <c r="O501" s="2" t="s">
        <v>4373</v>
      </c>
      <c r="P501" s="2" t="s">
        <v>4375</v>
      </c>
    </row>
    <row r="502" spans="1:16">
      <c r="A502" s="4">
        <v>46244.467118055552</v>
      </c>
      <c r="B502" s="2" t="s">
        <v>3044</v>
      </c>
      <c r="C502" s="2" t="s">
        <v>3127</v>
      </c>
      <c r="D502" s="2" t="s">
        <v>1729</v>
      </c>
      <c r="E502" s="2">
        <v>9</v>
      </c>
      <c r="F502" s="2"/>
      <c r="G502" s="2">
        <v>9</v>
      </c>
      <c r="H502" s="2" t="s">
        <v>2656</v>
      </c>
      <c r="I502" s="2" t="s">
        <v>695</v>
      </c>
      <c r="J502" s="2" t="s">
        <v>2537</v>
      </c>
      <c r="K502" s="2" t="s">
        <v>1855</v>
      </c>
      <c r="L502" s="2" t="s">
        <v>156</v>
      </c>
      <c r="M502" s="2" t="str">
        <f t="shared" si="10"/>
        <v>15</v>
      </c>
      <c r="N502" s="2" t="s">
        <v>1323</v>
      </c>
      <c r="O502" s="2" t="s">
        <v>4373</v>
      </c>
      <c r="P502" s="2" t="s">
        <v>4375</v>
      </c>
    </row>
    <row r="503" spans="1:16">
      <c r="A503" s="4">
        <v>46244.466840277775</v>
      </c>
      <c r="B503" s="2" t="s">
        <v>1714</v>
      </c>
      <c r="C503" s="2" t="s">
        <v>3127</v>
      </c>
      <c r="D503" s="2" t="s">
        <v>1729</v>
      </c>
      <c r="E503" s="2">
        <v>9</v>
      </c>
      <c r="F503" s="2"/>
      <c r="G503" s="2">
        <v>9</v>
      </c>
      <c r="H503" s="2" t="s">
        <v>2656</v>
      </c>
      <c r="I503" s="2" t="s">
        <v>695</v>
      </c>
      <c r="J503" s="2" t="s">
        <v>2537</v>
      </c>
      <c r="K503" s="2" t="s">
        <v>1855</v>
      </c>
      <c r="L503" s="2" t="s">
        <v>156</v>
      </c>
      <c r="M503" s="2" t="str">
        <f t="shared" si="10"/>
        <v>15</v>
      </c>
      <c r="N503" s="2" t="s">
        <v>1687</v>
      </c>
      <c r="O503" s="2" t="s">
        <v>4373</v>
      </c>
      <c r="P503" s="2" t="s">
        <v>4375</v>
      </c>
    </row>
    <row r="504" spans="1:16">
      <c r="A504" s="4">
        <v>46248.432743055557</v>
      </c>
      <c r="B504" s="2" t="s">
        <v>784</v>
      </c>
      <c r="C504" s="2" t="s">
        <v>735</v>
      </c>
      <c r="D504" s="2" t="s">
        <v>4261</v>
      </c>
      <c r="E504" s="2">
        <v>10</v>
      </c>
      <c r="F504" s="2"/>
      <c r="G504" s="2">
        <v>10</v>
      </c>
      <c r="H504" s="2" t="s">
        <v>2778</v>
      </c>
      <c r="I504" s="2" t="s">
        <v>695</v>
      </c>
      <c r="J504" s="2" t="s">
        <v>2537</v>
      </c>
      <c r="K504" s="2" t="s">
        <v>1855</v>
      </c>
      <c r="L504" s="2" t="s">
        <v>1847</v>
      </c>
      <c r="M504" s="2" t="str">
        <f t="shared" si="10"/>
        <v>14</v>
      </c>
      <c r="N504" s="2" t="s">
        <v>1643</v>
      </c>
      <c r="O504" s="2" t="s">
        <v>4373</v>
      </c>
      <c r="P504" s="2" t="s">
        <v>4379</v>
      </c>
    </row>
    <row r="505" spans="1:16">
      <c r="A505" s="4">
        <v>46248.432384259257</v>
      </c>
      <c r="B505" s="2" t="s">
        <v>3988</v>
      </c>
      <c r="C505" s="2" t="s">
        <v>735</v>
      </c>
      <c r="D505" s="2" t="s">
        <v>4261</v>
      </c>
      <c r="E505" s="2">
        <v>10</v>
      </c>
      <c r="F505" s="2"/>
      <c r="G505" s="2">
        <v>10</v>
      </c>
      <c r="H505" s="2" t="s">
        <v>2778</v>
      </c>
      <c r="I505" s="2" t="s">
        <v>695</v>
      </c>
      <c r="J505" s="2" t="s">
        <v>2537</v>
      </c>
      <c r="K505" s="2" t="s">
        <v>1855</v>
      </c>
      <c r="L505" s="2" t="s">
        <v>1847</v>
      </c>
      <c r="M505" s="2" t="str">
        <f t="shared" si="10"/>
        <v>14</v>
      </c>
      <c r="N505" s="2" t="s">
        <v>3322</v>
      </c>
      <c r="O505" s="2" t="s">
        <v>4373</v>
      </c>
      <c r="P505" s="2" t="s">
        <v>4379</v>
      </c>
    </row>
    <row r="506" spans="1:16">
      <c r="A506" s="4">
        <v>46248.432384259257</v>
      </c>
      <c r="B506" s="2" t="s">
        <v>2290</v>
      </c>
      <c r="C506" s="2" t="s">
        <v>735</v>
      </c>
      <c r="D506" s="2" t="s">
        <v>4261</v>
      </c>
      <c r="E506" s="2">
        <v>10</v>
      </c>
      <c r="F506" s="2"/>
      <c r="G506" s="2">
        <v>10</v>
      </c>
      <c r="H506" s="2" t="s">
        <v>2778</v>
      </c>
      <c r="I506" s="2" t="s">
        <v>695</v>
      </c>
      <c r="J506" s="2" t="s">
        <v>2537</v>
      </c>
      <c r="K506" s="2" t="s">
        <v>1855</v>
      </c>
      <c r="L506" s="2" t="s">
        <v>1847</v>
      </c>
      <c r="M506" s="2" t="str">
        <f t="shared" si="10"/>
        <v>14</v>
      </c>
      <c r="N506" s="2" t="s">
        <v>706</v>
      </c>
      <c r="O506" s="2" t="s">
        <v>4373</v>
      </c>
      <c r="P506" s="2" t="s">
        <v>4379</v>
      </c>
    </row>
    <row r="507" spans="1:16">
      <c r="A507" s="4">
        <v>46248.432291666664</v>
      </c>
      <c r="B507" s="2" t="s">
        <v>3707</v>
      </c>
      <c r="C507" s="2" t="s">
        <v>735</v>
      </c>
      <c r="D507" s="2" t="s">
        <v>4261</v>
      </c>
      <c r="E507" s="2">
        <v>10</v>
      </c>
      <c r="F507" s="2"/>
      <c r="G507" s="2">
        <v>10</v>
      </c>
      <c r="H507" s="2" t="s">
        <v>2778</v>
      </c>
      <c r="I507" s="2" t="s">
        <v>695</v>
      </c>
      <c r="J507" s="2" t="s">
        <v>2537</v>
      </c>
      <c r="K507" s="2" t="s">
        <v>1855</v>
      </c>
      <c r="L507" s="2" t="s">
        <v>1847</v>
      </c>
      <c r="M507" s="2" t="str">
        <f t="shared" si="10"/>
        <v>14</v>
      </c>
      <c r="N507" s="2" t="s">
        <v>1472</v>
      </c>
      <c r="O507" s="2" t="s">
        <v>4373</v>
      </c>
      <c r="P507" s="2" t="s">
        <v>4379</v>
      </c>
    </row>
    <row r="508" spans="1:16">
      <c r="A508" s="4">
        <v>46248.431585648148</v>
      </c>
      <c r="B508" s="2" t="s">
        <v>4299</v>
      </c>
      <c r="C508" s="2" t="s">
        <v>735</v>
      </c>
      <c r="D508" s="2" t="s">
        <v>4261</v>
      </c>
      <c r="E508" s="2">
        <v>10</v>
      </c>
      <c r="F508" s="2"/>
      <c r="G508" s="2">
        <v>10</v>
      </c>
      <c r="H508" s="2" t="s">
        <v>2778</v>
      </c>
      <c r="I508" s="2" t="s">
        <v>695</v>
      </c>
      <c r="J508" s="2" t="s">
        <v>2537</v>
      </c>
      <c r="K508" s="2" t="s">
        <v>1855</v>
      </c>
      <c r="L508" s="2" t="s">
        <v>1847</v>
      </c>
      <c r="M508" s="2" t="str">
        <f t="shared" si="10"/>
        <v>14</v>
      </c>
      <c r="N508" s="2" t="s">
        <v>1121</v>
      </c>
      <c r="O508" s="2" t="s">
        <v>4373</v>
      </c>
      <c r="P508" s="2" t="s">
        <v>4379</v>
      </c>
    </row>
    <row r="509" spans="1:16">
      <c r="A509" s="4">
        <v>46248.431226851855</v>
      </c>
      <c r="B509" s="2" t="s">
        <v>2182</v>
      </c>
      <c r="C509" s="2" t="s">
        <v>735</v>
      </c>
      <c r="D509" s="2" t="s">
        <v>4261</v>
      </c>
      <c r="E509" s="2">
        <v>10</v>
      </c>
      <c r="F509" s="2"/>
      <c r="G509" s="2">
        <v>10</v>
      </c>
      <c r="H509" s="2" t="s">
        <v>2778</v>
      </c>
      <c r="I509" s="2" t="s">
        <v>695</v>
      </c>
      <c r="J509" s="2" t="s">
        <v>2537</v>
      </c>
      <c r="K509" s="2" t="s">
        <v>1855</v>
      </c>
      <c r="L509" s="2" t="s">
        <v>1847</v>
      </c>
      <c r="M509" s="2" t="str">
        <f t="shared" si="10"/>
        <v>14</v>
      </c>
      <c r="N509" s="2" t="s">
        <v>3460</v>
      </c>
      <c r="O509" s="2" t="s">
        <v>4373</v>
      </c>
      <c r="P509" s="2" t="s">
        <v>4379</v>
      </c>
    </row>
    <row r="510" spans="1:16">
      <c r="A510" s="4">
        <v>46248.431203703702</v>
      </c>
      <c r="B510" s="2" t="s">
        <v>2669</v>
      </c>
      <c r="C510" s="2" t="s">
        <v>735</v>
      </c>
      <c r="D510" s="2" t="s">
        <v>4261</v>
      </c>
      <c r="E510" s="2">
        <v>10</v>
      </c>
      <c r="F510" s="2"/>
      <c r="G510" s="2">
        <v>10</v>
      </c>
      <c r="H510" s="2" t="s">
        <v>2778</v>
      </c>
      <c r="I510" s="2" t="s">
        <v>695</v>
      </c>
      <c r="J510" s="2" t="s">
        <v>2537</v>
      </c>
      <c r="K510" s="2" t="s">
        <v>1855</v>
      </c>
      <c r="L510" s="2" t="s">
        <v>1847</v>
      </c>
      <c r="M510" s="2" t="str">
        <f t="shared" si="10"/>
        <v>14</v>
      </c>
      <c r="N510" s="2" t="s">
        <v>4141</v>
      </c>
      <c r="O510" s="2" t="s">
        <v>4373</v>
      </c>
      <c r="P510" s="2" t="s">
        <v>4379</v>
      </c>
    </row>
    <row r="511" spans="1:16">
      <c r="A511" s="4">
        <v>46248.429675925923</v>
      </c>
      <c r="B511" s="2" t="s">
        <v>2371</v>
      </c>
      <c r="C511" s="2" t="s">
        <v>735</v>
      </c>
      <c r="D511" s="2" t="s">
        <v>4261</v>
      </c>
      <c r="E511" s="2">
        <v>10</v>
      </c>
      <c r="F511" s="2"/>
      <c r="G511" s="2">
        <v>10</v>
      </c>
      <c r="H511" s="2" t="s">
        <v>2778</v>
      </c>
      <c r="I511" s="2" t="s">
        <v>695</v>
      </c>
      <c r="J511" s="2" t="s">
        <v>2537</v>
      </c>
      <c r="K511" s="2" t="s">
        <v>1855</v>
      </c>
      <c r="L511" s="2" t="s">
        <v>1847</v>
      </c>
      <c r="M511" s="2" t="str">
        <f t="shared" si="10"/>
        <v>14</v>
      </c>
      <c r="N511" s="2" t="s">
        <v>4356</v>
      </c>
      <c r="O511" s="2" t="s">
        <v>4373</v>
      </c>
      <c r="P511" s="2" t="s">
        <v>4379</v>
      </c>
    </row>
    <row r="512" spans="1:16">
      <c r="A512" s="4">
        <v>46248.41511574074</v>
      </c>
      <c r="B512" s="2" t="s">
        <v>410</v>
      </c>
      <c r="C512" s="2" t="s">
        <v>735</v>
      </c>
      <c r="D512" s="2" t="s">
        <v>4261</v>
      </c>
      <c r="E512" s="2">
        <v>10</v>
      </c>
      <c r="F512" s="2"/>
      <c r="G512" s="2">
        <v>10</v>
      </c>
      <c r="H512" s="2" t="s">
        <v>2778</v>
      </c>
      <c r="I512" s="2" t="s">
        <v>695</v>
      </c>
      <c r="J512" s="2" t="s">
        <v>2537</v>
      </c>
      <c r="K512" s="2" t="s">
        <v>1855</v>
      </c>
      <c r="L512" s="2" t="s">
        <v>1847</v>
      </c>
      <c r="M512" s="2" t="str">
        <f t="shared" si="10"/>
        <v>14</v>
      </c>
      <c r="N512" s="2" t="s">
        <v>3503</v>
      </c>
      <c r="O512" s="2" t="s">
        <v>4373</v>
      </c>
      <c r="P512" s="2" t="s">
        <v>4379</v>
      </c>
    </row>
    <row r="513" spans="1:16">
      <c r="A513" s="4">
        <v>46248.414837962962</v>
      </c>
      <c r="B513" s="2" t="s">
        <v>4233</v>
      </c>
      <c r="C513" s="2" t="s">
        <v>735</v>
      </c>
      <c r="D513" s="2" t="s">
        <v>4261</v>
      </c>
      <c r="E513" s="2">
        <v>10</v>
      </c>
      <c r="F513" s="2"/>
      <c r="G513" s="2">
        <v>10</v>
      </c>
      <c r="H513" s="2" t="s">
        <v>2778</v>
      </c>
      <c r="I513" s="2" t="s">
        <v>695</v>
      </c>
      <c r="J513" s="2" t="s">
        <v>2537</v>
      </c>
      <c r="K513" s="2" t="s">
        <v>1855</v>
      </c>
      <c r="L513" s="2" t="s">
        <v>1847</v>
      </c>
      <c r="M513" s="2" t="str">
        <f t="shared" si="10"/>
        <v>14</v>
      </c>
      <c r="N513" s="2" t="s">
        <v>431</v>
      </c>
      <c r="O513" s="2" t="s">
        <v>4373</v>
      </c>
      <c r="P513" s="2" t="s">
        <v>4379</v>
      </c>
    </row>
    <row r="514" spans="1:16">
      <c r="A514" s="4">
        <v>46248.413969907408</v>
      </c>
      <c r="B514" s="2" t="s">
        <v>487</v>
      </c>
      <c r="C514" s="2" t="s">
        <v>735</v>
      </c>
      <c r="D514" s="2" t="s">
        <v>4261</v>
      </c>
      <c r="E514" s="2">
        <v>10</v>
      </c>
      <c r="F514" s="2"/>
      <c r="G514" s="2">
        <v>10</v>
      </c>
      <c r="H514" s="2" t="s">
        <v>2778</v>
      </c>
      <c r="I514" s="2" t="s">
        <v>695</v>
      </c>
      <c r="J514" s="2" t="s">
        <v>2537</v>
      </c>
      <c r="K514" s="2" t="s">
        <v>1855</v>
      </c>
      <c r="L514" s="2" t="s">
        <v>1847</v>
      </c>
      <c r="M514" s="2" t="str">
        <f t="shared" ref="M514:M577" si="11">RIGHT(L514,2)</f>
        <v>14</v>
      </c>
      <c r="N514" s="2" t="s">
        <v>269</v>
      </c>
      <c r="O514" s="2" t="s">
        <v>4373</v>
      </c>
      <c r="P514" s="2" t="s">
        <v>4379</v>
      </c>
    </row>
    <row r="515" spans="1:16">
      <c r="A515" s="4">
        <v>46248.413888888892</v>
      </c>
      <c r="B515" s="2" t="s">
        <v>3153</v>
      </c>
      <c r="C515" s="2" t="s">
        <v>735</v>
      </c>
      <c r="D515" s="2" t="s">
        <v>4261</v>
      </c>
      <c r="E515" s="2">
        <v>10</v>
      </c>
      <c r="F515" s="2"/>
      <c r="G515" s="2">
        <v>10</v>
      </c>
      <c r="H515" s="2" t="s">
        <v>2778</v>
      </c>
      <c r="I515" s="2" t="s">
        <v>695</v>
      </c>
      <c r="J515" s="2" t="s">
        <v>2537</v>
      </c>
      <c r="K515" s="2" t="s">
        <v>1855</v>
      </c>
      <c r="L515" s="2" t="s">
        <v>1847</v>
      </c>
      <c r="M515" s="2" t="str">
        <f t="shared" si="11"/>
        <v>14</v>
      </c>
      <c r="N515" s="2" t="s">
        <v>2692</v>
      </c>
      <c r="O515" s="2" t="s">
        <v>4373</v>
      </c>
      <c r="P515" s="2" t="s">
        <v>4379</v>
      </c>
    </row>
    <row r="516" spans="1:16">
      <c r="A516" s="4">
        <v>46248.413842592592</v>
      </c>
      <c r="B516" s="2" t="s">
        <v>4067</v>
      </c>
      <c r="C516" s="2" t="s">
        <v>735</v>
      </c>
      <c r="D516" s="2" t="s">
        <v>4261</v>
      </c>
      <c r="E516" s="2">
        <v>10</v>
      </c>
      <c r="F516" s="2"/>
      <c r="G516" s="2">
        <v>10</v>
      </c>
      <c r="H516" s="2" t="s">
        <v>2778</v>
      </c>
      <c r="I516" s="2" t="s">
        <v>695</v>
      </c>
      <c r="J516" s="2" t="s">
        <v>2537</v>
      </c>
      <c r="K516" s="2" t="s">
        <v>1855</v>
      </c>
      <c r="L516" s="2" t="s">
        <v>1847</v>
      </c>
      <c r="M516" s="2" t="str">
        <f t="shared" si="11"/>
        <v>14</v>
      </c>
      <c r="N516" s="2" t="s">
        <v>4170</v>
      </c>
      <c r="O516" s="2" t="s">
        <v>4373</v>
      </c>
      <c r="P516" s="2" t="s">
        <v>4379</v>
      </c>
    </row>
    <row r="517" spans="1:16">
      <c r="A517" s="4">
        <v>46248.41269675926</v>
      </c>
      <c r="B517" s="2" t="s">
        <v>3648</v>
      </c>
      <c r="C517" s="2" t="s">
        <v>735</v>
      </c>
      <c r="D517" s="2" t="s">
        <v>4261</v>
      </c>
      <c r="E517" s="2">
        <v>10</v>
      </c>
      <c r="F517" s="2"/>
      <c r="G517" s="2">
        <v>10</v>
      </c>
      <c r="H517" s="2" t="s">
        <v>2778</v>
      </c>
      <c r="I517" s="2" t="s">
        <v>695</v>
      </c>
      <c r="J517" s="2" t="s">
        <v>2537</v>
      </c>
      <c r="K517" s="2" t="s">
        <v>1855</v>
      </c>
      <c r="L517" s="2" t="s">
        <v>1847</v>
      </c>
      <c r="M517" s="2" t="str">
        <f t="shared" si="11"/>
        <v>14</v>
      </c>
      <c r="N517" s="2" t="s">
        <v>731</v>
      </c>
      <c r="O517" s="2" t="s">
        <v>4373</v>
      </c>
      <c r="P517" s="2" t="s">
        <v>4379</v>
      </c>
    </row>
    <row r="518" spans="1:16">
      <c r="A518" s="4">
        <v>46248.412465277775</v>
      </c>
      <c r="B518" s="2" t="s">
        <v>4290</v>
      </c>
      <c r="C518" s="2" t="s">
        <v>735</v>
      </c>
      <c r="D518" s="2" t="s">
        <v>4261</v>
      </c>
      <c r="E518" s="2">
        <v>10</v>
      </c>
      <c r="F518" s="2"/>
      <c r="G518" s="2">
        <v>10</v>
      </c>
      <c r="H518" s="2" t="s">
        <v>2778</v>
      </c>
      <c r="I518" s="2" t="s">
        <v>695</v>
      </c>
      <c r="J518" s="2" t="s">
        <v>2537</v>
      </c>
      <c r="K518" s="2" t="s">
        <v>1855</v>
      </c>
      <c r="L518" s="2" t="s">
        <v>1847</v>
      </c>
      <c r="M518" s="2" t="str">
        <f t="shared" si="11"/>
        <v>14</v>
      </c>
      <c r="N518" s="2" t="s">
        <v>4291</v>
      </c>
      <c r="O518" s="2" t="s">
        <v>4373</v>
      </c>
      <c r="P518" s="2" t="s">
        <v>4379</v>
      </c>
    </row>
    <row r="519" spans="1:16">
      <c r="A519" s="4">
        <v>46248.412442129629</v>
      </c>
      <c r="B519" s="2" t="s">
        <v>1226</v>
      </c>
      <c r="C519" s="2" t="s">
        <v>735</v>
      </c>
      <c r="D519" s="2" t="s">
        <v>4261</v>
      </c>
      <c r="E519" s="2">
        <v>10</v>
      </c>
      <c r="F519" s="2"/>
      <c r="G519" s="2">
        <v>10</v>
      </c>
      <c r="H519" s="2" t="s">
        <v>2778</v>
      </c>
      <c r="I519" s="2" t="s">
        <v>695</v>
      </c>
      <c r="J519" s="2" t="s">
        <v>2537</v>
      </c>
      <c r="K519" s="2" t="s">
        <v>1855</v>
      </c>
      <c r="L519" s="2" t="s">
        <v>1847</v>
      </c>
      <c r="M519" s="2" t="str">
        <f t="shared" si="11"/>
        <v>14</v>
      </c>
      <c r="N519" s="2" t="s">
        <v>610</v>
      </c>
      <c r="O519" s="2" t="s">
        <v>4373</v>
      </c>
      <c r="P519" s="2" t="s">
        <v>4379</v>
      </c>
    </row>
    <row r="520" spans="1:16">
      <c r="A520" s="4">
        <v>46248.411296296297</v>
      </c>
      <c r="B520" s="2" t="s">
        <v>774</v>
      </c>
      <c r="C520" s="2" t="s">
        <v>735</v>
      </c>
      <c r="D520" s="2" t="s">
        <v>4261</v>
      </c>
      <c r="E520" s="2">
        <v>10</v>
      </c>
      <c r="F520" s="2"/>
      <c r="G520" s="2">
        <v>10</v>
      </c>
      <c r="H520" s="2" t="s">
        <v>2778</v>
      </c>
      <c r="I520" s="2" t="s">
        <v>695</v>
      </c>
      <c r="J520" s="2" t="s">
        <v>2537</v>
      </c>
      <c r="K520" s="2" t="s">
        <v>1855</v>
      </c>
      <c r="L520" s="2" t="s">
        <v>1847</v>
      </c>
      <c r="M520" s="2" t="str">
        <f t="shared" si="11"/>
        <v>14</v>
      </c>
      <c r="N520" s="2" t="s">
        <v>3276</v>
      </c>
      <c r="O520" s="2" t="s">
        <v>4373</v>
      </c>
      <c r="P520" s="2" t="s">
        <v>4379</v>
      </c>
    </row>
    <row r="521" spans="1:16">
      <c r="A521" s="4">
        <v>46248.411261574074</v>
      </c>
      <c r="B521" s="2" t="s">
        <v>1813</v>
      </c>
      <c r="C521" s="2" t="s">
        <v>735</v>
      </c>
      <c r="D521" s="2" t="s">
        <v>4261</v>
      </c>
      <c r="E521" s="2">
        <v>10</v>
      </c>
      <c r="F521" s="2"/>
      <c r="G521" s="2">
        <v>10</v>
      </c>
      <c r="H521" s="2" t="s">
        <v>2778</v>
      </c>
      <c r="I521" s="2" t="s">
        <v>695</v>
      </c>
      <c r="J521" s="2" t="s">
        <v>2537</v>
      </c>
      <c r="K521" s="2" t="s">
        <v>1855</v>
      </c>
      <c r="L521" s="2" t="s">
        <v>1847</v>
      </c>
      <c r="M521" s="2" t="str">
        <f t="shared" si="11"/>
        <v>14</v>
      </c>
      <c r="N521" s="2" t="s">
        <v>1316</v>
      </c>
      <c r="O521" s="2" t="s">
        <v>4373</v>
      </c>
      <c r="P521" s="2" t="s">
        <v>4379</v>
      </c>
    </row>
    <row r="522" spans="1:16">
      <c r="A522" s="4">
        <v>46248.410983796297</v>
      </c>
      <c r="B522" s="2" t="s">
        <v>1538</v>
      </c>
      <c r="C522" s="2" t="s">
        <v>735</v>
      </c>
      <c r="D522" s="2" t="s">
        <v>4261</v>
      </c>
      <c r="E522" s="2">
        <v>10</v>
      </c>
      <c r="F522" s="2"/>
      <c r="G522" s="2">
        <v>10</v>
      </c>
      <c r="H522" s="2" t="s">
        <v>2778</v>
      </c>
      <c r="I522" s="2" t="s">
        <v>695</v>
      </c>
      <c r="J522" s="2" t="s">
        <v>2537</v>
      </c>
      <c r="K522" s="2" t="s">
        <v>1855</v>
      </c>
      <c r="L522" s="2" t="s">
        <v>1847</v>
      </c>
      <c r="M522" s="2" t="str">
        <f t="shared" si="11"/>
        <v>14</v>
      </c>
      <c r="N522" s="2" t="s">
        <v>815</v>
      </c>
      <c r="O522" s="2" t="s">
        <v>4373</v>
      </c>
      <c r="P522" s="2" t="s">
        <v>4379</v>
      </c>
    </row>
    <row r="523" spans="1:16">
      <c r="A523" s="4">
        <v>46248.409849537034</v>
      </c>
      <c r="B523" s="2" t="s">
        <v>3764</v>
      </c>
      <c r="C523" s="2" t="s">
        <v>735</v>
      </c>
      <c r="D523" s="2" t="s">
        <v>4261</v>
      </c>
      <c r="E523" s="2">
        <v>10</v>
      </c>
      <c r="F523" s="2"/>
      <c r="G523" s="2">
        <v>10</v>
      </c>
      <c r="H523" s="2" t="s">
        <v>2778</v>
      </c>
      <c r="I523" s="2" t="s">
        <v>695</v>
      </c>
      <c r="J523" s="2" t="s">
        <v>2537</v>
      </c>
      <c r="K523" s="2" t="s">
        <v>1855</v>
      </c>
      <c r="L523" s="2" t="s">
        <v>1847</v>
      </c>
      <c r="M523" s="2" t="str">
        <f t="shared" si="11"/>
        <v>14</v>
      </c>
      <c r="N523" s="2" t="s">
        <v>2367</v>
      </c>
      <c r="O523" s="2" t="s">
        <v>4373</v>
      </c>
      <c r="P523" s="2" t="s">
        <v>4379</v>
      </c>
    </row>
    <row r="524" spans="1:16">
      <c r="A524" s="4">
        <v>46248.409768518519</v>
      </c>
      <c r="B524" s="2" t="s">
        <v>3312</v>
      </c>
      <c r="C524" s="2" t="s">
        <v>735</v>
      </c>
      <c r="D524" s="2" t="s">
        <v>4261</v>
      </c>
      <c r="E524" s="2">
        <v>10</v>
      </c>
      <c r="F524" s="2"/>
      <c r="G524" s="2">
        <v>10</v>
      </c>
      <c r="H524" s="2" t="s">
        <v>2778</v>
      </c>
      <c r="I524" s="2" t="s">
        <v>695</v>
      </c>
      <c r="J524" s="2" t="s">
        <v>2537</v>
      </c>
      <c r="K524" s="2" t="s">
        <v>1855</v>
      </c>
      <c r="L524" s="2" t="s">
        <v>1847</v>
      </c>
      <c r="M524" s="2" t="str">
        <f t="shared" si="11"/>
        <v>14</v>
      </c>
      <c r="N524" s="2" t="s">
        <v>1004</v>
      </c>
      <c r="O524" s="2" t="s">
        <v>4373</v>
      </c>
      <c r="P524" s="2" t="s">
        <v>4379</v>
      </c>
    </row>
    <row r="525" spans="1:16">
      <c r="A525" s="4">
        <v>46248.409733796296</v>
      </c>
      <c r="B525" s="2" t="s">
        <v>809</v>
      </c>
      <c r="C525" s="2" t="s">
        <v>735</v>
      </c>
      <c r="D525" s="2" t="s">
        <v>4261</v>
      </c>
      <c r="E525" s="2">
        <v>10</v>
      </c>
      <c r="F525" s="2"/>
      <c r="G525" s="2">
        <v>10</v>
      </c>
      <c r="H525" s="2" t="s">
        <v>2778</v>
      </c>
      <c r="I525" s="2" t="s">
        <v>695</v>
      </c>
      <c r="J525" s="2" t="s">
        <v>2537</v>
      </c>
      <c r="K525" s="2" t="s">
        <v>1855</v>
      </c>
      <c r="L525" s="2" t="s">
        <v>1847</v>
      </c>
      <c r="M525" s="2" t="str">
        <f t="shared" si="11"/>
        <v>14</v>
      </c>
      <c r="N525" s="2" t="s">
        <v>2735</v>
      </c>
      <c r="O525" s="2" t="s">
        <v>4373</v>
      </c>
      <c r="P525" s="2" t="s">
        <v>4379</v>
      </c>
    </row>
    <row r="526" spans="1:16">
      <c r="A526" s="4">
        <v>46248.40766203704</v>
      </c>
      <c r="B526" s="2" t="s">
        <v>3782</v>
      </c>
      <c r="C526" s="2" t="s">
        <v>735</v>
      </c>
      <c r="D526" s="2" t="s">
        <v>4261</v>
      </c>
      <c r="E526" s="2">
        <v>10</v>
      </c>
      <c r="F526" s="2"/>
      <c r="G526" s="2">
        <v>10</v>
      </c>
      <c r="H526" s="2" t="s">
        <v>2778</v>
      </c>
      <c r="I526" s="2" t="s">
        <v>695</v>
      </c>
      <c r="J526" s="2" t="s">
        <v>2537</v>
      </c>
      <c r="K526" s="2" t="s">
        <v>1855</v>
      </c>
      <c r="L526" s="2" t="s">
        <v>1847</v>
      </c>
      <c r="M526" s="2" t="str">
        <f t="shared" si="11"/>
        <v>14</v>
      </c>
      <c r="N526" s="2" t="s">
        <v>1504</v>
      </c>
      <c r="O526" s="2" t="s">
        <v>4373</v>
      </c>
      <c r="P526" s="2" t="s">
        <v>4379</v>
      </c>
    </row>
    <row r="527" spans="1:16">
      <c r="A527" s="4">
        <v>46248.407430555555</v>
      </c>
      <c r="B527" s="2" t="s">
        <v>371</v>
      </c>
      <c r="C527" s="2" t="s">
        <v>735</v>
      </c>
      <c r="D527" s="2" t="s">
        <v>4261</v>
      </c>
      <c r="E527" s="2">
        <v>10</v>
      </c>
      <c r="F527" s="2"/>
      <c r="G527" s="2">
        <v>10</v>
      </c>
      <c r="H527" s="2" t="s">
        <v>2778</v>
      </c>
      <c r="I527" s="2" t="s">
        <v>695</v>
      </c>
      <c r="J527" s="2" t="s">
        <v>2537</v>
      </c>
      <c r="K527" s="2" t="s">
        <v>1855</v>
      </c>
      <c r="L527" s="2" t="s">
        <v>1847</v>
      </c>
      <c r="M527" s="2" t="str">
        <f t="shared" si="11"/>
        <v>14</v>
      </c>
      <c r="N527" s="2" t="s">
        <v>2249</v>
      </c>
      <c r="O527" s="2" t="s">
        <v>4373</v>
      </c>
      <c r="P527" s="2" t="s">
        <v>4379</v>
      </c>
    </row>
    <row r="528" spans="1:16">
      <c r="A528" s="4">
        <v>46248.407395833332</v>
      </c>
      <c r="B528" s="2" t="s">
        <v>1738</v>
      </c>
      <c r="C528" s="2" t="s">
        <v>735</v>
      </c>
      <c r="D528" s="2" t="s">
        <v>4261</v>
      </c>
      <c r="E528" s="2">
        <v>10</v>
      </c>
      <c r="F528" s="2"/>
      <c r="G528" s="2">
        <v>10</v>
      </c>
      <c r="H528" s="2" t="s">
        <v>2778</v>
      </c>
      <c r="I528" s="2" t="s">
        <v>695</v>
      </c>
      <c r="J528" s="2" t="s">
        <v>2537</v>
      </c>
      <c r="K528" s="2" t="s">
        <v>1855</v>
      </c>
      <c r="L528" s="2" t="s">
        <v>1847</v>
      </c>
      <c r="M528" s="2" t="str">
        <f t="shared" si="11"/>
        <v>14</v>
      </c>
      <c r="N528" s="2" t="s">
        <v>2677</v>
      </c>
      <c r="O528" s="2" t="s">
        <v>4373</v>
      </c>
      <c r="P528" s="2" t="s">
        <v>4379</v>
      </c>
    </row>
    <row r="529" spans="1:16">
      <c r="A529" s="4">
        <v>46248.406342592592</v>
      </c>
      <c r="B529" s="2" t="s">
        <v>3046</v>
      </c>
      <c r="C529" s="2" t="s">
        <v>735</v>
      </c>
      <c r="D529" s="2" t="s">
        <v>4261</v>
      </c>
      <c r="E529" s="2">
        <v>10</v>
      </c>
      <c r="F529" s="2"/>
      <c r="G529" s="2">
        <v>10</v>
      </c>
      <c r="H529" s="2" t="s">
        <v>2778</v>
      </c>
      <c r="I529" s="2" t="s">
        <v>695</v>
      </c>
      <c r="J529" s="2" t="s">
        <v>2537</v>
      </c>
      <c r="K529" s="2" t="s">
        <v>1855</v>
      </c>
      <c r="L529" s="2" t="s">
        <v>1847</v>
      </c>
      <c r="M529" s="2" t="str">
        <f t="shared" si="11"/>
        <v>14</v>
      </c>
      <c r="N529" s="2" t="s">
        <v>888</v>
      </c>
      <c r="O529" s="2" t="s">
        <v>4373</v>
      </c>
      <c r="P529" s="2" t="s">
        <v>4379</v>
      </c>
    </row>
    <row r="530" spans="1:16">
      <c r="A530" s="4">
        <v>46248.406180555554</v>
      </c>
      <c r="B530" s="2" t="s">
        <v>195</v>
      </c>
      <c r="C530" s="2" t="s">
        <v>735</v>
      </c>
      <c r="D530" s="2" t="s">
        <v>4261</v>
      </c>
      <c r="E530" s="2">
        <v>10</v>
      </c>
      <c r="F530" s="2"/>
      <c r="G530" s="2">
        <v>10</v>
      </c>
      <c r="H530" s="2" t="s">
        <v>2778</v>
      </c>
      <c r="I530" s="2" t="s">
        <v>695</v>
      </c>
      <c r="J530" s="2" t="s">
        <v>2537</v>
      </c>
      <c r="K530" s="2" t="s">
        <v>1855</v>
      </c>
      <c r="L530" s="2" t="s">
        <v>1847</v>
      </c>
      <c r="M530" s="2" t="str">
        <f t="shared" si="11"/>
        <v>14</v>
      </c>
      <c r="N530" s="2" t="s">
        <v>3244</v>
      </c>
      <c r="O530" s="2" t="s">
        <v>4373</v>
      </c>
      <c r="P530" s="2" t="s">
        <v>4379</v>
      </c>
    </row>
    <row r="531" spans="1:16">
      <c r="A531" s="4">
        <v>46248.406111111108</v>
      </c>
      <c r="B531" s="2" t="s">
        <v>1782</v>
      </c>
      <c r="C531" s="2" t="s">
        <v>735</v>
      </c>
      <c r="D531" s="2" t="s">
        <v>4261</v>
      </c>
      <c r="E531" s="2">
        <v>10</v>
      </c>
      <c r="F531" s="2"/>
      <c r="G531" s="2">
        <v>10</v>
      </c>
      <c r="H531" s="2" t="s">
        <v>2778</v>
      </c>
      <c r="I531" s="2" t="s">
        <v>695</v>
      </c>
      <c r="J531" s="2" t="s">
        <v>2537</v>
      </c>
      <c r="K531" s="2" t="s">
        <v>1855</v>
      </c>
      <c r="L531" s="2" t="s">
        <v>1847</v>
      </c>
      <c r="M531" s="2" t="str">
        <f t="shared" si="11"/>
        <v>14</v>
      </c>
      <c r="N531" s="2" t="s">
        <v>2361</v>
      </c>
      <c r="O531" s="2" t="s">
        <v>4373</v>
      </c>
      <c r="P531" s="2" t="s">
        <v>4379</v>
      </c>
    </row>
    <row r="532" spans="1:16">
      <c r="A532" s="4">
        <v>46248.404560185183</v>
      </c>
      <c r="B532" s="2" t="s">
        <v>959</v>
      </c>
      <c r="C532" s="2" t="s">
        <v>735</v>
      </c>
      <c r="D532" s="2" t="s">
        <v>4261</v>
      </c>
      <c r="E532" s="2">
        <v>10</v>
      </c>
      <c r="F532" s="2"/>
      <c r="G532" s="2">
        <v>10</v>
      </c>
      <c r="H532" s="2" t="s">
        <v>2778</v>
      </c>
      <c r="I532" s="2" t="s">
        <v>695</v>
      </c>
      <c r="J532" s="2" t="s">
        <v>2537</v>
      </c>
      <c r="K532" s="2" t="s">
        <v>1855</v>
      </c>
      <c r="L532" s="2" t="s">
        <v>1847</v>
      </c>
      <c r="M532" s="2" t="str">
        <f t="shared" si="11"/>
        <v>14</v>
      </c>
      <c r="N532" s="2" t="s">
        <v>2300</v>
      </c>
      <c r="O532" s="2" t="s">
        <v>4373</v>
      </c>
      <c r="P532" s="2" t="s">
        <v>4379</v>
      </c>
    </row>
    <row r="533" spans="1:16">
      <c r="A533" s="4">
        <v>46248.404490740744</v>
      </c>
      <c r="B533" s="2" t="s">
        <v>792</v>
      </c>
      <c r="C533" s="2" t="s">
        <v>735</v>
      </c>
      <c r="D533" s="2" t="s">
        <v>4261</v>
      </c>
      <c r="E533" s="2">
        <v>10</v>
      </c>
      <c r="F533" s="2"/>
      <c r="G533" s="2">
        <v>10</v>
      </c>
      <c r="H533" s="2" t="s">
        <v>2778</v>
      </c>
      <c r="I533" s="2" t="s">
        <v>695</v>
      </c>
      <c r="J533" s="2" t="s">
        <v>2537</v>
      </c>
      <c r="K533" s="2" t="s">
        <v>1855</v>
      </c>
      <c r="L533" s="2" t="s">
        <v>1847</v>
      </c>
      <c r="M533" s="2" t="str">
        <f t="shared" si="11"/>
        <v>14</v>
      </c>
      <c r="N533" s="2" t="s">
        <v>1166</v>
      </c>
      <c r="O533" s="2" t="s">
        <v>4373</v>
      </c>
      <c r="P533" s="2" t="s">
        <v>4379</v>
      </c>
    </row>
    <row r="534" spans="1:16">
      <c r="A534" s="4">
        <v>46248.404479166667</v>
      </c>
      <c r="B534" s="2" t="s">
        <v>2532</v>
      </c>
      <c r="C534" s="2" t="s">
        <v>735</v>
      </c>
      <c r="D534" s="2" t="s">
        <v>4261</v>
      </c>
      <c r="E534" s="2">
        <v>10</v>
      </c>
      <c r="F534" s="2"/>
      <c r="G534" s="2">
        <v>10</v>
      </c>
      <c r="H534" s="2" t="s">
        <v>2778</v>
      </c>
      <c r="I534" s="2" t="s">
        <v>695</v>
      </c>
      <c r="J534" s="2" t="s">
        <v>2537</v>
      </c>
      <c r="K534" s="2" t="s">
        <v>1855</v>
      </c>
      <c r="L534" s="2" t="s">
        <v>1847</v>
      </c>
      <c r="M534" s="2" t="str">
        <f t="shared" si="11"/>
        <v>14</v>
      </c>
      <c r="N534" s="2" t="s">
        <v>2891</v>
      </c>
      <c r="O534" s="2" t="s">
        <v>4373</v>
      </c>
      <c r="P534" s="2" t="s">
        <v>4379</v>
      </c>
    </row>
    <row r="535" spans="1:16">
      <c r="A535" s="4">
        <v>46248.403298611112</v>
      </c>
      <c r="B535" s="2" t="s">
        <v>2209</v>
      </c>
      <c r="C535" s="2" t="s">
        <v>735</v>
      </c>
      <c r="D535" s="2" t="s">
        <v>4261</v>
      </c>
      <c r="E535" s="2">
        <v>10</v>
      </c>
      <c r="F535" s="2"/>
      <c r="G535" s="2">
        <v>10</v>
      </c>
      <c r="H535" s="2" t="s">
        <v>2778</v>
      </c>
      <c r="I535" s="2" t="s">
        <v>695</v>
      </c>
      <c r="J535" s="2" t="s">
        <v>2537</v>
      </c>
      <c r="K535" s="2" t="s">
        <v>1855</v>
      </c>
      <c r="L535" s="2" t="s">
        <v>1847</v>
      </c>
      <c r="M535" s="2" t="str">
        <f t="shared" si="11"/>
        <v>14</v>
      </c>
      <c r="N535" s="2" t="s">
        <v>2773</v>
      </c>
      <c r="O535" s="2" t="s">
        <v>4373</v>
      </c>
      <c r="P535" s="2" t="s">
        <v>4379</v>
      </c>
    </row>
    <row r="536" spans="1:16">
      <c r="A536" s="4">
        <v>46248.403043981481</v>
      </c>
      <c r="B536" s="2" t="s">
        <v>2766</v>
      </c>
      <c r="C536" s="2" t="s">
        <v>735</v>
      </c>
      <c r="D536" s="2" t="s">
        <v>4261</v>
      </c>
      <c r="E536" s="2">
        <v>10</v>
      </c>
      <c r="F536" s="2"/>
      <c r="G536" s="2">
        <v>10</v>
      </c>
      <c r="H536" s="2" t="s">
        <v>2778</v>
      </c>
      <c r="I536" s="2" t="s">
        <v>695</v>
      </c>
      <c r="J536" s="2" t="s">
        <v>2537</v>
      </c>
      <c r="K536" s="2" t="s">
        <v>1855</v>
      </c>
      <c r="L536" s="2" t="s">
        <v>1847</v>
      </c>
      <c r="M536" s="2" t="str">
        <f t="shared" si="11"/>
        <v>14</v>
      </c>
      <c r="N536" s="2" t="s">
        <v>2597</v>
      </c>
      <c r="O536" s="2" t="s">
        <v>4373</v>
      </c>
      <c r="P536" s="2" t="s">
        <v>4379</v>
      </c>
    </row>
    <row r="537" spans="1:16">
      <c r="A537" s="4">
        <v>46248.401932870373</v>
      </c>
      <c r="B537" s="2" t="s">
        <v>3453</v>
      </c>
      <c r="C537" s="2" t="s">
        <v>735</v>
      </c>
      <c r="D537" s="2" t="s">
        <v>4261</v>
      </c>
      <c r="E537" s="2">
        <v>10</v>
      </c>
      <c r="F537" s="2"/>
      <c r="G537" s="2">
        <v>10</v>
      </c>
      <c r="H537" s="2" t="s">
        <v>2778</v>
      </c>
      <c r="I537" s="2" t="s">
        <v>695</v>
      </c>
      <c r="J537" s="2" t="s">
        <v>2537</v>
      </c>
      <c r="K537" s="2" t="s">
        <v>1855</v>
      </c>
      <c r="L537" s="2" t="s">
        <v>1847</v>
      </c>
      <c r="M537" s="2" t="str">
        <f t="shared" si="11"/>
        <v>14</v>
      </c>
      <c r="N537" s="2" t="s">
        <v>3049</v>
      </c>
      <c r="O537" s="2" t="s">
        <v>4373</v>
      </c>
      <c r="P537" s="2" t="s">
        <v>4379</v>
      </c>
    </row>
    <row r="538" spans="1:16">
      <c r="A538" s="4">
        <v>46248.401828703703</v>
      </c>
      <c r="B538" s="2" t="s">
        <v>4347</v>
      </c>
      <c r="C538" s="2" t="s">
        <v>735</v>
      </c>
      <c r="D538" s="2" t="s">
        <v>4261</v>
      </c>
      <c r="E538" s="2">
        <v>10</v>
      </c>
      <c r="F538" s="2"/>
      <c r="G538" s="2">
        <v>10</v>
      </c>
      <c r="H538" s="2" t="s">
        <v>2778</v>
      </c>
      <c r="I538" s="2" t="s">
        <v>695</v>
      </c>
      <c r="J538" s="2" t="s">
        <v>2537</v>
      </c>
      <c r="K538" s="2" t="s">
        <v>1855</v>
      </c>
      <c r="L538" s="2" t="s">
        <v>1847</v>
      </c>
      <c r="M538" s="2" t="str">
        <f t="shared" si="11"/>
        <v>14</v>
      </c>
      <c r="N538" s="2" t="s">
        <v>4307</v>
      </c>
      <c r="O538" s="2" t="s">
        <v>4373</v>
      </c>
      <c r="P538" s="2" t="s">
        <v>4379</v>
      </c>
    </row>
    <row r="539" spans="1:16">
      <c r="A539" s="4">
        <v>46248.401678240742</v>
      </c>
      <c r="B539" s="2" t="s">
        <v>1255</v>
      </c>
      <c r="C539" s="2" t="s">
        <v>735</v>
      </c>
      <c r="D539" s="2" t="s">
        <v>4261</v>
      </c>
      <c r="E539" s="2">
        <v>10</v>
      </c>
      <c r="F539" s="2"/>
      <c r="G539" s="2">
        <v>10</v>
      </c>
      <c r="H539" s="2" t="s">
        <v>2778</v>
      </c>
      <c r="I539" s="2" t="s">
        <v>695</v>
      </c>
      <c r="J539" s="2" t="s">
        <v>2537</v>
      </c>
      <c r="K539" s="2" t="s">
        <v>1855</v>
      </c>
      <c r="L539" s="2" t="s">
        <v>1847</v>
      </c>
      <c r="M539" s="2" t="str">
        <f t="shared" si="11"/>
        <v>14</v>
      </c>
      <c r="N539" s="2" t="s">
        <v>3741</v>
      </c>
      <c r="O539" s="2" t="s">
        <v>4373</v>
      </c>
      <c r="P539" s="2" t="s">
        <v>4379</v>
      </c>
    </row>
    <row r="540" spans="1:16">
      <c r="A540" s="4">
        <v>46247.857951388891</v>
      </c>
      <c r="B540" s="2" t="s">
        <v>2204</v>
      </c>
      <c r="C540" s="2" t="s">
        <v>735</v>
      </c>
      <c r="D540" s="2" t="s">
        <v>4261</v>
      </c>
      <c r="E540" s="2">
        <v>10</v>
      </c>
      <c r="F540" s="2"/>
      <c r="G540" s="2">
        <v>10</v>
      </c>
      <c r="H540" s="2" t="s">
        <v>3629</v>
      </c>
      <c r="I540" s="2" t="s">
        <v>695</v>
      </c>
      <c r="J540" s="2" t="s">
        <v>2537</v>
      </c>
      <c r="K540" s="2" t="s">
        <v>1855</v>
      </c>
      <c r="L540" s="2" t="s">
        <v>3386</v>
      </c>
      <c r="M540" s="2" t="str">
        <f t="shared" si="11"/>
        <v>13</v>
      </c>
      <c r="N540" s="2" t="s">
        <v>2115</v>
      </c>
      <c r="O540" s="2" t="s">
        <v>4373</v>
      </c>
      <c r="P540" s="2" t="s">
        <v>4380</v>
      </c>
    </row>
    <row r="541" spans="1:16">
      <c r="A541" s="4">
        <v>46247.857824074075</v>
      </c>
      <c r="B541" s="2" t="s">
        <v>3339</v>
      </c>
      <c r="C541" s="2" t="s">
        <v>735</v>
      </c>
      <c r="D541" s="2" t="s">
        <v>4261</v>
      </c>
      <c r="E541" s="2">
        <v>10</v>
      </c>
      <c r="F541" s="2"/>
      <c r="G541" s="2">
        <v>10</v>
      </c>
      <c r="H541" s="2" t="s">
        <v>3629</v>
      </c>
      <c r="I541" s="2" t="s">
        <v>695</v>
      </c>
      <c r="J541" s="2" t="s">
        <v>2537</v>
      </c>
      <c r="K541" s="2" t="s">
        <v>1855</v>
      </c>
      <c r="L541" s="2" t="s">
        <v>3386</v>
      </c>
      <c r="M541" s="2" t="str">
        <f t="shared" si="11"/>
        <v>13</v>
      </c>
      <c r="N541" s="2" t="s">
        <v>472</v>
      </c>
      <c r="O541" s="2" t="s">
        <v>4373</v>
      </c>
      <c r="P541" s="2" t="s">
        <v>4380</v>
      </c>
    </row>
    <row r="542" spans="1:16">
      <c r="A542" s="4">
        <v>46247.857719907406</v>
      </c>
      <c r="B542" s="2" t="s">
        <v>1195</v>
      </c>
      <c r="C542" s="2" t="s">
        <v>735</v>
      </c>
      <c r="D542" s="2" t="s">
        <v>4261</v>
      </c>
      <c r="E542" s="2">
        <v>10</v>
      </c>
      <c r="F542" s="2"/>
      <c r="G542" s="2">
        <v>10</v>
      </c>
      <c r="H542" s="2" t="s">
        <v>3629</v>
      </c>
      <c r="I542" s="2" t="s">
        <v>695</v>
      </c>
      <c r="J542" s="2" t="s">
        <v>2537</v>
      </c>
      <c r="K542" s="2" t="s">
        <v>1855</v>
      </c>
      <c r="L542" s="2" t="s">
        <v>3386</v>
      </c>
      <c r="M542" s="2" t="str">
        <f t="shared" si="11"/>
        <v>13</v>
      </c>
      <c r="N542" s="2" t="s">
        <v>3217</v>
      </c>
      <c r="O542" s="2" t="s">
        <v>4373</v>
      </c>
      <c r="P542" s="2" t="s">
        <v>4380</v>
      </c>
    </row>
    <row r="543" spans="1:16">
      <c r="A543" s="4">
        <v>46247.857141203705</v>
      </c>
      <c r="B543" s="2" t="s">
        <v>2643</v>
      </c>
      <c r="C543" s="2" t="s">
        <v>735</v>
      </c>
      <c r="D543" s="2" t="s">
        <v>4261</v>
      </c>
      <c r="E543" s="2">
        <v>10</v>
      </c>
      <c r="F543" s="2"/>
      <c r="G543" s="2">
        <v>10</v>
      </c>
      <c r="H543" s="2" t="s">
        <v>3629</v>
      </c>
      <c r="I543" s="2" t="s">
        <v>695</v>
      </c>
      <c r="J543" s="2" t="s">
        <v>2537</v>
      </c>
      <c r="K543" s="2" t="s">
        <v>1855</v>
      </c>
      <c r="L543" s="2" t="s">
        <v>3386</v>
      </c>
      <c r="M543" s="2" t="str">
        <f t="shared" si="11"/>
        <v>13</v>
      </c>
      <c r="N543" s="2" t="s">
        <v>3880</v>
      </c>
      <c r="O543" s="2" t="s">
        <v>4373</v>
      </c>
      <c r="P543" s="2" t="s">
        <v>4380</v>
      </c>
    </row>
    <row r="544" spans="1:16">
      <c r="A544" s="4">
        <v>46247.856319444443</v>
      </c>
      <c r="B544" s="2" t="s">
        <v>1585</v>
      </c>
      <c r="C544" s="2" t="s">
        <v>735</v>
      </c>
      <c r="D544" s="2" t="s">
        <v>4261</v>
      </c>
      <c r="E544" s="2">
        <v>10</v>
      </c>
      <c r="F544" s="2"/>
      <c r="G544" s="2">
        <v>10</v>
      </c>
      <c r="H544" s="2" t="s">
        <v>3629</v>
      </c>
      <c r="I544" s="2" t="s">
        <v>695</v>
      </c>
      <c r="J544" s="2" t="s">
        <v>2537</v>
      </c>
      <c r="K544" s="2" t="s">
        <v>1855</v>
      </c>
      <c r="L544" s="2" t="s">
        <v>3386</v>
      </c>
      <c r="M544" s="2" t="str">
        <f t="shared" si="11"/>
        <v>13</v>
      </c>
      <c r="N544" s="2" t="s">
        <v>4082</v>
      </c>
      <c r="O544" s="2" t="s">
        <v>4373</v>
      </c>
      <c r="P544" s="2" t="s">
        <v>4380</v>
      </c>
    </row>
    <row r="545" spans="1:16">
      <c r="A545" s="4">
        <v>46247.856168981481</v>
      </c>
      <c r="B545" s="2" t="s">
        <v>3546</v>
      </c>
      <c r="C545" s="2" t="s">
        <v>735</v>
      </c>
      <c r="D545" s="2" t="s">
        <v>4261</v>
      </c>
      <c r="E545" s="2">
        <v>10</v>
      </c>
      <c r="F545" s="2"/>
      <c r="G545" s="2">
        <v>10</v>
      </c>
      <c r="H545" s="2" t="s">
        <v>3629</v>
      </c>
      <c r="I545" s="2" t="s">
        <v>695</v>
      </c>
      <c r="J545" s="2" t="s">
        <v>2537</v>
      </c>
      <c r="K545" s="2" t="s">
        <v>1855</v>
      </c>
      <c r="L545" s="2" t="s">
        <v>3386</v>
      </c>
      <c r="M545" s="2" t="str">
        <f t="shared" si="11"/>
        <v>13</v>
      </c>
      <c r="N545" s="2" t="s">
        <v>4063</v>
      </c>
      <c r="O545" s="2" t="s">
        <v>4373</v>
      </c>
      <c r="P545" s="2" t="s">
        <v>4380</v>
      </c>
    </row>
    <row r="546" spans="1:16">
      <c r="A546" s="4">
        <v>46247.855462962965</v>
      </c>
      <c r="B546" s="2" t="s">
        <v>1150</v>
      </c>
      <c r="C546" s="2" t="s">
        <v>735</v>
      </c>
      <c r="D546" s="2" t="s">
        <v>4261</v>
      </c>
      <c r="E546" s="2">
        <v>10</v>
      </c>
      <c r="F546" s="2"/>
      <c r="G546" s="2">
        <v>10</v>
      </c>
      <c r="H546" s="2" t="s">
        <v>3629</v>
      </c>
      <c r="I546" s="2" t="s">
        <v>695</v>
      </c>
      <c r="J546" s="2" t="s">
        <v>2537</v>
      </c>
      <c r="K546" s="2" t="s">
        <v>1855</v>
      </c>
      <c r="L546" s="2" t="s">
        <v>3386</v>
      </c>
      <c r="M546" s="2" t="str">
        <f t="shared" si="11"/>
        <v>13</v>
      </c>
      <c r="N546" s="2" t="s">
        <v>2720</v>
      </c>
      <c r="O546" s="2" t="s">
        <v>4373</v>
      </c>
      <c r="P546" s="2" t="s">
        <v>4380</v>
      </c>
    </row>
    <row r="547" spans="1:16">
      <c r="A547" s="4">
        <v>46247.855358796296</v>
      </c>
      <c r="B547" s="2" t="s">
        <v>3461</v>
      </c>
      <c r="C547" s="2" t="s">
        <v>735</v>
      </c>
      <c r="D547" s="2" t="s">
        <v>4261</v>
      </c>
      <c r="E547" s="2">
        <v>10</v>
      </c>
      <c r="F547" s="2"/>
      <c r="G547" s="2">
        <v>10</v>
      </c>
      <c r="H547" s="2" t="s">
        <v>3629</v>
      </c>
      <c r="I547" s="2" t="s">
        <v>695</v>
      </c>
      <c r="J547" s="2" t="s">
        <v>2537</v>
      </c>
      <c r="K547" s="2" t="s">
        <v>1855</v>
      </c>
      <c r="L547" s="2" t="s">
        <v>3386</v>
      </c>
      <c r="M547" s="2" t="str">
        <f t="shared" si="11"/>
        <v>13</v>
      </c>
      <c r="N547" s="2" t="s">
        <v>36</v>
      </c>
      <c r="O547" s="2" t="s">
        <v>4373</v>
      </c>
      <c r="P547" s="2" t="s">
        <v>4380</v>
      </c>
    </row>
    <row r="548" spans="1:16">
      <c r="A548" s="4">
        <v>46247.855115740742</v>
      </c>
      <c r="B548" s="2" t="s">
        <v>652</v>
      </c>
      <c r="C548" s="2" t="s">
        <v>735</v>
      </c>
      <c r="D548" s="2" t="s">
        <v>4261</v>
      </c>
      <c r="E548" s="2">
        <v>10</v>
      </c>
      <c r="F548" s="2"/>
      <c r="G548" s="2">
        <v>10</v>
      </c>
      <c r="H548" s="2" t="s">
        <v>3629</v>
      </c>
      <c r="I548" s="2" t="s">
        <v>695</v>
      </c>
      <c r="J548" s="2" t="s">
        <v>2537</v>
      </c>
      <c r="K548" s="2" t="s">
        <v>1855</v>
      </c>
      <c r="L548" s="2" t="s">
        <v>3386</v>
      </c>
      <c r="M548" s="2" t="str">
        <f t="shared" si="11"/>
        <v>13</v>
      </c>
      <c r="N548" s="2" t="s">
        <v>4032</v>
      </c>
      <c r="O548" s="2" t="s">
        <v>4373</v>
      </c>
      <c r="P548" s="2" t="s">
        <v>4380</v>
      </c>
    </row>
    <row r="549" spans="1:16">
      <c r="A549" s="4">
        <v>46247.853750000002</v>
      </c>
      <c r="B549" s="2" t="s">
        <v>2168</v>
      </c>
      <c r="C549" s="2" t="s">
        <v>735</v>
      </c>
      <c r="D549" s="2" t="s">
        <v>4261</v>
      </c>
      <c r="E549" s="2">
        <v>10</v>
      </c>
      <c r="F549" s="2"/>
      <c r="G549" s="2">
        <v>10</v>
      </c>
      <c r="H549" s="2" t="s">
        <v>3629</v>
      </c>
      <c r="I549" s="2" t="s">
        <v>695</v>
      </c>
      <c r="J549" s="2" t="s">
        <v>2537</v>
      </c>
      <c r="K549" s="2" t="s">
        <v>1855</v>
      </c>
      <c r="L549" s="2" t="s">
        <v>3386</v>
      </c>
      <c r="M549" s="2" t="str">
        <f t="shared" si="11"/>
        <v>13</v>
      </c>
      <c r="N549" s="2" t="s">
        <v>2143</v>
      </c>
      <c r="O549" s="2" t="s">
        <v>4373</v>
      </c>
      <c r="P549" s="2" t="s">
        <v>4380</v>
      </c>
    </row>
    <row r="550" spans="1:16">
      <c r="A550" s="4">
        <v>46247.853668981479</v>
      </c>
      <c r="B550" s="2" t="s">
        <v>1556</v>
      </c>
      <c r="C550" s="2" t="s">
        <v>735</v>
      </c>
      <c r="D550" s="2" t="s">
        <v>4261</v>
      </c>
      <c r="E550" s="2">
        <v>10</v>
      </c>
      <c r="F550" s="2"/>
      <c r="G550" s="2">
        <v>10</v>
      </c>
      <c r="H550" s="2" t="s">
        <v>3629</v>
      </c>
      <c r="I550" s="2" t="s">
        <v>695</v>
      </c>
      <c r="J550" s="2" t="s">
        <v>2537</v>
      </c>
      <c r="K550" s="2" t="s">
        <v>1855</v>
      </c>
      <c r="L550" s="2" t="s">
        <v>3386</v>
      </c>
      <c r="M550" s="2" t="str">
        <f t="shared" si="11"/>
        <v>13</v>
      </c>
      <c r="N550" s="2" t="s">
        <v>1277</v>
      </c>
      <c r="O550" s="2" t="s">
        <v>4373</v>
      </c>
      <c r="P550" s="2" t="s">
        <v>4380</v>
      </c>
    </row>
    <row r="551" spans="1:16">
      <c r="A551" s="4">
        <v>46247.853483796294</v>
      </c>
      <c r="B551" s="2" t="s">
        <v>1395</v>
      </c>
      <c r="C551" s="2" t="s">
        <v>735</v>
      </c>
      <c r="D551" s="2" t="s">
        <v>4261</v>
      </c>
      <c r="E551" s="2">
        <v>10</v>
      </c>
      <c r="F551" s="2"/>
      <c r="G551" s="2">
        <v>10</v>
      </c>
      <c r="H551" s="2" t="s">
        <v>3629</v>
      </c>
      <c r="I551" s="2" t="s">
        <v>695</v>
      </c>
      <c r="J551" s="2" t="s">
        <v>2537</v>
      </c>
      <c r="K551" s="2" t="s">
        <v>1855</v>
      </c>
      <c r="L551" s="2" t="s">
        <v>3386</v>
      </c>
      <c r="M551" s="2" t="str">
        <f t="shared" si="11"/>
        <v>13</v>
      </c>
      <c r="N551" s="2" t="s">
        <v>375</v>
      </c>
      <c r="O551" s="2" t="s">
        <v>4373</v>
      </c>
      <c r="P551" s="2" t="s">
        <v>4380</v>
      </c>
    </row>
    <row r="552" spans="1:16">
      <c r="A552" s="4">
        <v>46247.852812500001</v>
      </c>
      <c r="B552" s="2" t="s">
        <v>3772</v>
      </c>
      <c r="C552" s="2" t="s">
        <v>735</v>
      </c>
      <c r="D552" s="2" t="s">
        <v>4261</v>
      </c>
      <c r="E552" s="2">
        <v>10</v>
      </c>
      <c r="F552" s="2"/>
      <c r="G552" s="2">
        <v>10</v>
      </c>
      <c r="H552" s="2" t="s">
        <v>3629</v>
      </c>
      <c r="I552" s="2" t="s">
        <v>695</v>
      </c>
      <c r="J552" s="2" t="s">
        <v>2537</v>
      </c>
      <c r="K552" s="2" t="s">
        <v>1855</v>
      </c>
      <c r="L552" s="2" t="s">
        <v>3386</v>
      </c>
      <c r="M552" s="2" t="str">
        <f t="shared" si="11"/>
        <v>13</v>
      </c>
      <c r="N552" s="2" t="s">
        <v>1444</v>
      </c>
      <c r="O552" s="2" t="s">
        <v>4373</v>
      </c>
      <c r="P552" s="2" t="s">
        <v>4380</v>
      </c>
    </row>
    <row r="553" spans="1:16">
      <c r="A553" s="4">
        <v>46247.852476851855</v>
      </c>
      <c r="B553" s="2" t="s">
        <v>2165</v>
      </c>
      <c r="C553" s="2" t="s">
        <v>735</v>
      </c>
      <c r="D553" s="2" t="s">
        <v>4261</v>
      </c>
      <c r="E553" s="2">
        <v>10</v>
      </c>
      <c r="F553" s="2"/>
      <c r="G553" s="2">
        <v>10</v>
      </c>
      <c r="H553" s="2" t="s">
        <v>3629</v>
      </c>
      <c r="I553" s="2" t="s">
        <v>695</v>
      </c>
      <c r="J553" s="2" t="s">
        <v>2537</v>
      </c>
      <c r="K553" s="2" t="s">
        <v>1855</v>
      </c>
      <c r="L553" s="2" t="s">
        <v>3386</v>
      </c>
      <c r="M553" s="2" t="str">
        <f t="shared" si="11"/>
        <v>13</v>
      </c>
      <c r="N553" s="2" t="s">
        <v>1754</v>
      </c>
      <c r="O553" s="2" t="s">
        <v>4373</v>
      </c>
      <c r="P553" s="2" t="s">
        <v>4380</v>
      </c>
    </row>
    <row r="554" spans="1:16">
      <c r="A554" s="4">
        <v>46247.852280092593</v>
      </c>
      <c r="B554" s="2" t="s">
        <v>4367</v>
      </c>
      <c r="C554" s="2" t="s">
        <v>735</v>
      </c>
      <c r="D554" s="2" t="s">
        <v>4261</v>
      </c>
      <c r="E554" s="2">
        <v>10</v>
      </c>
      <c r="F554" s="2"/>
      <c r="G554" s="2">
        <v>10</v>
      </c>
      <c r="H554" s="2" t="s">
        <v>3629</v>
      </c>
      <c r="I554" s="2" t="s">
        <v>695</v>
      </c>
      <c r="J554" s="2" t="s">
        <v>2537</v>
      </c>
      <c r="K554" s="2" t="s">
        <v>1855</v>
      </c>
      <c r="L554" s="2" t="s">
        <v>3386</v>
      </c>
      <c r="M554" s="2" t="str">
        <f t="shared" si="11"/>
        <v>13</v>
      </c>
      <c r="N554" s="2" t="s">
        <v>1407</v>
      </c>
      <c r="O554" s="2" t="s">
        <v>4373</v>
      </c>
      <c r="P554" s="2" t="s">
        <v>4380</v>
      </c>
    </row>
    <row r="555" spans="1:16">
      <c r="A555" s="4">
        <v>46247.851527777777</v>
      </c>
      <c r="B555" s="2" t="s">
        <v>503</v>
      </c>
      <c r="C555" s="2" t="s">
        <v>735</v>
      </c>
      <c r="D555" s="2" t="s">
        <v>4261</v>
      </c>
      <c r="E555" s="2">
        <v>10</v>
      </c>
      <c r="F555" s="2"/>
      <c r="G555" s="2">
        <v>10</v>
      </c>
      <c r="H555" s="2" t="s">
        <v>3629</v>
      </c>
      <c r="I555" s="2" t="s">
        <v>695</v>
      </c>
      <c r="J555" s="2" t="s">
        <v>2537</v>
      </c>
      <c r="K555" s="2" t="s">
        <v>1855</v>
      </c>
      <c r="L555" s="2" t="s">
        <v>3386</v>
      </c>
      <c r="M555" s="2" t="str">
        <f t="shared" si="11"/>
        <v>13</v>
      </c>
      <c r="N555" s="2" t="s">
        <v>1042</v>
      </c>
      <c r="O555" s="2" t="s">
        <v>4373</v>
      </c>
      <c r="P555" s="2" t="s">
        <v>4380</v>
      </c>
    </row>
    <row r="556" spans="1:16">
      <c r="A556" s="4">
        <v>46247.851446759261</v>
      </c>
      <c r="B556" s="2" t="s">
        <v>770</v>
      </c>
      <c r="C556" s="2" t="s">
        <v>735</v>
      </c>
      <c r="D556" s="2" t="s">
        <v>4261</v>
      </c>
      <c r="E556" s="2">
        <v>10</v>
      </c>
      <c r="F556" s="2"/>
      <c r="G556" s="2">
        <v>10</v>
      </c>
      <c r="H556" s="2" t="s">
        <v>3629</v>
      </c>
      <c r="I556" s="2" t="s">
        <v>695</v>
      </c>
      <c r="J556" s="2" t="s">
        <v>2537</v>
      </c>
      <c r="K556" s="2" t="s">
        <v>1855</v>
      </c>
      <c r="L556" s="2" t="s">
        <v>3386</v>
      </c>
      <c r="M556" s="2" t="str">
        <f t="shared" si="11"/>
        <v>13</v>
      </c>
      <c r="N556" s="2" t="s">
        <v>4031</v>
      </c>
      <c r="O556" s="2" t="s">
        <v>4373</v>
      </c>
      <c r="P556" s="2" t="s">
        <v>4380</v>
      </c>
    </row>
    <row r="557" spans="1:16">
      <c r="A557" s="4">
        <v>46247.851238425923</v>
      </c>
      <c r="B557" s="2" t="s">
        <v>1879</v>
      </c>
      <c r="C557" s="2" t="s">
        <v>735</v>
      </c>
      <c r="D557" s="2" t="s">
        <v>4261</v>
      </c>
      <c r="E557" s="2">
        <v>10</v>
      </c>
      <c r="F557" s="2"/>
      <c r="G557" s="2">
        <v>10</v>
      </c>
      <c r="H557" s="2" t="s">
        <v>3629</v>
      </c>
      <c r="I557" s="2" t="s">
        <v>695</v>
      </c>
      <c r="J557" s="2" t="s">
        <v>2537</v>
      </c>
      <c r="K557" s="2" t="s">
        <v>1855</v>
      </c>
      <c r="L557" s="2" t="s">
        <v>3386</v>
      </c>
      <c r="M557" s="2" t="str">
        <f t="shared" si="11"/>
        <v>13</v>
      </c>
      <c r="N557" s="2" t="s">
        <v>2486</v>
      </c>
      <c r="O557" s="2" t="s">
        <v>4373</v>
      </c>
      <c r="P557" s="2" t="s">
        <v>4380</v>
      </c>
    </row>
    <row r="558" spans="1:16">
      <c r="A558" s="4">
        <v>46247.849988425929</v>
      </c>
      <c r="B558" s="2" t="s">
        <v>2238</v>
      </c>
      <c r="C558" s="2" t="s">
        <v>735</v>
      </c>
      <c r="D558" s="2" t="s">
        <v>4261</v>
      </c>
      <c r="E558" s="2">
        <v>10</v>
      </c>
      <c r="F558" s="2"/>
      <c r="G558" s="2">
        <v>10</v>
      </c>
      <c r="H558" s="2" t="s">
        <v>3629</v>
      </c>
      <c r="I558" s="2" t="s">
        <v>695</v>
      </c>
      <c r="J558" s="2" t="s">
        <v>2537</v>
      </c>
      <c r="K558" s="2" t="s">
        <v>1855</v>
      </c>
      <c r="L558" s="2" t="s">
        <v>3386</v>
      </c>
      <c r="M558" s="2" t="str">
        <f t="shared" si="11"/>
        <v>13</v>
      </c>
      <c r="N558" s="2" t="s">
        <v>2125</v>
      </c>
      <c r="O558" s="2" t="s">
        <v>4373</v>
      </c>
      <c r="P558" s="2" t="s">
        <v>4380</v>
      </c>
    </row>
    <row r="559" spans="1:16">
      <c r="A559" s="4">
        <v>46247.849814814814</v>
      </c>
      <c r="B559" s="2" t="s">
        <v>3289</v>
      </c>
      <c r="C559" s="2" t="s">
        <v>735</v>
      </c>
      <c r="D559" s="2" t="s">
        <v>4261</v>
      </c>
      <c r="E559" s="2">
        <v>10</v>
      </c>
      <c r="F559" s="2"/>
      <c r="G559" s="2">
        <v>10</v>
      </c>
      <c r="H559" s="2" t="s">
        <v>3629</v>
      </c>
      <c r="I559" s="2" t="s">
        <v>695</v>
      </c>
      <c r="J559" s="2" t="s">
        <v>2537</v>
      </c>
      <c r="K559" s="2" t="s">
        <v>1855</v>
      </c>
      <c r="L559" s="2" t="s">
        <v>3386</v>
      </c>
      <c r="M559" s="2" t="str">
        <f t="shared" si="11"/>
        <v>13</v>
      </c>
      <c r="N559" s="2" t="s">
        <v>3634</v>
      </c>
      <c r="O559" s="2" t="s">
        <v>4373</v>
      </c>
      <c r="P559" s="2" t="s">
        <v>4380</v>
      </c>
    </row>
    <row r="560" spans="1:16">
      <c r="A560" s="4">
        <v>46247.849745370368</v>
      </c>
      <c r="B560" s="2" t="s">
        <v>1572</v>
      </c>
      <c r="C560" s="2" t="s">
        <v>735</v>
      </c>
      <c r="D560" s="2" t="s">
        <v>4261</v>
      </c>
      <c r="E560" s="2">
        <v>10</v>
      </c>
      <c r="F560" s="2"/>
      <c r="G560" s="2">
        <v>10</v>
      </c>
      <c r="H560" s="2" t="s">
        <v>3629</v>
      </c>
      <c r="I560" s="2" t="s">
        <v>695</v>
      </c>
      <c r="J560" s="2" t="s">
        <v>2537</v>
      </c>
      <c r="K560" s="2" t="s">
        <v>1855</v>
      </c>
      <c r="L560" s="2" t="s">
        <v>3386</v>
      </c>
      <c r="M560" s="2" t="str">
        <f t="shared" si="11"/>
        <v>13</v>
      </c>
      <c r="N560" s="2" t="s">
        <v>3571</v>
      </c>
      <c r="O560" s="2" t="s">
        <v>4373</v>
      </c>
      <c r="P560" s="2" t="s">
        <v>4380</v>
      </c>
    </row>
    <row r="561" spans="1:16">
      <c r="A561" s="4">
        <v>46247.848564814813</v>
      </c>
      <c r="B561" s="2" t="s">
        <v>218</v>
      </c>
      <c r="C561" s="2" t="s">
        <v>735</v>
      </c>
      <c r="D561" s="2" t="s">
        <v>4261</v>
      </c>
      <c r="E561" s="2">
        <v>10</v>
      </c>
      <c r="F561" s="2"/>
      <c r="G561" s="2">
        <v>10</v>
      </c>
      <c r="H561" s="2" t="s">
        <v>3629</v>
      </c>
      <c r="I561" s="2" t="s">
        <v>695</v>
      </c>
      <c r="J561" s="2" t="s">
        <v>2537</v>
      </c>
      <c r="K561" s="2" t="s">
        <v>1855</v>
      </c>
      <c r="L561" s="2" t="s">
        <v>3386</v>
      </c>
      <c r="M561" s="2" t="str">
        <f t="shared" si="11"/>
        <v>13</v>
      </c>
      <c r="N561" s="2" t="s">
        <v>2589</v>
      </c>
      <c r="O561" s="2" t="s">
        <v>4373</v>
      </c>
      <c r="P561" s="2" t="s">
        <v>4380</v>
      </c>
    </row>
    <row r="562" spans="1:16">
      <c r="A562" s="4">
        <v>46247.848437499997</v>
      </c>
      <c r="B562" s="2" t="s">
        <v>3324</v>
      </c>
      <c r="C562" s="2" t="s">
        <v>735</v>
      </c>
      <c r="D562" s="2" t="s">
        <v>4261</v>
      </c>
      <c r="E562" s="2">
        <v>10</v>
      </c>
      <c r="F562" s="2"/>
      <c r="G562" s="2">
        <v>10</v>
      </c>
      <c r="H562" s="2" t="s">
        <v>3629</v>
      </c>
      <c r="I562" s="2" t="s">
        <v>695</v>
      </c>
      <c r="J562" s="2" t="s">
        <v>2537</v>
      </c>
      <c r="K562" s="2" t="s">
        <v>1855</v>
      </c>
      <c r="L562" s="2" t="s">
        <v>3386</v>
      </c>
      <c r="M562" s="2" t="str">
        <f t="shared" si="11"/>
        <v>13</v>
      </c>
      <c r="N562" s="2" t="s">
        <v>3752</v>
      </c>
      <c r="O562" s="2" t="s">
        <v>4373</v>
      </c>
      <c r="P562" s="2" t="s">
        <v>4380</v>
      </c>
    </row>
    <row r="563" spans="1:16">
      <c r="A563" s="4">
        <v>46247.848217592589</v>
      </c>
      <c r="B563" s="2" t="s">
        <v>1724</v>
      </c>
      <c r="C563" s="2" t="s">
        <v>735</v>
      </c>
      <c r="D563" s="2" t="s">
        <v>4261</v>
      </c>
      <c r="E563" s="2">
        <v>10</v>
      </c>
      <c r="F563" s="2"/>
      <c r="G563" s="2">
        <v>10</v>
      </c>
      <c r="H563" s="2" t="s">
        <v>3629</v>
      </c>
      <c r="I563" s="2" t="s">
        <v>695</v>
      </c>
      <c r="J563" s="2" t="s">
        <v>2537</v>
      </c>
      <c r="K563" s="2" t="s">
        <v>1855</v>
      </c>
      <c r="L563" s="2" t="s">
        <v>3386</v>
      </c>
      <c r="M563" s="2" t="str">
        <f t="shared" si="11"/>
        <v>13</v>
      </c>
      <c r="N563" s="2" t="s">
        <v>2518</v>
      </c>
      <c r="O563" s="2" t="s">
        <v>4373</v>
      </c>
      <c r="P563" s="2" t="s">
        <v>4380</v>
      </c>
    </row>
    <row r="564" spans="1:16">
      <c r="A564" s="4">
        <v>46247.847245370373</v>
      </c>
      <c r="B564" s="2" t="s">
        <v>1732</v>
      </c>
      <c r="C564" s="2" t="s">
        <v>735</v>
      </c>
      <c r="D564" s="2" t="s">
        <v>4261</v>
      </c>
      <c r="E564" s="2">
        <v>10</v>
      </c>
      <c r="F564" s="2"/>
      <c r="G564" s="2">
        <v>10</v>
      </c>
      <c r="H564" s="2" t="s">
        <v>3629</v>
      </c>
      <c r="I564" s="2" t="s">
        <v>695</v>
      </c>
      <c r="J564" s="2" t="s">
        <v>2537</v>
      </c>
      <c r="K564" s="2" t="s">
        <v>1855</v>
      </c>
      <c r="L564" s="2" t="s">
        <v>3386</v>
      </c>
      <c r="M564" s="2" t="str">
        <f t="shared" si="11"/>
        <v>13</v>
      </c>
      <c r="N564" s="2" t="s">
        <v>1216</v>
      </c>
      <c r="O564" s="2" t="s">
        <v>4373</v>
      </c>
      <c r="P564" s="2" t="s">
        <v>4380</v>
      </c>
    </row>
    <row r="565" spans="1:16">
      <c r="A565" s="4">
        <v>46247.846828703703</v>
      </c>
      <c r="B565" s="2" t="s">
        <v>2981</v>
      </c>
      <c r="C565" s="2" t="s">
        <v>735</v>
      </c>
      <c r="D565" s="2" t="s">
        <v>4261</v>
      </c>
      <c r="E565" s="2">
        <v>10</v>
      </c>
      <c r="F565" s="2"/>
      <c r="G565" s="2">
        <v>10</v>
      </c>
      <c r="H565" s="2" t="s">
        <v>3629</v>
      </c>
      <c r="I565" s="2" t="s">
        <v>695</v>
      </c>
      <c r="J565" s="2" t="s">
        <v>2537</v>
      </c>
      <c r="K565" s="2" t="s">
        <v>1855</v>
      </c>
      <c r="L565" s="2" t="s">
        <v>3386</v>
      </c>
      <c r="M565" s="2" t="str">
        <f t="shared" si="11"/>
        <v>13</v>
      </c>
      <c r="N565" s="2" t="s">
        <v>1943</v>
      </c>
      <c r="O565" s="2" t="s">
        <v>4373</v>
      </c>
      <c r="P565" s="2" t="s">
        <v>4380</v>
      </c>
    </row>
    <row r="566" spans="1:16">
      <c r="A566" s="4">
        <v>46247.846770833334</v>
      </c>
      <c r="B566" s="2" t="s">
        <v>2907</v>
      </c>
      <c r="C566" s="2" t="s">
        <v>735</v>
      </c>
      <c r="D566" s="2" t="s">
        <v>4261</v>
      </c>
      <c r="E566" s="2">
        <v>10</v>
      </c>
      <c r="F566" s="2"/>
      <c r="G566" s="2">
        <v>10</v>
      </c>
      <c r="H566" s="2" t="s">
        <v>3629</v>
      </c>
      <c r="I566" s="2" t="s">
        <v>695</v>
      </c>
      <c r="J566" s="2" t="s">
        <v>2537</v>
      </c>
      <c r="K566" s="2" t="s">
        <v>1855</v>
      </c>
      <c r="L566" s="2" t="s">
        <v>3386</v>
      </c>
      <c r="M566" s="2" t="str">
        <f t="shared" si="11"/>
        <v>13</v>
      </c>
      <c r="N566" s="2" t="s">
        <v>1900</v>
      </c>
      <c r="O566" s="2" t="s">
        <v>4373</v>
      </c>
      <c r="P566" s="2" t="s">
        <v>4380</v>
      </c>
    </row>
    <row r="567" spans="1:16">
      <c r="A567" s="4">
        <v>46247.846064814818</v>
      </c>
      <c r="B567" s="2" t="s">
        <v>1448</v>
      </c>
      <c r="C567" s="2" t="s">
        <v>735</v>
      </c>
      <c r="D567" s="2" t="s">
        <v>4261</v>
      </c>
      <c r="E567" s="2">
        <v>10</v>
      </c>
      <c r="F567" s="2"/>
      <c r="G567" s="2">
        <v>10</v>
      </c>
      <c r="H567" s="2" t="s">
        <v>3629</v>
      </c>
      <c r="I567" s="2" t="s">
        <v>695</v>
      </c>
      <c r="J567" s="2" t="s">
        <v>2537</v>
      </c>
      <c r="K567" s="2" t="s">
        <v>1855</v>
      </c>
      <c r="L567" s="2" t="s">
        <v>3386</v>
      </c>
      <c r="M567" s="2" t="str">
        <f t="shared" si="11"/>
        <v>13</v>
      </c>
      <c r="N567" s="2" t="s">
        <v>1586</v>
      </c>
      <c r="O567" s="2" t="s">
        <v>4373</v>
      </c>
      <c r="P567" s="2" t="s">
        <v>4380</v>
      </c>
    </row>
    <row r="568" spans="1:16">
      <c r="A568" s="4">
        <v>46247.845925925925</v>
      </c>
      <c r="B568" s="2" t="s">
        <v>834</v>
      </c>
      <c r="C568" s="2" t="s">
        <v>735</v>
      </c>
      <c r="D568" s="2" t="s">
        <v>4261</v>
      </c>
      <c r="E568" s="2">
        <v>10</v>
      </c>
      <c r="F568" s="2"/>
      <c r="G568" s="2">
        <v>10</v>
      </c>
      <c r="H568" s="2" t="s">
        <v>3629</v>
      </c>
      <c r="I568" s="2" t="s">
        <v>695</v>
      </c>
      <c r="J568" s="2" t="s">
        <v>2537</v>
      </c>
      <c r="K568" s="2" t="s">
        <v>1855</v>
      </c>
      <c r="L568" s="2" t="s">
        <v>3386</v>
      </c>
      <c r="M568" s="2" t="str">
        <f t="shared" si="11"/>
        <v>13</v>
      </c>
      <c r="N568" s="2" t="s">
        <v>1704</v>
      </c>
      <c r="O568" s="2" t="s">
        <v>4373</v>
      </c>
      <c r="P568" s="2" t="s">
        <v>4380</v>
      </c>
    </row>
    <row r="569" spans="1:16">
      <c r="A569" s="4">
        <v>46247.845694444448</v>
      </c>
      <c r="B569" s="2" t="s">
        <v>589</v>
      </c>
      <c r="C569" s="2" t="s">
        <v>735</v>
      </c>
      <c r="D569" s="2" t="s">
        <v>4261</v>
      </c>
      <c r="E569" s="2">
        <v>10</v>
      </c>
      <c r="F569" s="2"/>
      <c r="G569" s="2">
        <v>10</v>
      </c>
      <c r="H569" s="2" t="s">
        <v>3629</v>
      </c>
      <c r="I569" s="2" t="s">
        <v>695</v>
      </c>
      <c r="J569" s="2" t="s">
        <v>2537</v>
      </c>
      <c r="K569" s="2" t="s">
        <v>1855</v>
      </c>
      <c r="L569" s="2" t="s">
        <v>3386</v>
      </c>
      <c r="M569" s="2" t="str">
        <f t="shared" si="11"/>
        <v>13</v>
      </c>
      <c r="N569" s="2" t="s">
        <v>4136</v>
      </c>
      <c r="O569" s="2" t="s">
        <v>4373</v>
      </c>
      <c r="P569" s="2" t="s">
        <v>4380</v>
      </c>
    </row>
    <row r="570" spans="1:16">
      <c r="A570" s="4">
        <v>46247.845393518517</v>
      </c>
      <c r="B570" s="2" t="s">
        <v>1267</v>
      </c>
      <c r="C570" s="2" t="s">
        <v>735</v>
      </c>
      <c r="D570" s="2" t="s">
        <v>4261</v>
      </c>
      <c r="E570" s="2">
        <v>10</v>
      </c>
      <c r="F570" s="2"/>
      <c r="G570" s="2">
        <v>10</v>
      </c>
      <c r="H570" s="2" t="s">
        <v>3629</v>
      </c>
      <c r="I570" s="2" t="s">
        <v>695</v>
      </c>
      <c r="J570" s="2" t="s">
        <v>2537</v>
      </c>
      <c r="K570" s="2" t="s">
        <v>1855</v>
      </c>
      <c r="L570" s="2" t="s">
        <v>3386</v>
      </c>
      <c r="M570" s="2" t="str">
        <f t="shared" si="11"/>
        <v>13</v>
      </c>
      <c r="N570" s="2" t="s">
        <v>3964</v>
      </c>
      <c r="O570" s="2" t="s">
        <v>4373</v>
      </c>
      <c r="P570" s="2" t="s">
        <v>4380</v>
      </c>
    </row>
    <row r="571" spans="1:16">
      <c r="A571" s="4">
        <v>46247.845335648148</v>
      </c>
      <c r="B571" s="2" t="s">
        <v>2678</v>
      </c>
      <c r="C571" s="2" t="s">
        <v>735</v>
      </c>
      <c r="D571" s="2" t="s">
        <v>4261</v>
      </c>
      <c r="E571" s="2">
        <v>10</v>
      </c>
      <c r="F571" s="2"/>
      <c r="G571" s="2">
        <v>10</v>
      </c>
      <c r="H571" s="2" t="s">
        <v>3629</v>
      </c>
      <c r="I571" s="2" t="s">
        <v>695</v>
      </c>
      <c r="J571" s="2" t="s">
        <v>2537</v>
      </c>
      <c r="K571" s="2" t="s">
        <v>1855</v>
      </c>
      <c r="L571" s="2" t="s">
        <v>3386</v>
      </c>
      <c r="M571" s="2" t="str">
        <f t="shared" si="11"/>
        <v>13</v>
      </c>
      <c r="N571" s="2" t="s">
        <v>2237</v>
      </c>
      <c r="O571" s="2" t="s">
        <v>4373</v>
      </c>
      <c r="P571" s="2" t="s">
        <v>4380</v>
      </c>
    </row>
    <row r="572" spans="1:16">
      <c r="A572" s="4">
        <v>46247.845312500001</v>
      </c>
      <c r="B572" s="2" t="s">
        <v>1181</v>
      </c>
      <c r="C572" s="2" t="s">
        <v>735</v>
      </c>
      <c r="D572" s="2" t="s">
        <v>4261</v>
      </c>
      <c r="E572" s="2">
        <v>10</v>
      </c>
      <c r="F572" s="2"/>
      <c r="G572" s="2">
        <v>10</v>
      </c>
      <c r="H572" s="2" t="s">
        <v>3629</v>
      </c>
      <c r="I572" s="2" t="s">
        <v>695</v>
      </c>
      <c r="J572" s="2" t="s">
        <v>2537</v>
      </c>
      <c r="K572" s="2" t="s">
        <v>1855</v>
      </c>
      <c r="L572" s="2" t="s">
        <v>3386</v>
      </c>
      <c r="M572" s="2" t="str">
        <f t="shared" si="11"/>
        <v>13</v>
      </c>
      <c r="N572" s="2" t="s">
        <v>3842</v>
      </c>
      <c r="O572" s="2" t="s">
        <v>4373</v>
      </c>
      <c r="P572" s="2" t="s">
        <v>4380</v>
      </c>
    </row>
    <row r="573" spans="1:16">
      <c r="A573" s="4">
        <v>46247.843321759261</v>
      </c>
      <c r="B573" s="2" t="s">
        <v>4001</v>
      </c>
      <c r="C573" s="2" t="s">
        <v>735</v>
      </c>
      <c r="D573" s="2" t="s">
        <v>4261</v>
      </c>
      <c r="E573" s="2">
        <v>10</v>
      </c>
      <c r="F573" s="2"/>
      <c r="G573" s="2">
        <v>10</v>
      </c>
      <c r="H573" s="2" t="s">
        <v>3629</v>
      </c>
      <c r="I573" s="2" t="s">
        <v>695</v>
      </c>
      <c r="J573" s="2" t="s">
        <v>2537</v>
      </c>
      <c r="K573" s="2" t="s">
        <v>1855</v>
      </c>
      <c r="L573" s="2" t="s">
        <v>3386</v>
      </c>
      <c r="M573" s="2" t="str">
        <f t="shared" si="11"/>
        <v>13</v>
      </c>
      <c r="N573" s="2" t="s">
        <v>2088</v>
      </c>
      <c r="O573" s="2" t="s">
        <v>4373</v>
      </c>
      <c r="P573" s="2" t="s">
        <v>4380</v>
      </c>
    </row>
    <row r="574" spans="1:16">
      <c r="A574" s="4">
        <v>46247.842673611114</v>
      </c>
      <c r="B574" s="2" t="s">
        <v>98</v>
      </c>
      <c r="C574" s="2" t="s">
        <v>735</v>
      </c>
      <c r="D574" s="2" t="s">
        <v>4261</v>
      </c>
      <c r="E574" s="2">
        <v>10</v>
      </c>
      <c r="F574" s="2"/>
      <c r="G574" s="2">
        <v>10</v>
      </c>
      <c r="H574" s="2" t="s">
        <v>3629</v>
      </c>
      <c r="I574" s="2" t="s">
        <v>695</v>
      </c>
      <c r="J574" s="2" t="s">
        <v>2537</v>
      </c>
      <c r="K574" s="2" t="s">
        <v>1855</v>
      </c>
      <c r="L574" s="2" t="s">
        <v>3386</v>
      </c>
      <c r="M574" s="2" t="str">
        <f t="shared" si="11"/>
        <v>13</v>
      </c>
      <c r="N574" s="2" t="s">
        <v>2553</v>
      </c>
      <c r="O574" s="2" t="s">
        <v>4373</v>
      </c>
      <c r="P574" s="2" t="s">
        <v>4380</v>
      </c>
    </row>
    <row r="575" spans="1:16">
      <c r="A575" s="4">
        <v>46247.842557870368</v>
      </c>
      <c r="B575" s="2" t="s">
        <v>1686</v>
      </c>
      <c r="C575" s="2" t="s">
        <v>735</v>
      </c>
      <c r="D575" s="2" t="s">
        <v>4261</v>
      </c>
      <c r="E575" s="2">
        <v>10</v>
      </c>
      <c r="F575" s="2"/>
      <c r="G575" s="2">
        <v>10</v>
      </c>
      <c r="H575" s="2" t="s">
        <v>3629</v>
      </c>
      <c r="I575" s="2" t="s">
        <v>695</v>
      </c>
      <c r="J575" s="2" t="s">
        <v>2537</v>
      </c>
      <c r="K575" s="2" t="s">
        <v>1855</v>
      </c>
      <c r="L575" s="2" t="s">
        <v>3386</v>
      </c>
      <c r="M575" s="2" t="str">
        <f t="shared" si="11"/>
        <v>13</v>
      </c>
      <c r="N575" s="2" t="s">
        <v>3577</v>
      </c>
      <c r="O575" s="2" t="s">
        <v>4373</v>
      </c>
      <c r="P575" s="2" t="s">
        <v>4380</v>
      </c>
    </row>
    <row r="576" spans="1:16">
      <c r="A576" s="4">
        <v>46246.434872685182</v>
      </c>
      <c r="B576" s="2" t="s">
        <v>4302</v>
      </c>
      <c r="C576" s="2" t="s">
        <v>735</v>
      </c>
      <c r="D576" s="2" t="s">
        <v>4261</v>
      </c>
      <c r="E576" s="2">
        <v>10</v>
      </c>
      <c r="F576" s="2"/>
      <c r="G576" s="2">
        <v>10</v>
      </c>
      <c r="H576" s="2" t="s">
        <v>3629</v>
      </c>
      <c r="I576" s="2" t="s">
        <v>695</v>
      </c>
      <c r="J576" s="2" t="s">
        <v>2537</v>
      </c>
      <c r="K576" s="2" t="s">
        <v>1855</v>
      </c>
      <c r="L576" s="2" t="s">
        <v>1188</v>
      </c>
      <c r="M576" s="2" t="str">
        <f t="shared" si="11"/>
        <v>10</v>
      </c>
      <c r="N576" s="2" t="s">
        <v>2563</v>
      </c>
      <c r="O576" s="2" t="s">
        <v>4373</v>
      </c>
      <c r="P576" s="2" t="s">
        <v>4381</v>
      </c>
    </row>
    <row r="577" spans="1:16">
      <c r="A577" s="4">
        <v>46246.434571759259</v>
      </c>
      <c r="B577" s="2" t="s">
        <v>2919</v>
      </c>
      <c r="C577" s="2" t="s">
        <v>735</v>
      </c>
      <c r="D577" s="2" t="s">
        <v>4261</v>
      </c>
      <c r="E577" s="2">
        <v>10</v>
      </c>
      <c r="F577" s="2"/>
      <c r="G577" s="2">
        <v>10</v>
      </c>
      <c r="H577" s="2" t="s">
        <v>3629</v>
      </c>
      <c r="I577" s="2" t="s">
        <v>695</v>
      </c>
      <c r="J577" s="2" t="s">
        <v>2537</v>
      </c>
      <c r="K577" s="2" t="s">
        <v>1855</v>
      </c>
      <c r="L577" s="2" t="s">
        <v>1188</v>
      </c>
      <c r="M577" s="2" t="str">
        <f t="shared" si="11"/>
        <v>10</v>
      </c>
      <c r="N577" s="2" t="s">
        <v>1667</v>
      </c>
      <c r="O577" s="2" t="s">
        <v>4373</v>
      </c>
      <c r="P577" s="2" t="s">
        <v>4381</v>
      </c>
    </row>
    <row r="578" spans="1:16">
      <c r="A578" s="4">
        <v>46246.434490740743</v>
      </c>
      <c r="B578" s="2" t="s">
        <v>3005</v>
      </c>
      <c r="C578" s="2" t="s">
        <v>735</v>
      </c>
      <c r="D578" s="2" t="s">
        <v>4261</v>
      </c>
      <c r="E578" s="2">
        <v>10</v>
      </c>
      <c r="F578" s="2"/>
      <c r="G578" s="2">
        <v>10</v>
      </c>
      <c r="H578" s="2" t="s">
        <v>3629</v>
      </c>
      <c r="I578" s="2" t="s">
        <v>695</v>
      </c>
      <c r="J578" s="2" t="s">
        <v>2537</v>
      </c>
      <c r="K578" s="2" t="s">
        <v>1855</v>
      </c>
      <c r="L578" s="2" t="s">
        <v>1188</v>
      </c>
      <c r="M578" s="2" t="str">
        <f t="shared" ref="M578:M641" si="12">RIGHT(L578,2)</f>
        <v>10</v>
      </c>
      <c r="N578" s="2" t="s">
        <v>306</v>
      </c>
      <c r="O578" s="2" t="s">
        <v>4373</v>
      </c>
      <c r="P578" s="2" t="s">
        <v>4381</v>
      </c>
    </row>
    <row r="579" spans="1:16">
      <c r="A579" s="4">
        <v>46246.433287037034</v>
      </c>
      <c r="B579" s="2" t="s">
        <v>1675</v>
      </c>
      <c r="C579" s="2" t="s">
        <v>735</v>
      </c>
      <c r="D579" s="2" t="s">
        <v>4261</v>
      </c>
      <c r="E579" s="2">
        <v>10</v>
      </c>
      <c r="F579" s="2"/>
      <c r="G579" s="2">
        <v>10</v>
      </c>
      <c r="H579" s="2" t="s">
        <v>3629</v>
      </c>
      <c r="I579" s="2" t="s">
        <v>695</v>
      </c>
      <c r="J579" s="2" t="s">
        <v>2537</v>
      </c>
      <c r="K579" s="2" t="s">
        <v>1855</v>
      </c>
      <c r="L579" s="2" t="s">
        <v>1188</v>
      </c>
      <c r="M579" s="2" t="str">
        <f t="shared" si="12"/>
        <v>10</v>
      </c>
      <c r="N579" s="2" t="s">
        <v>1966</v>
      </c>
      <c r="O579" s="2" t="s">
        <v>4373</v>
      </c>
      <c r="P579" s="2" t="s">
        <v>4381</v>
      </c>
    </row>
    <row r="580" spans="1:16">
      <c r="A580" s="4">
        <v>46246.433240740742</v>
      </c>
      <c r="B580" s="2" t="s">
        <v>3774</v>
      </c>
      <c r="C580" s="2" t="s">
        <v>735</v>
      </c>
      <c r="D580" s="2" t="s">
        <v>4261</v>
      </c>
      <c r="E580" s="2">
        <v>10</v>
      </c>
      <c r="F580" s="2"/>
      <c r="G580" s="2">
        <v>10</v>
      </c>
      <c r="H580" s="2" t="s">
        <v>3629</v>
      </c>
      <c r="I580" s="2" t="s">
        <v>695</v>
      </c>
      <c r="J580" s="2" t="s">
        <v>2537</v>
      </c>
      <c r="K580" s="2" t="s">
        <v>1855</v>
      </c>
      <c r="L580" s="2" t="s">
        <v>1188</v>
      </c>
      <c r="M580" s="2" t="str">
        <f t="shared" si="12"/>
        <v>10</v>
      </c>
      <c r="N580" s="2" t="s">
        <v>373</v>
      </c>
      <c r="O580" s="2" t="s">
        <v>4373</v>
      </c>
      <c r="P580" s="2" t="s">
        <v>4381</v>
      </c>
    </row>
    <row r="581" spans="1:16">
      <c r="A581" s="4">
        <v>46246.432534722226</v>
      </c>
      <c r="B581" s="2" t="s">
        <v>1584</v>
      </c>
      <c r="C581" s="2" t="s">
        <v>735</v>
      </c>
      <c r="D581" s="2" t="s">
        <v>4261</v>
      </c>
      <c r="E581" s="2">
        <v>10</v>
      </c>
      <c r="F581" s="2"/>
      <c r="G581" s="2">
        <v>10</v>
      </c>
      <c r="H581" s="2" t="s">
        <v>3629</v>
      </c>
      <c r="I581" s="2" t="s">
        <v>695</v>
      </c>
      <c r="J581" s="2" t="s">
        <v>2537</v>
      </c>
      <c r="K581" s="2" t="s">
        <v>1855</v>
      </c>
      <c r="L581" s="2" t="s">
        <v>1188</v>
      </c>
      <c r="M581" s="2" t="str">
        <f t="shared" si="12"/>
        <v>10</v>
      </c>
      <c r="N581" s="2" t="s">
        <v>1520</v>
      </c>
      <c r="O581" s="2" t="s">
        <v>4373</v>
      </c>
      <c r="P581" s="2" t="s">
        <v>4381</v>
      </c>
    </row>
    <row r="582" spans="1:16">
      <c r="A582" s="4">
        <v>46246.432314814818</v>
      </c>
      <c r="B582" s="2" t="s">
        <v>3152</v>
      </c>
      <c r="C582" s="2" t="s">
        <v>735</v>
      </c>
      <c r="D582" s="2" t="s">
        <v>4261</v>
      </c>
      <c r="E582" s="2">
        <v>10</v>
      </c>
      <c r="F582" s="2"/>
      <c r="G582" s="2">
        <v>10</v>
      </c>
      <c r="H582" s="2" t="s">
        <v>3629</v>
      </c>
      <c r="I582" s="2" t="s">
        <v>695</v>
      </c>
      <c r="J582" s="2" t="s">
        <v>2537</v>
      </c>
      <c r="K582" s="2" t="s">
        <v>1855</v>
      </c>
      <c r="L582" s="2" t="s">
        <v>1188</v>
      </c>
      <c r="M582" s="2" t="str">
        <f t="shared" si="12"/>
        <v>10</v>
      </c>
      <c r="N582" s="2" t="s">
        <v>3227</v>
      </c>
      <c r="O582" s="2" t="s">
        <v>4373</v>
      </c>
      <c r="P582" s="2" t="s">
        <v>4381</v>
      </c>
    </row>
    <row r="583" spans="1:16">
      <c r="A583" s="4">
        <v>46246.431747685187</v>
      </c>
      <c r="B583" s="2" t="s">
        <v>3659</v>
      </c>
      <c r="C583" s="2" t="s">
        <v>735</v>
      </c>
      <c r="D583" s="2" t="s">
        <v>4261</v>
      </c>
      <c r="E583" s="2">
        <v>10</v>
      </c>
      <c r="F583" s="2"/>
      <c r="G583" s="2">
        <v>10</v>
      </c>
      <c r="H583" s="2" t="s">
        <v>3629</v>
      </c>
      <c r="I583" s="2" t="s">
        <v>695</v>
      </c>
      <c r="J583" s="2" t="s">
        <v>2537</v>
      </c>
      <c r="K583" s="2" t="s">
        <v>1855</v>
      </c>
      <c r="L583" s="2" t="s">
        <v>1188</v>
      </c>
      <c r="M583" s="2" t="str">
        <f t="shared" si="12"/>
        <v>10</v>
      </c>
      <c r="N583" s="2" t="s">
        <v>4193</v>
      </c>
      <c r="O583" s="2" t="s">
        <v>4373</v>
      </c>
      <c r="P583" s="2" t="s">
        <v>4381</v>
      </c>
    </row>
    <row r="584" spans="1:16">
      <c r="A584" s="4">
        <v>46246.431689814817</v>
      </c>
      <c r="B584" s="2" t="s">
        <v>2769</v>
      </c>
      <c r="C584" s="2" t="s">
        <v>735</v>
      </c>
      <c r="D584" s="2" t="s">
        <v>4261</v>
      </c>
      <c r="E584" s="2">
        <v>10</v>
      </c>
      <c r="F584" s="2"/>
      <c r="G584" s="2">
        <v>10</v>
      </c>
      <c r="H584" s="2" t="s">
        <v>3629</v>
      </c>
      <c r="I584" s="2" t="s">
        <v>695</v>
      </c>
      <c r="J584" s="2" t="s">
        <v>2537</v>
      </c>
      <c r="K584" s="2" t="s">
        <v>1855</v>
      </c>
      <c r="L584" s="2" t="s">
        <v>1188</v>
      </c>
      <c r="M584" s="2" t="str">
        <f t="shared" si="12"/>
        <v>10</v>
      </c>
      <c r="N584" s="2" t="s">
        <v>3451</v>
      </c>
      <c r="O584" s="2" t="s">
        <v>4373</v>
      </c>
      <c r="P584" s="2" t="s">
        <v>4381</v>
      </c>
    </row>
    <row r="585" spans="1:16">
      <c r="A585" s="4">
        <v>46246.430879629632</v>
      </c>
      <c r="B585" s="2" t="s">
        <v>2075</v>
      </c>
      <c r="C585" s="2" t="s">
        <v>735</v>
      </c>
      <c r="D585" s="2" t="s">
        <v>4261</v>
      </c>
      <c r="E585" s="2">
        <v>10</v>
      </c>
      <c r="F585" s="2"/>
      <c r="G585" s="2">
        <v>10</v>
      </c>
      <c r="H585" s="2" t="s">
        <v>3629</v>
      </c>
      <c r="I585" s="2" t="s">
        <v>695</v>
      </c>
      <c r="J585" s="2" t="s">
        <v>2537</v>
      </c>
      <c r="K585" s="2" t="s">
        <v>1855</v>
      </c>
      <c r="L585" s="2" t="s">
        <v>1188</v>
      </c>
      <c r="M585" s="2" t="str">
        <f t="shared" si="12"/>
        <v>10</v>
      </c>
      <c r="N585" s="2" t="s">
        <v>1705</v>
      </c>
      <c r="O585" s="2" t="s">
        <v>4373</v>
      </c>
      <c r="P585" s="2" t="s">
        <v>4381</v>
      </c>
    </row>
    <row r="586" spans="1:16">
      <c r="A586" s="4">
        <v>46246.43072916667</v>
      </c>
      <c r="B586" s="2" t="s">
        <v>1840</v>
      </c>
      <c r="C586" s="2" t="s">
        <v>735</v>
      </c>
      <c r="D586" s="2" t="s">
        <v>4261</v>
      </c>
      <c r="E586" s="2">
        <v>10</v>
      </c>
      <c r="F586" s="2"/>
      <c r="G586" s="2">
        <v>10</v>
      </c>
      <c r="H586" s="2" t="s">
        <v>3629</v>
      </c>
      <c r="I586" s="2" t="s">
        <v>695</v>
      </c>
      <c r="J586" s="2" t="s">
        <v>2537</v>
      </c>
      <c r="K586" s="2" t="s">
        <v>1855</v>
      </c>
      <c r="L586" s="2" t="s">
        <v>1188</v>
      </c>
      <c r="M586" s="2" t="str">
        <f t="shared" si="12"/>
        <v>10</v>
      </c>
      <c r="N586" s="2" t="s">
        <v>3843</v>
      </c>
      <c r="O586" s="2" t="s">
        <v>4373</v>
      </c>
      <c r="P586" s="2" t="s">
        <v>4381</v>
      </c>
    </row>
    <row r="587" spans="1:16">
      <c r="A587" s="4">
        <v>46246.415266203701</v>
      </c>
      <c r="B587" s="2" t="s">
        <v>2627</v>
      </c>
      <c r="C587" s="2" t="s">
        <v>735</v>
      </c>
      <c r="D587" s="2" t="s">
        <v>4261</v>
      </c>
      <c r="E587" s="2">
        <v>10</v>
      </c>
      <c r="F587" s="2"/>
      <c r="G587" s="2">
        <v>10</v>
      </c>
      <c r="H587" s="2" t="s">
        <v>3629</v>
      </c>
      <c r="I587" s="2" t="s">
        <v>695</v>
      </c>
      <c r="J587" s="2" t="s">
        <v>2537</v>
      </c>
      <c r="K587" s="2" t="s">
        <v>1855</v>
      </c>
      <c r="L587" s="2" t="s">
        <v>1188</v>
      </c>
      <c r="M587" s="2" t="str">
        <f t="shared" si="12"/>
        <v>10</v>
      </c>
      <c r="N587" s="2" t="s">
        <v>2080</v>
      </c>
      <c r="O587" s="2" t="s">
        <v>4373</v>
      </c>
      <c r="P587" s="2" t="s">
        <v>4381</v>
      </c>
    </row>
    <row r="588" spans="1:16">
      <c r="A588" s="4">
        <v>46246.415000000001</v>
      </c>
      <c r="B588" s="2" t="s">
        <v>367</v>
      </c>
      <c r="C588" s="2" t="s">
        <v>735</v>
      </c>
      <c r="D588" s="2" t="s">
        <v>4261</v>
      </c>
      <c r="E588" s="2">
        <v>10</v>
      </c>
      <c r="F588" s="2"/>
      <c r="G588" s="2">
        <v>10</v>
      </c>
      <c r="H588" s="2" t="s">
        <v>3629</v>
      </c>
      <c r="I588" s="2" t="s">
        <v>695</v>
      </c>
      <c r="J588" s="2" t="s">
        <v>2537</v>
      </c>
      <c r="K588" s="2" t="s">
        <v>1855</v>
      </c>
      <c r="L588" s="2" t="s">
        <v>1188</v>
      </c>
      <c r="M588" s="2" t="str">
        <f t="shared" si="12"/>
        <v>10</v>
      </c>
      <c r="N588" s="2" t="s">
        <v>2561</v>
      </c>
      <c r="O588" s="2" t="s">
        <v>4373</v>
      </c>
      <c r="P588" s="2" t="s">
        <v>4381</v>
      </c>
    </row>
    <row r="589" spans="1:16">
      <c r="A589" s="4">
        <v>46246.414537037039</v>
      </c>
      <c r="B589" s="2" t="s">
        <v>1779</v>
      </c>
      <c r="C589" s="2" t="s">
        <v>735</v>
      </c>
      <c r="D589" s="2" t="s">
        <v>4261</v>
      </c>
      <c r="E589" s="2">
        <v>10</v>
      </c>
      <c r="F589" s="2"/>
      <c r="G589" s="2">
        <v>10</v>
      </c>
      <c r="H589" s="2" t="s">
        <v>3629</v>
      </c>
      <c r="I589" s="2" t="s">
        <v>695</v>
      </c>
      <c r="J589" s="2" t="s">
        <v>2537</v>
      </c>
      <c r="K589" s="2" t="s">
        <v>1855</v>
      </c>
      <c r="L589" s="2" t="s">
        <v>1188</v>
      </c>
      <c r="M589" s="2" t="str">
        <f t="shared" si="12"/>
        <v>10</v>
      </c>
      <c r="N589" s="2" t="s">
        <v>3439</v>
      </c>
      <c r="O589" s="2" t="s">
        <v>4373</v>
      </c>
      <c r="P589" s="2" t="s">
        <v>4381</v>
      </c>
    </row>
    <row r="590" spans="1:16">
      <c r="A590" s="4">
        <v>46246.414513888885</v>
      </c>
      <c r="B590" s="2" t="s">
        <v>1763</v>
      </c>
      <c r="C590" s="2" t="s">
        <v>735</v>
      </c>
      <c r="D590" s="2" t="s">
        <v>4261</v>
      </c>
      <c r="E590" s="2">
        <v>10</v>
      </c>
      <c r="F590" s="2"/>
      <c r="G590" s="2">
        <v>10</v>
      </c>
      <c r="H590" s="2" t="s">
        <v>3629</v>
      </c>
      <c r="I590" s="2" t="s">
        <v>695</v>
      </c>
      <c r="J590" s="2" t="s">
        <v>2537</v>
      </c>
      <c r="K590" s="2" t="s">
        <v>1855</v>
      </c>
      <c r="L590" s="2" t="s">
        <v>1188</v>
      </c>
      <c r="M590" s="2" t="str">
        <f t="shared" si="12"/>
        <v>10</v>
      </c>
      <c r="N590" s="2" t="s">
        <v>3798</v>
      </c>
      <c r="O590" s="2" t="s">
        <v>4373</v>
      </c>
      <c r="P590" s="2" t="s">
        <v>4381</v>
      </c>
    </row>
    <row r="591" spans="1:16">
      <c r="A591" s="4">
        <v>46246.413229166668</v>
      </c>
      <c r="B591" s="2" t="s">
        <v>707</v>
      </c>
      <c r="C591" s="2" t="s">
        <v>735</v>
      </c>
      <c r="D591" s="2" t="s">
        <v>4261</v>
      </c>
      <c r="E591" s="2">
        <v>10</v>
      </c>
      <c r="F591" s="2"/>
      <c r="G591" s="2">
        <v>10</v>
      </c>
      <c r="H591" s="2" t="s">
        <v>3629</v>
      </c>
      <c r="I591" s="2" t="s">
        <v>695</v>
      </c>
      <c r="J591" s="2" t="s">
        <v>2537</v>
      </c>
      <c r="K591" s="2" t="s">
        <v>1855</v>
      </c>
      <c r="L591" s="2" t="s">
        <v>1188</v>
      </c>
      <c r="M591" s="2" t="str">
        <f t="shared" si="12"/>
        <v>10</v>
      </c>
      <c r="N591" s="2" t="s">
        <v>4238</v>
      </c>
      <c r="O591" s="2" t="s">
        <v>4373</v>
      </c>
      <c r="P591" s="2" t="s">
        <v>4381</v>
      </c>
    </row>
    <row r="592" spans="1:16">
      <c r="A592" s="4">
        <v>46246.413032407407</v>
      </c>
      <c r="B592" s="2" t="s">
        <v>2437</v>
      </c>
      <c r="C592" s="2" t="s">
        <v>735</v>
      </c>
      <c r="D592" s="2" t="s">
        <v>4261</v>
      </c>
      <c r="E592" s="2">
        <v>10</v>
      </c>
      <c r="F592" s="2"/>
      <c r="G592" s="2">
        <v>10</v>
      </c>
      <c r="H592" s="2" t="s">
        <v>3629</v>
      </c>
      <c r="I592" s="2" t="s">
        <v>695</v>
      </c>
      <c r="J592" s="2" t="s">
        <v>2537</v>
      </c>
      <c r="K592" s="2" t="s">
        <v>1855</v>
      </c>
      <c r="L592" s="2" t="s">
        <v>1188</v>
      </c>
      <c r="M592" s="2" t="str">
        <f t="shared" si="12"/>
        <v>10</v>
      </c>
      <c r="N592" s="2" t="s">
        <v>3519</v>
      </c>
      <c r="O592" s="2" t="s">
        <v>4373</v>
      </c>
      <c r="P592" s="2" t="s">
        <v>4381</v>
      </c>
    </row>
    <row r="593" spans="1:16">
      <c r="A593" s="4">
        <v>46246.412326388891</v>
      </c>
      <c r="B593" s="2" t="s">
        <v>1422</v>
      </c>
      <c r="C593" s="2" t="s">
        <v>735</v>
      </c>
      <c r="D593" s="2" t="s">
        <v>4261</v>
      </c>
      <c r="E593" s="2">
        <v>10</v>
      </c>
      <c r="F593" s="2"/>
      <c r="G593" s="2">
        <v>10</v>
      </c>
      <c r="H593" s="2" t="s">
        <v>3629</v>
      </c>
      <c r="I593" s="2" t="s">
        <v>695</v>
      </c>
      <c r="J593" s="2" t="s">
        <v>2537</v>
      </c>
      <c r="K593" s="2" t="s">
        <v>1855</v>
      </c>
      <c r="L593" s="2" t="s">
        <v>1188</v>
      </c>
      <c r="M593" s="2" t="str">
        <f t="shared" si="12"/>
        <v>10</v>
      </c>
      <c r="N593" s="2" t="s">
        <v>3775</v>
      </c>
      <c r="O593" s="2" t="s">
        <v>4373</v>
      </c>
      <c r="P593" s="2" t="s">
        <v>4381</v>
      </c>
    </row>
    <row r="594" spans="1:16">
      <c r="A594" s="4">
        <v>46246.412152777775</v>
      </c>
      <c r="B594" s="2" t="s">
        <v>3406</v>
      </c>
      <c r="C594" s="2" t="s">
        <v>735</v>
      </c>
      <c r="D594" s="2" t="s">
        <v>4261</v>
      </c>
      <c r="E594" s="2">
        <v>10</v>
      </c>
      <c r="F594" s="2"/>
      <c r="G594" s="2">
        <v>10</v>
      </c>
      <c r="H594" s="2" t="s">
        <v>3629</v>
      </c>
      <c r="I594" s="2" t="s">
        <v>695</v>
      </c>
      <c r="J594" s="2" t="s">
        <v>2537</v>
      </c>
      <c r="K594" s="2" t="s">
        <v>1855</v>
      </c>
      <c r="L594" s="2" t="s">
        <v>1188</v>
      </c>
      <c r="M594" s="2" t="str">
        <f t="shared" si="12"/>
        <v>10</v>
      </c>
      <c r="N594" s="2" t="s">
        <v>3970</v>
      </c>
      <c r="O594" s="2" t="s">
        <v>4373</v>
      </c>
      <c r="P594" s="2" t="s">
        <v>4381</v>
      </c>
    </row>
    <row r="595" spans="1:16">
      <c r="A595" s="4">
        <v>46246.411793981482</v>
      </c>
      <c r="B595" s="2" t="s">
        <v>1194</v>
      </c>
      <c r="C595" s="2" t="s">
        <v>735</v>
      </c>
      <c r="D595" s="2" t="s">
        <v>4261</v>
      </c>
      <c r="E595" s="2">
        <v>10</v>
      </c>
      <c r="F595" s="2"/>
      <c r="G595" s="2">
        <v>10</v>
      </c>
      <c r="H595" s="2" t="s">
        <v>3629</v>
      </c>
      <c r="I595" s="2" t="s">
        <v>695</v>
      </c>
      <c r="J595" s="2" t="s">
        <v>2537</v>
      </c>
      <c r="K595" s="2" t="s">
        <v>1855</v>
      </c>
      <c r="L595" s="2" t="s">
        <v>1188</v>
      </c>
      <c r="M595" s="2" t="str">
        <f t="shared" si="12"/>
        <v>10</v>
      </c>
      <c r="N595" s="2" t="s">
        <v>1701</v>
      </c>
      <c r="O595" s="2" t="s">
        <v>4373</v>
      </c>
      <c r="P595" s="2" t="s">
        <v>4381</v>
      </c>
    </row>
    <row r="596" spans="1:16">
      <c r="A596" s="4">
        <v>46246.41134259259</v>
      </c>
      <c r="B596" s="2" t="s">
        <v>4364</v>
      </c>
      <c r="C596" s="2" t="s">
        <v>735</v>
      </c>
      <c r="D596" s="2" t="s">
        <v>4261</v>
      </c>
      <c r="E596" s="2">
        <v>10</v>
      </c>
      <c r="F596" s="2"/>
      <c r="G596" s="2">
        <v>10</v>
      </c>
      <c r="H596" s="2" t="s">
        <v>3629</v>
      </c>
      <c r="I596" s="2" t="s">
        <v>695</v>
      </c>
      <c r="J596" s="2" t="s">
        <v>2537</v>
      </c>
      <c r="K596" s="2" t="s">
        <v>1855</v>
      </c>
      <c r="L596" s="2" t="s">
        <v>1188</v>
      </c>
      <c r="M596" s="2" t="str">
        <f t="shared" si="12"/>
        <v>10</v>
      </c>
      <c r="N596" s="2" t="s">
        <v>75</v>
      </c>
      <c r="O596" s="2" t="s">
        <v>4373</v>
      </c>
      <c r="P596" s="2" t="s">
        <v>4381</v>
      </c>
    </row>
    <row r="597" spans="1:16">
      <c r="A597" s="4">
        <v>46246.410775462966</v>
      </c>
      <c r="B597" s="2" t="s">
        <v>1646</v>
      </c>
      <c r="C597" s="2" t="s">
        <v>735</v>
      </c>
      <c r="D597" s="2" t="s">
        <v>4261</v>
      </c>
      <c r="E597" s="2">
        <v>10</v>
      </c>
      <c r="F597" s="2"/>
      <c r="G597" s="2">
        <v>10</v>
      </c>
      <c r="H597" s="2" t="s">
        <v>3629</v>
      </c>
      <c r="I597" s="2" t="s">
        <v>695</v>
      </c>
      <c r="J597" s="2" t="s">
        <v>2537</v>
      </c>
      <c r="K597" s="2" t="s">
        <v>1855</v>
      </c>
      <c r="L597" s="2" t="s">
        <v>1188</v>
      </c>
      <c r="M597" s="2" t="str">
        <f t="shared" si="12"/>
        <v>10</v>
      </c>
      <c r="N597" s="2" t="s">
        <v>1055</v>
      </c>
      <c r="O597" s="2" t="s">
        <v>4373</v>
      </c>
      <c r="P597" s="2" t="s">
        <v>4381</v>
      </c>
    </row>
    <row r="598" spans="1:16">
      <c r="A598" s="4">
        <v>46246.410474537035</v>
      </c>
      <c r="B598" s="2" t="s">
        <v>2126</v>
      </c>
      <c r="C598" s="2" t="s">
        <v>735</v>
      </c>
      <c r="D598" s="2" t="s">
        <v>4261</v>
      </c>
      <c r="E598" s="2">
        <v>10</v>
      </c>
      <c r="F598" s="2"/>
      <c r="G598" s="2">
        <v>10</v>
      </c>
      <c r="H598" s="2" t="s">
        <v>3629</v>
      </c>
      <c r="I598" s="2" t="s">
        <v>695</v>
      </c>
      <c r="J598" s="2" t="s">
        <v>2537</v>
      </c>
      <c r="K598" s="2" t="s">
        <v>1855</v>
      </c>
      <c r="L598" s="2" t="s">
        <v>1188</v>
      </c>
      <c r="M598" s="2" t="str">
        <f t="shared" si="12"/>
        <v>10</v>
      </c>
      <c r="N598" s="2" t="s">
        <v>3003</v>
      </c>
      <c r="O598" s="2" t="s">
        <v>4373</v>
      </c>
      <c r="P598" s="2" t="s">
        <v>4381</v>
      </c>
    </row>
    <row r="599" spans="1:16">
      <c r="A599" s="4">
        <v>46246.410081018519</v>
      </c>
      <c r="B599" s="2" t="s">
        <v>1709</v>
      </c>
      <c r="C599" s="2" t="s">
        <v>735</v>
      </c>
      <c r="D599" s="2" t="s">
        <v>4261</v>
      </c>
      <c r="E599" s="2">
        <v>10</v>
      </c>
      <c r="F599" s="2"/>
      <c r="G599" s="2">
        <v>10</v>
      </c>
      <c r="H599" s="2" t="s">
        <v>3629</v>
      </c>
      <c r="I599" s="2" t="s">
        <v>695</v>
      </c>
      <c r="J599" s="2" t="s">
        <v>2537</v>
      </c>
      <c r="K599" s="2" t="s">
        <v>1855</v>
      </c>
      <c r="L599" s="2" t="s">
        <v>1188</v>
      </c>
      <c r="M599" s="2" t="str">
        <f t="shared" si="12"/>
        <v>10</v>
      </c>
      <c r="N599" s="2" t="s">
        <v>955</v>
      </c>
      <c r="O599" s="2" t="s">
        <v>4373</v>
      </c>
      <c r="P599" s="2" t="s">
        <v>4381</v>
      </c>
    </row>
    <row r="600" spans="1:16">
      <c r="A600" s="4">
        <v>46246.409895833334</v>
      </c>
      <c r="B600" s="2" t="s">
        <v>1102</v>
      </c>
      <c r="C600" s="2" t="s">
        <v>735</v>
      </c>
      <c r="D600" s="2" t="s">
        <v>4261</v>
      </c>
      <c r="E600" s="2">
        <v>10</v>
      </c>
      <c r="F600" s="2"/>
      <c r="G600" s="2">
        <v>10</v>
      </c>
      <c r="H600" s="2" t="s">
        <v>3629</v>
      </c>
      <c r="I600" s="2" t="s">
        <v>695</v>
      </c>
      <c r="J600" s="2" t="s">
        <v>2537</v>
      </c>
      <c r="K600" s="2" t="s">
        <v>1855</v>
      </c>
      <c r="L600" s="2" t="s">
        <v>1188</v>
      </c>
      <c r="M600" s="2" t="str">
        <f t="shared" si="12"/>
        <v>10</v>
      </c>
      <c r="N600" s="2" t="s">
        <v>3834</v>
      </c>
      <c r="O600" s="2" t="s">
        <v>4373</v>
      </c>
      <c r="P600" s="2" t="s">
        <v>4381</v>
      </c>
    </row>
    <row r="601" spans="1:16">
      <c r="A601" s="4">
        <v>46246.409305555557</v>
      </c>
      <c r="B601" s="2" t="s">
        <v>400</v>
      </c>
      <c r="C601" s="2" t="s">
        <v>735</v>
      </c>
      <c r="D601" s="2" t="s">
        <v>4261</v>
      </c>
      <c r="E601" s="2">
        <v>10</v>
      </c>
      <c r="F601" s="2"/>
      <c r="G601" s="2">
        <v>10</v>
      </c>
      <c r="H601" s="2" t="s">
        <v>3629</v>
      </c>
      <c r="I601" s="2" t="s">
        <v>695</v>
      </c>
      <c r="J601" s="2" t="s">
        <v>2537</v>
      </c>
      <c r="K601" s="2" t="s">
        <v>1855</v>
      </c>
      <c r="L601" s="2" t="s">
        <v>1188</v>
      </c>
      <c r="M601" s="2" t="str">
        <f t="shared" si="12"/>
        <v>10</v>
      </c>
      <c r="N601" s="2" t="s">
        <v>2444</v>
      </c>
      <c r="O601" s="2" t="s">
        <v>4373</v>
      </c>
      <c r="P601" s="2" t="s">
        <v>4381</v>
      </c>
    </row>
    <row r="602" spans="1:16">
      <c r="A602" s="4">
        <v>46246.408958333333</v>
      </c>
      <c r="B602" s="2" t="s">
        <v>1548</v>
      </c>
      <c r="C602" s="2" t="s">
        <v>735</v>
      </c>
      <c r="D602" s="2" t="s">
        <v>4261</v>
      </c>
      <c r="E602" s="2">
        <v>10</v>
      </c>
      <c r="F602" s="2"/>
      <c r="G602" s="2">
        <v>10</v>
      </c>
      <c r="H602" s="2" t="s">
        <v>3629</v>
      </c>
      <c r="I602" s="2" t="s">
        <v>695</v>
      </c>
      <c r="J602" s="2" t="s">
        <v>2537</v>
      </c>
      <c r="K602" s="2" t="s">
        <v>1855</v>
      </c>
      <c r="L602" s="2" t="s">
        <v>1188</v>
      </c>
      <c r="M602" s="2" t="str">
        <f t="shared" si="12"/>
        <v>10</v>
      </c>
      <c r="N602" s="2" t="s">
        <v>2034</v>
      </c>
      <c r="O602" s="2" t="s">
        <v>4373</v>
      </c>
      <c r="P602" s="2" t="s">
        <v>4381</v>
      </c>
    </row>
    <row r="603" spans="1:16">
      <c r="A603" s="4">
        <v>46246.407557870371</v>
      </c>
      <c r="B603" s="2" t="s">
        <v>499</v>
      </c>
      <c r="C603" s="2" t="s">
        <v>735</v>
      </c>
      <c r="D603" s="2" t="s">
        <v>4261</v>
      </c>
      <c r="E603" s="2">
        <v>10</v>
      </c>
      <c r="F603" s="2"/>
      <c r="G603" s="2">
        <v>10</v>
      </c>
      <c r="H603" s="2" t="s">
        <v>3629</v>
      </c>
      <c r="I603" s="2" t="s">
        <v>695</v>
      </c>
      <c r="J603" s="2" t="s">
        <v>2537</v>
      </c>
      <c r="K603" s="2" t="s">
        <v>1855</v>
      </c>
      <c r="L603" s="2" t="s">
        <v>1188</v>
      </c>
      <c r="M603" s="2" t="str">
        <f t="shared" si="12"/>
        <v>10</v>
      </c>
      <c r="N603" s="2" t="s">
        <v>1525</v>
      </c>
      <c r="O603" s="2" t="s">
        <v>4373</v>
      </c>
      <c r="P603" s="2" t="s">
        <v>4381</v>
      </c>
    </row>
    <row r="604" spans="1:16">
      <c r="A604" s="4">
        <v>46246.407418981478</v>
      </c>
      <c r="B604" s="2" t="s">
        <v>1963</v>
      </c>
      <c r="C604" s="2" t="s">
        <v>735</v>
      </c>
      <c r="D604" s="2" t="s">
        <v>4261</v>
      </c>
      <c r="E604" s="2">
        <v>10</v>
      </c>
      <c r="F604" s="2"/>
      <c r="G604" s="2">
        <v>10</v>
      </c>
      <c r="H604" s="2" t="s">
        <v>3629</v>
      </c>
      <c r="I604" s="2" t="s">
        <v>695</v>
      </c>
      <c r="J604" s="2" t="s">
        <v>2537</v>
      </c>
      <c r="K604" s="2" t="s">
        <v>1855</v>
      </c>
      <c r="L604" s="2" t="s">
        <v>1188</v>
      </c>
      <c r="M604" s="2" t="str">
        <f t="shared" si="12"/>
        <v>10</v>
      </c>
      <c r="N604" s="2" t="s">
        <v>1794</v>
      </c>
      <c r="O604" s="2" t="s">
        <v>4373</v>
      </c>
      <c r="P604" s="2" t="s">
        <v>4381</v>
      </c>
    </row>
    <row r="605" spans="1:16">
      <c r="A605" s="4">
        <v>46246.40662037037</v>
      </c>
      <c r="B605" s="2" t="s">
        <v>60</v>
      </c>
      <c r="C605" s="2" t="s">
        <v>735</v>
      </c>
      <c r="D605" s="2" t="s">
        <v>4261</v>
      </c>
      <c r="E605" s="2">
        <v>10</v>
      </c>
      <c r="F605" s="2"/>
      <c r="G605" s="2">
        <v>10</v>
      </c>
      <c r="H605" s="2" t="s">
        <v>3629</v>
      </c>
      <c r="I605" s="2" t="s">
        <v>695</v>
      </c>
      <c r="J605" s="2" t="s">
        <v>2537</v>
      </c>
      <c r="K605" s="2" t="s">
        <v>1855</v>
      </c>
      <c r="L605" s="2" t="s">
        <v>1188</v>
      </c>
      <c r="M605" s="2" t="str">
        <f t="shared" si="12"/>
        <v>10</v>
      </c>
      <c r="N605" s="2" t="s">
        <v>427</v>
      </c>
      <c r="O605" s="2" t="s">
        <v>4373</v>
      </c>
      <c r="P605" s="2" t="s">
        <v>4381</v>
      </c>
    </row>
    <row r="606" spans="1:16">
      <c r="A606" s="4">
        <v>46246.406608796293</v>
      </c>
      <c r="B606" s="2" t="s">
        <v>1761</v>
      </c>
      <c r="C606" s="2" t="s">
        <v>735</v>
      </c>
      <c r="D606" s="2" t="s">
        <v>4261</v>
      </c>
      <c r="E606" s="2">
        <v>10</v>
      </c>
      <c r="F606" s="2"/>
      <c r="G606" s="2">
        <v>10</v>
      </c>
      <c r="H606" s="2" t="s">
        <v>3629</v>
      </c>
      <c r="I606" s="2" t="s">
        <v>695</v>
      </c>
      <c r="J606" s="2" t="s">
        <v>2537</v>
      </c>
      <c r="K606" s="2" t="s">
        <v>1855</v>
      </c>
      <c r="L606" s="2" t="s">
        <v>1188</v>
      </c>
      <c r="M606" s="2" t="str">
        <f t="shared" si="12"/>
        <v>10</v>
      </c>
      <c r="N606" s="2" t="s">
        <v>4297</v>
      </c>
      <c r="O606" s="2" t="s">
        <v>4373</v>
      </c>
      <c r="P606" s="2" t="s">
        <v>4381</v>
      </c>
    </row>
    <row r="607" spans="1:16">
      <c r="A607" s="4">
        <v>46246.405729166669</v>
      </c>
      <c r="B607" s="2" t="s">
        <v>3309</v>
      </c>
      <c r="C607" s="2" t="s">
        <v>735</v>
      </c>
      <c r="D607" s="2" t="s">
        <v>4261</v>
      </c>
      <c r="E607" s="2">
        <v>10</v>
      </c>
      <c r="F607" s="2"/>
      <c r="G607" s="2">
        <v>10</v>
      </c>
      <c r="H607" s="2" t="s">
        <v>3629</v>
      </c>
      <c r="I607" s="2" t="s">
        <v>695</v>
      </c>
      <c r="J607" s="2" t="s">
        <v>2537</v>
      </c>
      <c r="K607" s="2" t="s">
        <v>1855</v>
      </c>
      <c r="L607" s="2" t="s">
        <v>1188</v>
      </c>
      <c r="M607" s="2" t="str">
        <f t="shared" si="12"/>
        <v>10</v>
      </c>
      <c r="N607" s="2" t="s">
        <v>2406</v>
      </c>
      <c r="O607" s="2" t="s">
        <v>4373</v>
      </c>
      <c r="P607" s="2" t="s">
        <v>4381</v>
      </c>
    </row>
    <row r="608" spans="1:16">
      <c r="A608" s="4">
        <v>46246.405497685184</v>
      </c>
      <c r="B608" s="2" t="s">
        <v>1986</v>
      </c>
      <c r="C608" s="2" t="s">
        <v>735</v>
      </c>
      <c r="D608" s="2" t="s">
        <v>4261</v>
      </c>
      <c r="E608" s="2">
        <v>10</v>
      </c>
      <c r="F608" s="2"/>
      <c r="G608" s="2">
        <v>10</v>
      </c>
      <c r="H608" s="2" t="s">
        <v>3629</v>
      </c>
      <c r="I608" s="2" t="s">
        <v>695</v>
      </c>
      <c r="J608" s="2" t="s">
        <v>2537</v>
      </c>
      <c r="K608" s="2" t="s">
        <v>1855</v>
      </c>
      <c r="L608" s="2" t="s">
        <v>1188</v>
      </c>
      <c r="M608" s="2" t="str">
        <f t="shared" si="12"/>
        <v>10</v>
      </c>
      <c r="N608" s="2" t="s">
        <v>1235</v>
      </c>
      <c r="O608" s="2" t="s">
        <v>4373</v>
      </c>
      <c r="P608" s="2" t="s">
        <v>4381</v>
      </c>
    </row>
    <row r="609" spans="1:16">
      <c r="A609" s="4">
        <v>46246.404687499999</v>
      </c>
      <c r="B609" s="2" t="s">
        <v>3197</v>
      </c>
      <c r="C609" s="2" t="s">
        <v>735</v>
      </c>
      <c r="D609" s="2" t="s">
        <v>4261</v>
      </c>
      <c r="E609" s="2">
        <v>10</v>
      </c>
      <c r="F609" s="2"/>
      <c r="G609" s="2">
        <v>10</v>
      </c>
      <c r="H609" s="2" t="s">
        <v>3629</v>
      </c>
      <c r="I609" s="2" t="s">
        <v>695</v>
      </c>
      <c r="J609" s="2" t="s">
        <v>2537</v>
      </c>
      <c r="K609" s="2" t="s">
        <v>1855</v>
      </c>
      <c r="L609" s="2" t="s">
        <v>1188</v>
      </c>
      <c r="M609" s="2" t="str">
        <f t="shared" si="12"/>
        <v>10</v>
      </c>
      <c r="N609" s="2" t="s">
        <v>1227</v>
      </c>
      <c r="O609" s="2" t="s">
        <v>4373</v>
      </c>
      <c r="P609" s="2" t="s">
        <v>4381</v>
      </c>
    </row>
    <row r="610" spans="1:16">
      <c r="A610" s="4">
        <v>46246.404293981483</v>
      </c>
      <c r="B610" s="2" t="s">
        <v>4040</v>
      </c>
      <c r="C610" s="2" t="s">
        <v>735</v>
      </c>
      <c r="D610" s="2" t="s">
        <v>4261</v>
      </c>
      <c r="E610" s="2">
        <v>10</v>
      </c>
      <c r="F610" s="2"/>
      <c r="G610" s="2">
        <v>10</v>
      </c>
      <c r="H610" s="2" t="s">
        <v>3629</v>
      </c>
      <c r="I610" s="2" t="s">
        <v>695</v>
      </c>
      <c r="J610" s="2" t="s">
        <v>2537</v>
      </c>
      <c r="K610" s="2" t="s">
        <v>1855</v>
      </c>
      <c r="L610" s="2" t="s">
        <v>1188</v>
      </c>
      <c r="M610" s="2" t="str">
        <f t="shared" si="12"/>
        <v>10</v>
      </c>
      <c r="N610" s="2" t="s">
        <v>1344</v>
      </c>
      <c r="O610" s="2" t="s">
        <v>4373</v>
      </c>
      <c r="P610" s="2" t="s">
        <v>4381</v>
      </c>
    </row>
    <row r="611" spans="1:16">
      <c r="A611" s="4">
        <v>46246.404143518521</v>
      </c>
      <c r="B611" s="2" t="s">
        <v>2100</v>
      </c>
      <c r="C611" s="2" t="s">
        <v>735</v>
      </c>
      <c r="D611" s="2" t="s">
        <v>4261</v>
      </c>
      <c r="E611" s="2">
        <v>10</v>
      </c>
      <c r="F611" s="2"/>
      <c r="G611" s="2">
        <v>10</v>
      </c>
      <c r="H611" s="2" t="s">
        <v>3629</v>
      </c>
      <c r="I611" s="2" t="s">
        <v>695</v>
      </c>
      <c r="J611" s="2" t="s">
        <v>2537</v>
      </c>
      <c r="K611" s="2" t="s">
        <v>1855</v>
      </c>
      <c r="L611" s="2" t="s">
        <v>1188</v>
      </c>
      <c r="M611" s="2" t="str">
        <f t="shared" si="12"/>
        <v>10</v>
      </c>
      <c r="N611" s="2" t="s">
        <v>1807</v>
      </c>
      <c r="O611" s="2" t="s">
        <v>4373</v>
      </c>
      <c r="P611" s="2" t="s">
        <v>4381</v>
      </c>
    </row>
    <row r="612" spans="1:16">
      <c r="A612" s="4">
        <v>46244.733055555553</v>
      </c>
      <c r="B612" s="2" t="s">
        <v>3444</v>
      </c>
      <c r="C612" s="2" t="s">
        <v>735</v>
      </c>
      <c r="D612" s="2" t="s">
        <v>4261</v>
      </c>
      <c r="E612" s="2">
        <v>10</v>
      </c>
      <c r="F612" s="2"/>
      <c r="G612" s="2">
        <v>10</v>
      </c>
      <c r="H612" s="2" t="s">
        <v>2778</v>
      </c>
      <c r="I612" s="2" t="s">
        <v>695</v>
      </c>
      <c r="J612" s="2" t="s">
        <v>2537</v>
      </c>
      <c r="K612" s="2" t="s">
        <v>1855</v>
      </c>
      <c r="L612" s="2" t="s">
        <v>2564</v>
      </c>
      <c r="M612" s="2" t="str">
        <f t="shared" si="12"/>
        <v>07</v>
      </c>
      <c r="N612" s="2" t="s">
        <v>4348</v>
      </c>
      <c r="O612" s="2" t="s">
        <v>4373</v>
      </c>
      <c r="P612" s="2" t="s">
        <v>4375</v>
      </c>
    </row>
    <row r="613" spans="1:16">
      <c r="A613" s="4">
        <v>46244.732951388891</v>
      </c>
      <c r="B613" s="2" t="s">
        <v>918</v>
      </c>
      <c r="C613" s="2" t="s">
        <v>735</v>
      </c>
      <c r="D613" s="2" t="s">
        <v>4261</v>
      </c>
      <c r="E613" s="2">
        <v>10</v>
      </c>
      <c r="F613" s="2"/>
      <c r="G613" s="2">
        <v>10</v>
      </c>
      <c r="H613" s="2" t="s">
        <v>2778</v>
      </c>
      <c r="I613" s="2" t="s">
        <v>695</v>
      </c>
      <c r="J613" s="2" t="s">
        <v>2537</v>
      </c>
      <c r="K613" s="2" t="s">
        <v>1855</v>
      </c>
      <c r="L613" s="2" t="s">
        <v>2564</v>
      </c>
      <c r="M613" s="2" t="str">
        <f t="shared" si="12"/>
        <v>07</v>
      </c>
      <c r="N613" s="2" t="s">
        <v>3570</v>
      </c>
      <c r="O613" s="2" t="s">
        <v>4373</v>
      </c>
      <c r="P613" s="2" t="s">
        <v>4375</v>
      </c>
    </row>
    <row r="614" spans="1:16">
      <c r="A614" s="4">
        <v>46244.732847222222</v>
      </c>
      <c r="B614" s="2" t="s">
        <v>3402</v>
      </c>
      <c r="C614" s="2" t="s">
        <v>735</v>
      </c>
      <c r="D614" s="2" t="s">
        <v>4261</v>
      </c>
      <c r="E614" s="2">
        <v>10</v>
      </c>
      <c r="F614" s="2"/>
      <c r="G614" s="2">
        <v>10</v>
      </c>
      <c r="H614" s="2" t="s">
        <v>2778</v>
      </c>
      <c r="I614" s="2" t="s">
        <v>695</v>
      </c>
      <c r="J614" s="2" t="s">
        <v>2537</v>
      </c>
      <c r="K614" s="2" t="s">
        <v>1855</v>
      </c>
      <c r="L614" s="2" t="s">
        <v>2564</v>
      </c>
      <c r="M614" s="2" t="str">
        <f t="shared" si="12"/>
        <v>07</v>
      </c>
      <c r="N614" s="2" t="s">
        <v>1769</v>
      </c>
      <c r="O614" s="2" t="s">
        <v>4373</v>
      </c>
      <c r="P614" s="2" t="s">
        <v>4375</v>
      </c>
    </row>
    <row r="615" spans="1:16">
      <c r="A615" s="4">
        <v>46244.732453703706</v>
      </c>
      <c r="B615" s="2" t="s">
        <v>1341</v>
      </c>
      <c r="C615" s="2" t="s">
        <v>735</v>
      </c>
      <c r="D615" s="2" t="s">
        <v>4261</v>
      </c>
      <c r="E615" s="2">
        <v>10</v>
      </c>
      <c r="F615" s="2"/>
      <c r="G615" s="2">
        <v>10</v>
      </c>
      <c r="H615" s="2" t="s">
        <v>2778</v>
      </c>
      <c r="I615" s="2" t="s">
        <v>695</v>
      </c>
      <c r="J615" s="2" t="s">
        <v>2537</v>
      </c>
      <c r="K615" s="2" t="s">
        <v>1855</v>
      </c>
      <c r="L615" s="2" t="s">
        <v>2564</v>
      </c>
      <c r="M615" s="2" t="str">
        <f t="shared" si="12"/>
        <v>07</v>
      </c>
      <c r="N615" s="2" t="s">
        <v>1047</v>
      </c>
      <c r="O615" s="2" t="s">
        <v>4373</v>
      </c>
      <c r="P615" s="2" t="s">
        <v>4375</v>
      </c>
    </row>
    <row r="616" spans="1:16">
      <c r="A616" s="4">
        <v>46244.730868055558</v>
      </c>
      <c r="B616" s="2" t="s">
        <v>1509</v>
      </c>
      <c r="C616" s="2" t="s">
        <v>735</v>
      </c>
      <c r="D616" s="2" t="s">
        <v>4261</v>
      </c>
      <c r="E616" s="2">
        <v>10</v>
      </c>
      <c r="F616" s="2"/>
      <c r="G616" s="2">
        <v>10</v>
      </c>
      <c r="H616" s="2" t="s">
        <v>2778</v>
      </c>
      <c r="I616" s="2" t="s">
        <v>695</v>
      </c>
      <c r="J616" s="2" t="s">
        <v>2537</v>
      </c>
      <c r="K616" s="2" t="s">
        <v>1855</v>
      </c>
      <c r="L616" s="2" t="s">
        <v>2564</v>
      </c>
      <c r="M616" s="2" t="str">
        <f t="shared" si="12"/>
        <v>07</v>
      </c>
      <c r="N616" s="2" t="s">
        <v>682</v>
      </c>
      <c r="O616" s="2" t="s">
        <v>4373</v>
      </c>
      <c r="P616" s="2" t="s">
        <v>4375</v>
      </c>
    </row>
    <row r="617" spans="1:16">
      <c r="A617" s="4">
        <v>46244.730636574073</v>
      </c>
      <c r="B617" s="2" t="s">
        <v>2748</v>
      </c>
      <c r="C617" s="2" t="s">
        <v>735</v>
      </c>
      <c r="D617" s="2" t="s">
        <v>4261</v>
      </c>
      <c r="E617" s="2">
        <v>10</v>
      </c>
      <c r="F617" s="2"/>
      <c r="G617" s="2">
        <v>10</v>
      </c>
      <c r="H617" s="2" t="s">
        <v>2778</v>
      </c>
      <c r="I617" s="2" t="s">
        <v>695</v>
      </c>
      <c r="J617" s="2" t="s">
        <v>2537</v>
      </c>
      <c r="K617" s="2" t="s">
        <v>1855</v>
      </c>
      <c r="L617" s="2" t="s">
        <v>2564</v>
      </c>
      <c r="M617" s="2" t="str">
        <f t="shared" si="12"/>
        <v>07</v>
      </c>
      <c r="N617" s="2" t="s">
        <v>1172</v>
      </c>
      <c r="O617" s="2" t="s">
        <v>4373</v>
      </c>
      <c r="P617" s="2" t="s">
        <v>4375</v>
      </c>
    </row>
    <row r="618" spans="1:16">
      <c r="A618" s="4">
        <v>46244.730613425927</v>
      </c>
      <c r="B618" s="2" t="s">
        <v>3512</v>
      </c>
      <c r="C618" s="2" t="s">
        <v>735</v>
      </c>
      <c r="D618" s="2" t="s">
        <v>4261</v>
      </c>
      <c r="E618" s="2">
        <v>10</v>
      </c>
      <c r="F618" s="2"/>
      <c r="G618" s="2">
        <v>10</v>
      </c>
      <c r="H618" s="2" t="s">
        <v>2778</v>
      </c>
      <c r="I618" s="2" t="s">
        <v>695</v>
      </c>
      <c r="J618" s="2" t="s">
        <v>2537</v>
      </c>
      <c r="K618" s="2" t="s">
        <v>1855</v>
      </c>
      <c r="L618" s="2" t="s">
        <v>2564</v>
      </c>
      <c r="M618" s="2" t="str">
        <f t="shared" si="12"/>
        <v>07</v>
      </c>
      <c r="N618" s="2" t="s">
        <v>2071</v>
      </c>
      <c r="O618" s="2" t="s">
        <v>4373</v>
      </c>
      <c r="P618" s="2" t="s">
        <v>4375</v>
      </c>
    </row>
    <row r="619" spans="1:16">
      <c r="A619" s="4">
        <v>46244.729039351849</v>
      </c>
      <c r="B619" s="2" t="s">
        <v>1975</v>
      </c>
      <c r="C619" s="2" t="s">
        <v>735</v>
      </c>
      <c r="D619" s="2" t="s">
        <v>4261</v>
      </c>
      <c r="E619" s="2">
        <v>10</v>
      </c>
      <c r="F619" s="2"/>
      <c r="G619" s="2">
        <v>10</v>
      </c>
      <c r="H619" s="2" t="s">
        <v>2778</v>
      </c>
      <c r="I619" s="2" t="s">
        <v>695</v>
      </c>
      <c r="J619" s="2" t="s">
        <v>2537</v>
      </c>
      <c r="K619" s="2" t="s">
        <v>1855</v>
      </c>
      <c r="L619" s="2" t="s">
        <v>2564</v>
      </c>
      <c r="M619" s="2" t="str">
        <f t="shared" si="12"/>
        <v>07</v>
      </c>
      <c r="N619" s="2" t="s">
        <v>1156</v>
      </c>
      <c r="O619" s="2" t="s">
        <v>4373</v>
      </c>
      <c r="P619" s="2" t="s">
        <v>4375</v>
      </c>
    </row>
    <row r="620" spans="1:16">
      <c r="A620" s="4">
        <v>46244.729004629633</v>
      </c>
      <c r="B620" s="2" t="s">
        <v>2231</v>
      </c>
      <c r="C620" s="2" t="s">
        <v>735</v>
      </c>
      <c r="D620" s="2" t="s">
        <v>4261</v>
      </c>
      <c r="E620" s="2">
        <v>10</v>
      </c>
      <c r="F620" s="2"/>
      <c r="G620" s="2">
        <v>10</v>
      </c>
      <c r="H620" s="2" t="s">
        <v>2778</v>
      </c>
      <c r="I620" s="2" t="s">
        <v>695</v>
      </c>
      <c r="J620" s="2" t="s">
        <v>2537</v>
      </c>
      <c r="K620" s="2" t="s">
        <v>1855</v>
      </c>
      <c r="L620" s="2" t="s">
        <v>2564</v>
      </c>
      <c r="M620" s="2" t="str">
        <f t="shared" si="12"/>
        <v>07</v>
      </c>
      <c r="N620" s="2" t="s">
        <v>3866</v>
      </c>
      <c r="O620" s="2" t="s">
        <v>4373</v>
      </c>
      <c r="P620" s="2" t="s">
        <v>4375</v>
      </c>
    </row>
    <row r="621" spans="1:16">
      <c r="A621" s="4">
        <v>46244.728807870371</v>
      </c>
      <c r="B621" s="2" t="s">
        <v>3716</v>
      </c>
      <c r="C621" s="2" t="s">
        <v>735</v>
      </c>
      <c r="D621" s="2" t="s">
        <v>4261</v>
      </c>
      <c r="E621" s="2">
        <v>10</v>
      </c>
      <c r="F621" s="2"/>
      <c r="G621" s="2">
        <v>10</v>
      </c>
      <c r="H621" s="2" t="s">
        <v>2778</v>
      </c>
      <c r="I621" s="2" t="s">
        <v>695</v>
      </c>
      <c r="J621" s="2" t="s">
        <v>2537</v>
      </c>
      <c r="K621" s="2" t="s">
        <v>1855</v>
      </c>
      <c r="L621" s="2" t="s">
        <v>2564</v>
      </c>
      <c r="M621" s="2" t="str">
        <f t="shared" si="12"/>
        <v>07</v>
      </c>
      <c r="N621" s="2" t="s">
        <v>3691</v>
      </c>
      <c r="O621" s="2" t="s">
        <v>4373</v>
      </c>
      <c r="P621" s="2" t="s">
        <v>4375</v>
      </c>
    </row>
    <row r="622" spans="1:16">
      <c r="A622" s="4">
        <v>46244.72797453704</v>
      </c>
      <c r="B622" s="2" t="s">
        <v>964</v>
      </c>
      <c r="C622" s="2" t="s">
        <v>735</v>
      </c>
      <c r="D622" s="2" t="s">
        <v>4261</v>
      </c>
      <c r="E622" s="2">
        <v>10</v>
      </c>
      <c r="F622" s="2"/>
      <c r="G622" s="2">
        <v>10</v>
      </c>
      <c r="H622" s="2" t="s">
        <v>2778</v>
      </c>
      <c r="I622" s="2" t="s">
        <v>695</v>
      </c>
      <c r="J622" s="2" t="s">
        <v>2537</v>
      </c>
      <c r="K622" s="2" t="s">
        <v>1855</v>
      </c>
      <c r="L622" s="2" t="s">
        <v>2564</v>
      </c>
      <c r="M622" s="2" t="str">
        <f t="shared" si="12"/>
        <v>07</v>
      </c>
      <c r="N622" s="2" t="s">
        <v>3780</v>
      </c>
      <c r="O622" s="2" t="s">
        <v>4373</v>
      </c>
      <c r="P622" s="2" t="s">
        <v>4375</v>
      </c>
    </row>
    <row r="623" spans="1:16">
      <c r="A623" s="4">
        <v>46244.727824074071</v>
      </c>
      <c r="B623" s="2" t="s">
        <v>331</v>
      </c>
      <c r="C623" s="2" t="s">
        <v>735</v>
      </c>
      <c r="D623" s="2" t="s">
        <v>4261</v>
      </c>
      <c r="E623" s="2">
        <v>10</v>
      </c>
      <c r="F623" s="2"/>
      <c r="G623" s="2">
        <v>10</v>
      </c>
      <c r="H623" s="2" t="s">
        <v>2778</v>
      </c>
      <c r="I623" s="2" t="s">
        <v>695</v>
      </c>
      <c r="J623" s="2" t="s">
        <v>2537</v>
      </c>
      <c r="K623" s="2" t="s">
        <v>1855</v>
      </c>
      <c r="L623" s="2" t="s">
        <v>2564</v>
      </c>
      <c r="M623" s="2" t="str">
        <f t="shared" si="12"/>
        <v>07</v>
      </c>
      <c r="N623" s="2" t="s">
        <v>20</v>
      </c>
      <c r="O623" s="2" t="s">
        <v>4373</v>
      </c>
      <c r="P623" s="2" t="s">
        <v>4375</v>
      </c>
    </row>
    <row r="624" spans="1:16">
      <c r="A624" s="4">
        <v>46244.727152777778</v>
      </c>
      <c r="B624" s="2" t="s">
        <v>3254</v>
      </c>
      <c r="C624" s="2" t="s">
        <v>735</v>
      </c>
      <c r="D624" s="2" t="s">
        <v>4261</v>
      </c>
      <c r="E624" s="2">
        <v>10</v>
      </c>
      <c r="F624" s="2"/>
      <c r="G624" s="2">
        <v>10</v>
      </c>
      <c r="H624" s="2" t="s">
        <v>2778</v>
      </c>
      <c r="I624" s="2" t="s">
        <v>695</v>
      </c>
      <c r="J624" s="2" t="s">
        <v>2537</v>
      </c>
      <c r="K624" s="2" t="s">
        <v>1855</v>
      </c>
      <c r="L624" s="2" t="s">
        <v>2564</v>
      </c>
      <c r="M624" s="2" t="str">
        <f t="shared" si="12"/>
        <v>07</v>
      </c>
      <c r="N624" s="2" t="s">
        <v>2861</v>
      </c>
      <c r="O624" s="2" t="s">
        <v>4373</v>
      </c>
      <c r="P624" s="2" t="s">
        <v>4375</v>
      </c>
    </row>
    <row r="625" spans="1:16">
      <c r="A625" s="4">
        <v>46244.726944444446</v>
      </c>
      <c r="B625" s="2" t="s">
        <v>2386</v>
      </c>
      <c r="C625" s="2" t="s">
        <v>735</v>
      </c>
      <c r="D625" s="2" t="s">
        <v>4261</v>
      </c>
      <c r="E625" s="2">
        <v>10</v>
      </c>
      <c r="F625" s="2"/>
      <c r="G625" s="2">
        <v>10</v>
      </c>
      <c r="H625" s="2" t="s">
        <v>2778</v>
      </c>
      <c r="I625" s="2" t="s">
        <v>695</v>
      </c>
      <c r="J625" s="2" t="s">
        <v>2537</v>
      </c>
      <c r="K625" s="2" t="s">
        <v>1855</v>
      </c>
      <c r="L625" s="2" t="s">
        <v>2564</v>
      </c>
      <c r="M625" s="2" t="str">
        <f t="shared" si="12"/>
        <v>07</v>
      </c>
      <c r="N625" s="2" t="s">
        <v>2494</v>
      </c>
      <c r="O625" s="2" t="s">
        <v>4373</v>
      </c>
      <c r="P625" s="2" t="s">
        <v>4375</v>
      </c>
    </row>
    <row r="626" spans="1:16">
      <c r="A626" s="4">
        <v>46244.726793981485</v>
      </c>
      <c r="B626" s="2" t="s">
        <v>3715</v>
      </c>
      <c r="C626" s="2" t="s">
        <v>735</v>
      </c>
      <c r="D626" s="2" t="s">
        <v>4261</v>
      </c>
      <c r="E626" s="2">
        <v>10</v>
      </c>
      <c r="F626" s="2"/>
      <c r="G626" s="2">
        <v>10</v>
      </c>
      <c r="H626" s="2" t="s">
        <v>2778</v>
      </c>
      <c r="I626" s="2" t="s">
        <v>695</v>
      </c>
      <c r="J626" s="2" t="s">
        <v>2537</v>
      </c>
      <c r="K626" s="2" t="s">
        <v>1855</v>
      </c>
      <c r="L626" s="2" t="s">
        <v>2564</v>
      </c>
      <c r="M626" s="2" t="str">
        <f t="shared" si="12"/>
        <v>07</v>
      </c>
      <c r="N626" s="2" t="s">
        <v>107</v>
      </c>
      <c r="O626" s="2" t="s">
        <v>4373</v>
      </c>
      <c r="P626" s="2" t="s">
        <v>4375</v>
      </c>
    </row>
    <row r="627" spans="1:16">
      <c r="A627" s="4">
        <v>46244.70621527778</v>
      </c>
      <c r="B627" s="2" t="s">
        <v>124</v>
      </c>
      <c r="C627" s="2" t="s">
        <v>735</v>
      </c>
      <c r="D627" s="2" t="s">
        <v>4261</v>
      </c>
      <c r="E627" s="2">
        <v>10</v>
      </c>
      <c r="F627" s="2"/>
      <c r="G627" s="2">
        <v>10</v>
      </c>
      <c r="H627" s="2" t="s">
        <v>2778</v>
      </c>
      <c r="I627" s="2" t="s">
        <v>695</v>
      </c>
      <c r="J627" s="2" t="s">
        <v>2537</v>
      </c>
      <c r="K627" s="2" t="s">
        <v>1855</v>
      </c>
      <c r="L627" s="2" t="s">
        <v>2564</v>
      </c>
      <c r="M627" s="2" t="str">
        <f t="shared" si="12"/>
        <v>07</v>
      </c>
      <c r="N627" s="2" t="s">
        <v>641</v>
      </c>
      <c r="O627" s="2" t="s">
        <v>4373</v>
      </c>
      <c r="P627" s="2" t="s">
        <v>4375</v>
      </c>
    </row>
    <row r="628" spans="1:16">
      <c r="A628" s="4">
        <v>46244.705300925925</v>
      </c>
      <c r="B628" s="2" t="s">
        <v>2673</v>
      </c>
      <c r="C628" s="2" t="s">
        <v>735</v>
      </c>
      <c r="D628" s="2" t="s">
        <v>4261</v>
      </c>
      <c r="E628" s="2">
        <v>10</v>
      </c>
      <c r="F628" s="2"/>
      <c r="G628" s="2">
        <v>10</v>
      </c>
      <c r="H628" s="2" t="s">
        <v>2778</v>
      </c>
      <c r="I628" s="2" t="s">
        <v>695</v>
      </c>
      <c r="J628" s="2" t="s">
        <v>2537</v>
      </c>
      <c r="K628" s="2" t="s">
        <v>1855</v>
      </c>
      <c r="L628" s="2" t="s">
        <v>2564</v>
      </c>
      <c r="M628" s="2" t="str">
        <f t="shared" si="12"/>
        <v>07</v>
      </c>
      <c r="N628" s="2" t="s">
        <v>1091</v>
      </c>
      <c r="O628" s="2" t="s">
        <v>4373</v>
      </c>
      <c r="P628" s="2" t="s">
        <v>4375</v>
      </c>
    </row>
    <row r="629" spans="1:16">
      <c r="A629" s="4">
        <v>46244.704571759263</v>
      </c>
      <c r="B629" s="2" t="s">
        <v>3055</v>
      </c>
      <c r="C629" s="2" t="s">
        <v>735</v>
      </c>
      <c r="D629" s="2" t="s">
        <v>4261</v>
      </c>
      <c r="E629" s="2">
        <v>10</v>
      </c>
      <c r="F629" s="2"/>
      <c r="G629" s="2">
        <v>10</v>
      </c>
      <c r="H629" s="2" t="s">
        <v>2778</v>
      </c>
      <c r="I629" s="2" t="s">
        <v>695</v>
      </c>
      <c r="J629" s="2" t="s">
        <v>2537</v>
      </c>
      <c r="K629" s="2" t="s">
        <v>1855</v>
      </c>
      <c r="L629" s="2" t="s">
        <v>2564</v>
      </c>
      <c r="M629" s="2" t="str">
        <f t="shared" si="12"/>
        <v>07</v>
      </c>
      <c r="N629" s="2" t="s">
        <v>3936</v>
      </c>
      <c r="O629" s="2" t="s">
        <v>4373</v>
      </c>
      <c r="P629" s="2" t="s">
        <v>4375</v>
      </c>
    </row>
    <row r="630" spans="1:16">
      <c r="A630" s="4">
        <v>46244.70416666667</v>
      </c>
      <c r="B630" s="2" t="s">
        <v>1153</v>
      </c>
      <c r="C630" s="2" t="s">
        <v>735</v>
      </c>
      <c r="D630" s="2" t="s">
        <v>4261</v>
      </c>
      <c r="E630" s="2">
        <v>10</v>
      </c>
      <c r="F630" s="2"/>
      <c r="G630" s="2">
        <v>10</v>
      </c>
      <c r="H630" s="2" t="s">
        <v>2778</v>
      </c>
      <c r="I630" s="2" t="s">
        <v>695</v>
      </c>
      <c r="J630" s="2" t="s">
        <v>2537</v>
      </c>
      <c r="K630" s="2" t="s">
        <v>1855</v>
      </c>
      <c r="L630" s="2" t="s">
        <v>2564</v>
      </c>
      <c r="M630" s="2" t="str">
        <f t="shared" si="12"/>
        <v>07</v>
      </c>
      <c r="N630" s="2" t="s">
        <v>595</v>
      </c>
      <c r="O630" s="2" t="s">
        <v>4373</v>
      </c>
      <c r="P630" s="2" t="s">
        <v>4375</v>
      </c>
    </row>
    <row r="631" spans="1:16">
      <c r="A631" s="4">
        <v>46244.703761574077</v>
      </c>
      <c r="B631" s="2" t="s">
        <v>726</v>
      </c>
      <c r="C631" s="2" t="s">
        <v>735</v>
      </c>
      <c r="D631" s="2" t="s">
        <v>4261</v>
      </c>
      <c r="E631" s="2">
        <v>10</v>
      </c>
      <c r="F631" s="2"/>
      <c r="G631" s="2">
        <v>10</v>
      </c>
      <c r="H631" s="2" t="s">
        <v>2778</v>
      </c>
      <c r="I631" s="2" t="s">
        <v>695</v>
      </c>
      <c r="J631" s="2" t="s">
        <v>2537</v>
      </c>
      <c r="K631" s="2" t="s">
        <v>1855</v>
      </c>
      <c r="L631" s="2" t="s">
        <v>2564</v>
      </c>
      <c r="M631" s="2" t="str">
        <f t="shared" si="12"/>
        <v>07</v>
      </c>
      <c r="N631" s="2" t="s">
        <v>1721</v>
      </c>
      <c r="O631" s="2" t="s">
        <v>4373</v>
      </c>
      <c r="P631" s="2" t="s">
        <v>4375</v>
      </c>
    </row>
    <row r="632" spans="1:16">
      <c r="A632" s="4">
        <v>46244.703750000001</v>
      </c>
      <c r="B632" s="2" t="s">
        <v>161</v>
      </c>
      <c r="C632" s="2" t="s">
        <v>735</v>
      </c>
      <c r="D632" s="2" t="s">
        <v>4261</v>
      </c>
      <c r="E632" s="2">
        <v>10</v>
      </c>
      <c r="F632" s="2"/>
      <c r="G632" s="2">
        <v>10</v>
      </c>
      <c r="H632" s="2" t="s">
        <v>2778</v>
      </c>
      <c r="I632" s="2" t="s">
        <v>695</v>
      </c>
      <c r="J632" s="2" t="s">
        <v>2537</v>
      </c>
      <c r="K632" s="2" t="s">
        <v>1855</v>
      </c>
      <c r="L632" s="2" t="s">
        <v>2564</v>
      </c>
      <c r="M632" s="2" t="str">
        <f t="shared" si="12"/>
        <v>07</v>
      </c>
      <c r="N632" s="2" t="s">
        <v>4035</v>
      </c>
      <c r="O632" s="2" t="s">
        <v>4373</v>
      </c>
      <c r="P632" s="2" t="s">
        <v>4375</v>
      </c>
    </row>
    <row r="633" spans="1:16">
      <c r="A633" s="4">
        <v>46244.702766203707</v>
      </c>
      <c r="B633" s="2" t="s">
        <v>555</v>
      </c>
      <c r="C633" s="2" t="s">
        <v>735</v>
      </c>
      <c r="D633" s="2" t="s">
        <v>4261</v>
      </c>
      <c r="E633" s="2">
        <v>10</v>
      </c>
      <c r="F633" s="2"/>
      <c r="G633" s="2">
        <v>10</v>
      </c>
      <c r="H633" s="2" t="s">
        <v>2778</v>
      </c>
      <c r="I633" s="2" t="s">
        <v>695</v>
      </c>
      <c r="J633" s="2" t="s">
        <v>2537</v>
      </c>
      <c r="K633" s="2" t="s">
        <v>1855</v>
      </c>
      <c r="L633" s="2" t="s">
        <v>2564</v>
      </c>
      <c r="M633" s="2" t="str">
        <f t="shared" si="12"/>
        <v>07</v>
      </c>
      <c r="N633" s="2" t="s">
        <v>737</v>
      </c>
      <c r="O633" s="2" t="s">
        <v>4373</v>
      </c>
      <c r="P633" s="2" t="s">
        <v>4375</v>
      </c>
    </row>
    <row r="634" spans="1:16">
      <c r="A634" s="4">
        <v>46244.702719907407</v>
      </c>
      <c r="B634" s="2" t="s">
        <v>548</v>
      </c>
      <c r="C634" s="2" t="s">
        <v>735</v>
      </c>
      <c r="D634" s="2" t="s">
        <v>4261</v>
      </c>
      <c r="E634" s="2">
        <v>10</v>
      </c>
      <c r="F634" s="2"/>
      <c r="G634" s="2">
        <v>10</v>
      </c>
      <c r="H634" s="2" t="s">
        <v>2778</v>
      </c>
      <c r="I634" s="2" t="s">
        <v>695</v>
      </c>
      <c r="J634" s="2" t="s">
        <v>2537</v>
      </c>
      <c r="K634" s="2" t="s">
        <v>1855</v>
      </c>
      <c r="L634" s="2" t="s">
        <v>2564</v>
      </c>
      <c r="M634" s="2" t="str">
        <f t="shared" si="12"/>
        <v>07</v>
      </c>
      <c r="N634" s="2" t="s">
        <v>3257</v>
      </c>
      <c r="O634" s="2" t="s">
        <v>4373</v>
      </c>
      <c r="P634" s="2" t="s">
        <v>4375</v>
      </c>
    </row>
    <row r="635" spans="1:16">
      <c r="A635" s="4">
        <v>46244.702685185184</v>
      </c>
      <c r="B635" s="2" t="s">
        <v>1884</v>
      </c>
      <c r="C635" s="2" t="s">
        <v>735</v>
      </c>
      <c r="D635" s="2" t="s">
        <v>4261</v>
      </c>
      <c r="E635" s="2">
        <v>10</v>
      </c>
      <c r="F635" s="2"/>
      <c r="G635" s="2">
        <v>10</v>
      </c>
      <c r="H635" s="2" t="s">
        <v>2778</v>
      </c>
      <c r="I635" s="2" t="s">
        <v>695</v>
      </c>
      <c r="J635" s="2" t="s">
        <v>2537</v>
      </c>
      <c r="K635" s="2" t="s">
        <v>1855</v>
      </c>
      <c r="L635" s="2" t="s">
        <v>2564</v>
      </c>
      <c r="M635" s="2" t="str">
        <f t="shared" si="12"/>
        <v>07</v>
      </c>
      <c r="N635" s="2" t="s">
        <v>302</v>
      </c>
      <c r="O635" s="2" t="s">
        <v>4373</v>
      </c>
      <c r="P635" s="2" t="s">
        <v>4375</v>
      </c>
    </row>
    <row r="636" spans="1:16">
      <c r="A636" s="4">
        <v>46244.702673611115</v>
      </c>
      <c r="B636" s="2" t="s">
        <v>249</v>
      </c>
      <c r="C636" s="2" t="s">
        <v>735</v>
      </c>
      <c r="D636" s="2" t="s">
        <v>4261</v>
      </c>
      <c r="E636" s="2">
        <v>10</v>
      </c>
      <c r="F636" s="2"/>
      <c r="G636" s="2">
        <v>10</v>
      </c>
      <c r="H636" s="2" t="s">
        <v>2778</v>
      </c>
      <c r="I636" s="2" t="s">
        <v>695</v>
      </c>
      <c r="J636" s="2" t="s">
        <v>2537</v>
      </c>
      <c r="K636" s="2" t="s">
        <v>1855</v>
      </c>
      <c r="L636" s="2" t="s">
        <v>2564</v>
      </c>
      <c r="M636" s="2" t="str">
        <f t="shared" si="12"/>
        <v>07</v>
      </c>
      <c r="N636" s="2" t="s">
        <v>442</v>
      </c>
      <c r="O636" s="2" t="s">
        <v>4373</v>
      </c>
      <c r="P636" s="2" t="s">
        <v>4375</v>
      </c>
    </row>
    <row r="637" spans="1:16">
      <c r="A637" s="4">
        <v>46244.702662037038</v>
      </c>
      <c r="B637" s="2" t="s">
        <v>3088</v>
      </c>
      <c r="C637" s="2" t="s">
        <v>735</v>
      </c>
      <c r="D637" s="2" t="s">
        <v>4261</v>
      </c>
      <c r="E637" s="2">
        <v>10</v>
      </c>
      <c r="F637" s="2"/>
      <c r="G637" s="2">
        <v>10</v>
      </c>
      <c r="H637" s="2" t="s">
        <v>2778</v>
      </c>
      <c r="I637" s="2" t="s">
        <v>695</v>
      </c>
      <c r="J637" s="2" t="s">
        <v>2537</v>
      </c>
      <c r="K637" s="2" t="s">
        <v>1855</v>
      </c>
      <c r="L637" s="2" t="s">
        <v>2564</v>
      </c>
      <c r="M637" s="2" t="str">
        <f t="shared" si="12"/>
        <v>07</v>
      </c>
      <c r="N637" s="2" t="s">
        <v>683</v>
      </c>
      <c r="O637" s="2" t="s">
        <v>4373</v>
      </c>
      <c r="P637" s="2" t="s">
        <v>4375</v>
      </c>
    </row>
    <row r="638" spans="1:16">
      <c r="A638" s="4">
        <v>46244.702604166669</v>
      </c>
      <c r="B638" s="2" t="s">
        <v>2485</v>
      </c>
      <c r="C638" s="2" t="s">
        <v>735</v>
      </c>
      <c r="D638" s="2" t="s">
        <v>4261</v>
      </c>
      <c r="E638" s="2">
        <v>10</v>
      </c>
      <c r="F638" s="2"/>
      <c r="G638" s="2">
        <v>10</v>
      </c>
      <c r="H638" s="2" t="s">
        <v>2778</v>
      </c>
      <c r="I638" s="2" t="s">
        <v>695</v>
      </c>
      <c r="J638" s="2" t="s">
        <v>2537</v>
      </c>
      <c r="K638" s="2" t="s">
        <v>1855</v>
      </c>
      <c r="L638" s="2" t="s">
        <v>2564</v>
      </c>
      <c r="M638" s="2" t="str">
        <f t="shared" si="12"/>
        <v>07</v>
      </c>
      <c r="N638" s="2" t="s">
        <v>1214</v>
      </c>
      <c r="O638" s="2" t="s">
        <v>4373</v>
      </c>
      <c r="P638" s="2" t="s">
        <v>4375</v>
      </c>
    </row>
    <row r="639" spans="1:16">
      <c r="A639" s="4">
        <v>46244.702569444446</v>
      </c>
      <c r="B639" s="2" t="s">
        <v>1016</v>
      </c>
      <c r="C639" s="2" t="s">
        <v>735</v>
      </c>
      <c r="D639" s="2" t="s">
        <v>4261</v>
      </c>
      <c r="E639" s="2">
        <v>10</v>
      </c>
      <c r="F639" s="2"/>
      <c r="G639" s="2">
        <v>10</v>
      </c>
      <c r="H639" s="2" t="s">
        <v>2778</v>
      </c>
      <c r="I639" s="2" t="s">
        <v>695</v>
      </c>
      <c r="J639" s="2" t="s">
        <v>2537</v>
      </c>
      <c r="K639" s="2" t="s">
        <v>1855</v>
      </c>
      <c r="L639" s="2" t="s">
        <v>2564</v>
      </c>
      <c r="M639" s="2" t="str">
        <f t="shared" si="12"/>
        <v>07</v>
      </c>
      <c r="N639" s="2" t="s">
        <v>2363</v>
      </c>
      <c r="O639" s="2" t="s">
        <v>4373</v>
      </c>
      <c r="P639" s="2" t="s">
        <v>4375</v>
      </c>
    </row>
    <row r="640" spans="1:16">
      <c r="A640" s="4">
        <v>46244.701041666667</v>
      </c>
      <c r="B640" s="2" t="s">
        <v>3271</v>
      </c>
      <c r="C640" s="2" t="s">
        <v>735</v>
      </c>
      <c r="D640" s="2" t="s">
        <v>4261</v>
      </c>
      <c r="E640" s="2">
        <v>10</v>
      </c>
      <c r="F640" s="2"/>
      <c r="G640" s="2">
        <v>10</v>
      </c>
      <c r="H640" s="2" t="s">
        <v>2778</v>
      </c>
      <c r="I640" s="2" t="s">
        <v>695</v>
      </c>
      <c r="J640" s="2" t="s">
        <v>2537</v>
      </c>
      <c r="K640" s="2" t="s">
        <v>1855</v>
      </c>
      <c r="L640" s="2" t="s">
        <v>2564</v>
      </c>
      <c r="M640" s="2" t="str">
        <f t="shared" si="12"/>
        <v>07</v>
      </c>
      <c r="N640" s="2" t="s">
        <v>2797</v>
      </c>
      <c r="O640" s="2" t="s">
        <v>4373</v>
      </c>
      <c r="P640" s="2" t="s">
        <v>4375</v>
      </c>
    </row>
    <row r="641" spans="1:16">
      <c r="A641" s="4">
        <v>46244.700879629629</v>
      </c>
      <c r="B641" s="2" t="s">
        <v>988</v>
      </c>
      <c r="C641" s="2" t="s">
        <v>735</v>
      </c>
      <c r="D641" s="2" t="s">
        <v>4261</v>
      </c>
      <c r="E641" s="2">
        <v>10</v>
      </c>
      <c r="F641" s="2"/>
      <c r="G641" s="2">
        <v>10</v>
      </c>
      <c r="H641" s="2" t="s">
        <v>2778</v>
      </c>
      <c r="I641" s="2" t="s">
        <v>695</v>
      </c>
      <c r="J641" s="2" t="s">
        <v>2537</v>
      </c>
      <c r="K641" s="2" t="s">
        <v>1855</v>
      </c>
      <c r="L641" s="2" t="s">
        <v>2564</v>
      </c>
      <c r="M641" s="2" t="str">
        <f t="shared" si="12"/>
        <v>07</v>
      </c>
      <c r="N641" s="2" t="s">
        <v>4264</v>
      </c>
      <c r="O641" s="2" t="s">
        <v>4373</v>
      </c>
      <c r="P641" s="2" t="s">
        <v>4375</v>
      </c>
    </row>
    <row r="642" spans="1:16">
      <c r="A642" s="4">
        <v>46244.700023148151</v>
      </c>
      <c r="B642" s="2" t="s">
        <v>2247</v>
      </c>
      <c r="C642" s="2" t="s">
        <v>735</v>
      </c>
      <c r="D642" s="2" t="s">
        <v>4261</v>
      </c>
      <c r="E642" s="2">
        <v>10</v>
      </c>
      <c r="F642" s="2"/>
      <c r="G642" s="2">
        <v>10</v>
      </c>
      <c r="H642" s="2" t="s">
        <v>2778</v>
      </c>
      <c r="I642" s="2" t="s">
        <v>695</v>
      </c>
      <c r="J642" s="2" t="s">
        <v>2537</v>
      </c>
      <c r="K642" s="2" t="s">
        <v>1855</v>
      </c>
      <c r="L642" s="2" t="s">
        <v>2564</v>
      </c>
      <c r="M642" s="2" t="str">
        <f t="shared" ref="M642:M705" si="13">RIGHT(L642,2)</f>
        <v>07</v>
      </c>
      <c r="N642" s="2" t="s">
        <v>626</v>
      </c>
      <c r="O642" s="2" t="s">
        <v>4373</v>
      </c>
      <c r="P642" s="2" t="s">
        <v>4375</v>
      </c>
    </row>
    <row r="643" spans="1:16">
      <c r="A643" s="4">
        <v>46244.699849537035</v>
      </c>
      <c r="B643" s="2" t="s">
        <v>3332</v>
      </c>
      <c r="C643" s="2" t="s">
        <v>735</v>
      </c>
      <c r="D643" s="2" t="s">
        <v>4261</v>
      </c>
      <c r="E643" s="2">
        <v>10</v>
      </c>
      <c r="F643" s="2"/>
      <c r="G643" s="2">
        <v>10</v>
      </c>
      <c r="H643" s="2" t="s">
        <v>2778</v>
      </c>
      <c r="I643" s="2" t="s">
        <v>695</v>
      </c>
      <c r="J643" s="2" t="s">
        <v>2537</v>
      </c>
      <c r="K643" s="2" t="s">
        <v>1855</v>
      </c>
      <c r="L643" s="2" t="s">
        <v>2564</v>
      </c>
      <c r="M643" s="2" t="str">
        <f t="shared" si="13"/>
        <v>07</v>
      </c>
      <c r="N643" s="2" t="s">
        <v>357</v>
      </c>
      <c r="O643" s="2" t="s">
        <v>4373</v>
      </c>
      <c r="P643" s="2" t="s">
        <v>4375</v>
      </c>
    </row>
    <row r="644" spans="1:16">
      <c r="A644" s="4">
        <v>46244.699745370373</v>
      </c>
      <c r="B644" s="2" t="s">
        <v>3199</v>
      </c>
      <c r="C644" s="2" t="s">
        <v>735</v>
      </c>
      <c r="D644" s="2" t="s">
        <v>4261</v>
      </c>
      <c r="E644" s="2">
        <v>10</v>
      </c>
      <c r="F644" s="2"/>
      <c r="G644" s="2">
        <v>10</v>
      </c>
      <c r="H644" s="2" t="s">
        <v>2778</v>
      </c>
      <c r="I644" s="2" t="s">
        <v>695</v>
      </c>
      <c r="J644" s="2" t="s">
        <v>2537</v>
      </c>
      <c r="K644" s="2" t="s">
        <v>1855</v>
      </c>
      <c r="L644" s="2" t="s">
        <v>2564</v>
      </c>
      <c r="M644" s="2" t="str">
        <f t="shared" si="13"/>
        <v>07</v>
      </c>
      <c r="N644" s="2" t="s">
        <v>2003</v>
      </c>
      <c r="O644" s="2" t="s">
        <v>4373</v>
      </c>
      <c r="P644" s="2" t="s">
        <v>4375</v>
      </c>
    </row>
    <row r="645" spans="1:16">
      <c r="A645" s="4">
        <v>46244.69872685185</v>
      </c>
      <c r="B645" s="2" t="s">
        <v>3185</v>
      </c>
      <c r="C645" s="2" t="s">
        <v>735</v>
      </c>
      <c r="D645" s="2" t="s">
        <v>4261</v>
      </c>
      <c r="E645" s="2">
        <v>10</v>
      </c>
      <c r="F645" s="2"/>
      <c r="G645" s="2">
        <v>10</v>
      </c>
      <c r="H645" s="2" t="s">
        <v>2778</v>
      </c>
      <c r="I645" s="2" t="s">
        <v>695</v>
      </c>
      <c r="J645" s="2" t="s">
        <v>2537</v>
      </c>
      <c r="K645" s="2" t="s">
        <v>1855</v>
      </c>
      <c r="L645" s="2" t="s">
        <v>2564</v>
      </c>
      <c r="M645" s="2" t="str">
        <f t="shared" si="13"/>
        <v>07</v>
      </c>
      <c r="N645" s="2" t="s">
        <v>2628</v>
      </c>
      <c r="O645" s="2" t="s">
        <v>4373</v>
      </c>
      <c r="P645" s="2" t="s">
        <v>4375</v>
      </c>
    </row>
    <row r="646" spans="1:16">
      <c r="A646" s="4">
        <v>46244.698564814818</v>
      </c>
      <c r="B646" s="2" t="s">
        <v>4234</v>
      </c>
      <c r="C646" s="2" t="s">
        <v>735</v>
      </c>
      <c r="D646" s="2" t="s">
        <v>4261</v>
      </c>
      <c r="E646" s="2">
        <v>10</v>
      </c>
      <c r="F646" s="2"/>
      <c r="G646" s="2">
        <v>10</v>
      </c>
      <c r="H646" s="2" t="s">
        <v>2778</v>
      </c>
      <c r="I646" s="2" t="s">
        <v>695</v>
      </c>
      <c r="J646" s="2" t="s">
        <v>2537</v>
      </c>
      <c r="K646" s="2" t="s">
        <v>1855</v>
      </c>
      <c r="L646" s="2" t="s">
        <v>2564</v>
      </c>
      <c r="M646" s="2" t="str">
        <f t="shared" si="13"/>
        <v>07</v>
      </c>
      <c r="N646" s="2" t="s">
        <v>234</v>
      </c>
      <c r="O646" s="2" t="s">
        <v>4373</v>
      </c>
      <c r="P646" s="2" t="s">
        <v>4375</v>
      </c>
    </row>
    <row r="647" spans="1:16">
      <c r="A647" s="4">
        <v>46244.697743055556</v>
      </c>
      <c r="B647" s="2" t="s">
        <v>1651</v>
      </c>
      <c r="C647" s="2" t="s">
        <v>735</v>
      </c>
      <c r="D647" s="2" t="s">
        <v>4261</v>
      </c>
      <c r="E647" s="2">
        <v>10</v>
      </c>
      <c r="F647" s="2"/>
      <c r="G647" s="2">
        <v>10</v>
      </c>
      <c r="H647" s="2" t="s">
        <v>2778</v>
      </c>
      <c r="I647" s="2" t="s">
        <v>695</v>
      </c>
      <c r="J647" s="2" t="s">
        <v>2537</v>
      </c>
      <c r="K647" s="2" t="s">
        <v>1855</v>
      </c>
      <c r="L647" s="2" t="s">
        <v>2564</v>
      </c>
      <c r="M647" s="2" t="str">
        <f t="shared" si="13"/>
        <v>07</v>
      </c>
      <c r="N647" s="2" t="s">
        <v>2422</v>
      </c>
      <c r="O647" s="2" t="s">
        <v>4373</v>
      </c>
      <c r="P647" s="2" t="s">
        <v>4375</v>
      </c>
    </row>
    <row r="648" spans="1:16">
      <c r="A648" s="4">
        <v>46249.699560185189</v>
      </c>
      <c r="B648" s="2" t="s">
        <v>1677</v>
      </c>
      <c r="C648" s="2" t="s">
        <v>512</v>
      </c>
      <c r="D648" s="2" t="s">
        <v>292</v>
      </c>
      <c r="E648" s="2">
        <v>36</v>
      </c>
      <c r="F648" s="2"/>
      <c r="G648" s="2">
        <v>36</v>
      </c>
      <c r="H648" s="2" t="s">
        <v>3373</v>
      </c>
      <c r="I648" s="2" t="s">
        <v>695</v>
      </c>
      <c r="J648" s="2" t="s">
        <v>2537</v>
      </c>
      <c r="K648" s="2" t="s">
        <v>1855</v>
      </c>
      <c r="L648" s="2" t="s">
        <v>4344</v>
      </c>
      <c r="M648" s="2" t="str">
        <f t="shared" si="13"/>
        <v>06</v>
      </c>
      <c r="N648" s="2" t="s">
        <v>48</v>
      </c>
      <c r="O648" s="2" t="s">
        <v>4373</v>
      </c>
      <c r="P648" s="2" t="s">
        <v>4378</v>
      </c>
    </row>
    <row r="649" spans="1:16">
      <c r="A649" s="4">
        <v>46249.697048611109</v>
      </c>
      <c r="B649" s="2" t="s">
        <v>1183</v>
      </c>
      <c r="C649" s="2" t="s">
        <v>512</v>
      </c>
      <c r="D649" s="2" t="s">
        <v>292</v>
      </c>
      <c r="E649" s="2">
        <v>36</v>
      </c>
      <c r="F649" s="2"/>
      <c r="G649" s="2">
        <v>36</v>
      </c>
      <c r="H649" s="2" t="s">
        <v>3373</v>
      </c>
      <c r="I649" s="2" t="s">
        <v>695</v>
      </c>
      <c r="J649" s="2" t="s">
        <v>2537</v>
      </c>
      <c r="K649" s="2" t="s">
        <v>1855</v>
      </c>
      <c r="L649" s="2" t="s">
        <v>4344</v>
      </c>
      <c r="M649" s="2" t="str">
        <f t="shared" si="13"/>
        <v>06</v>
      </c>
      <c r="N649" s="2" t="s">
        <v>2339</v>
      </c>
      <c r="O649" s="2" t="s">
        <v>4373</v>
      </c>
      <c r="P649" s="2" t="s">
        <v>4378</v>
      </c>
    </row>
    <row r="650" spans="1:16">
      <c r="A650" s="4">
        <v>46249.696956018517</v>
      </c>
      <c r="B650" s="2" t="s">
        <v>2961</v>
      </c>
      <c r="C650" s="2" t="s">
        <v>512</v>
      </c>
      <c r="D650" s="2" t="s">
        <v>292</v>
      </c>
      <c r="E650" s="2">
        <v>36</v>
      </c>
      <c r="F650" s="2"/>
      <c r="G650" s="2">
        <v>36</v>
      </c>
      <c r="H650" s="2" t="s">
        <v>3373</v>
      </c>
      <c r="I650" s="2" t="s">
        <v>695</v>
      </c>
      <c r="J650" s="2" t="s">
        <v>2537</v>
      </c>
      <c r="K650" s="2" t="s">
        <v>1855</v>
      </c>
      <c r="L650" s="2" t="s">
        <v>4344</v>
      </c>
      <c r="M650" s="2" t="str">
        <f t="shared" si="13"/>
        <v>06</v>
      </c>
      <c r="N650" s="2" t="s">
        <v>3957</v>
      </c>
      <c r="O650" s="2" t="s">
        <v>4373</v>
      </c>
      <c r="P650" s="2" t="s">
        <v>4378</v>
      </c>
    </row>
    <row r="651" spans="1:16">
      <c r="A651" s="4">
        <v>46249.696273148147</v>
      </c>
      <c r="B651" s="2" t="s">
        <v>3235</v>
      </c>
      <c r="C651" s="2" t="s">
        <v>512</v>
      </c>
      <c r="D651" s="2" t="s">
        <v>292</v>
      </c>
      <c r="E651" s="2">
        <v>36</v>
      </c>
      <c r="F651" s="2"/>
      <c r="G651" s="2">
        <v>36</v>
      </c>
      <c r="H651" s="2" t="s">
        <v>3373</v>
      </c>
      <c r="I651" s="2" t="s">
        <v>695</v>
      </c>
      <c r="J651" s="2" t="s">
        <v>2537</v>
      </c>
      <c r="K651" s="2" t="s">
        <v>1855</v>
      </c>
      <c r="L651" s="2" t="s">
        <v>4344</v>
      </c>
      <c r="M651" s="2" t="str">
        <f t="shared" si="13"/>
        <v>06</v>
      </c>
      <c r="N651" s="2" t="s">
        <v>147</v>
      </c>
      <c r="O651" s="2" t="s">
        <v>4373</v>
      </c>
      <c r="P651" s="2" t="s">
        <v>4378</v>
      </c>
    </row>
    <row r="652" spans="1:16">
      <c r="A652" s="4">
        <v>46249.695972222224</v>
      </c>
      <c r="B652" s="2" t="s">
        <v>1094</v>
      </c>
      <c r="C652" s="2" t="s">
        <v>512</v>
      </c>
      <c r="D652" s="2" t="s">
        <v>292</v>
      </c>
      <c r="E652" s="2">
        <v>36</v>
      </c>
      <c r="F652" s="2"/>
      <c r="G652" s="2">
        <v>36</v>
      </c>
      <c r="H652" s="2" t="s">
        <v>3373</v>
      </c>
      <c r="I652" s="2" t="s">
        <v>695</v>
      </c>
      <c r="J652" s="2" t="s">
        <v>2537</v>
      </c>
      <c r="K652" s="2" t="s">
        <v>1855</v>
      </c>
      <c r="L652" s="2" t="s">
        <v>4344</v>
      </c>
      <c r="M652" s="2" t="str">
        <f t="shared" si="13"/>
        <v>06</v>
      </c>
      <c r="N652" s="2" t="s">
        <v>2203</v>
      </c>
      <c r="O652" s="2" t="s">
        <v>4373</v>
      </c>
      <c r="P652" s="2" t="s">
        <v>4378</v>
      </c>
    </row>
    <row r="653" spans="1:16">
      <c r="A653" s="4">
        <v>46249.695555555554</v>
      </c>
      <c r="B653" s="2" t="s">
        <v>2966</v>
      </c>
      <c r="C653" s="2" t="s">
        <v>512</v>
      </c>
      <c r="D653" s="2" t="s">
        <v>292</v>
      </c>
      <c r="E653" s="2">
        <v>36</v>
      </c>
      <c r="F653" s="2"/>
      <c r="G653" s="2">
        <v>36</v>
      </c>
      <c r="H653" s="2" t="s">
        <v>3373</v>
      </c>
      <c r="I653" s="2" t="s">
        <v>695</v>
      </c>
      <c r="J653" s="2" t="s">
        <v>2537</v>
      </c>
      <c r="K653" s="2" t="s">
        <v>1855</v>
      </c>
      <c r="L653" s="2" t="s">
        <v>4344</v>
      </c>
      <c r="M653" s="2" t="str">
        <f t="shared" si="13"/>
        <v>06</v>
      </c>
      <c r="N653" s="2" t="s">
        <v>3605</v>
      </c>
      <c r="O653" s="2" t="s">
        <v>4373</v>
      </c>
      <c r="P653" s="2" t="s">
        <v>4378</v>
      </c>
    </row>
    <row r="654" spans="1:16">
      <c r="A654" s="4">
        <v>46249.695370370369</v>
      </c>
      <c r="B654" s="2" t="s">
        <v>3064</v>
      </c>
      <c r="C654" s="2" t="s">
        <v>512</v>
      </c>
      <c r="D654" s="2" t="s">
        <v>292</v>
      </c>
      <c r="E654" s="2">
        <v>36</v>
      </c>
      <c r="F654" s="2"/>
      <c r="G654" s="2">
        <v>36</v>
      </c>
      <c r="H654" s="2" t="s">
        <v>3373</v>
      </c>
      <c r="I654" s="2" t="s">
        <v>695</v>
      </c>
      <c r="J654" s="2" t="s">
        <v>2537</v>
      </c>
      <c r="K654" s="2" t="s">
        <v>1855</v>
      </c>
      <c r="L654" s="2" t="s">
        <v>4344</v>
      </c>
      <c r="M654" s="2" t="str">
        <f t="shared" si="13"/>
        <v>06</v>
      </c>
      <c r="N654" s="2" t="s">
        <v>2639</v>
      </c>
      <c r="O654" s="2" t="s">
        <v>4373</v>
      </c>
      <c r="P654" s="2" t="s">
        <v>4378</v>
      </c>
    </row>
    <row r="655" spans="1:16">
      <c r="A655" s="4">
        <v>46249.6953587963</v>
      </c>
      <c r="B655" s="2" t="s">
        <v>1392</v>
      </c>
      <c r="C655" s="2" t="s">
        <v>512</v>
      </c>
      <c r="D655" s="2" t="s">
        <v>292</v>
      </c>
      <c r="E655" s="2">
        <v>36</v>
      </c>
      <c r="F655" s="2"/>
      <c r="G655" s="2">
        <v>36</v>
      </c>
      <c r="H655" s="2" t="s">
        <v>3373</v>
      </c>
      <c r="I655" s="2" t="s">
        <v>695</v>
      </c>
      <c r="J655" s="2" t="s">
        <v>2537</v>
      </c>
      <c r="K655" s="2" t="s">
        <v>1855</v>
      </c>
      <c r="L655" s="2" t="s">
        <v>4344</v>
      </c>
      <c r="M655" s="2" t="str">
        <f t="shared" si="13"/>
        <v>06</v>
      </c>
      <c r="N655" s="2" t="s">
        <v>2239</v>
      </c>
      <c r="O655" s="2" t="s">
        <v>4373</v>
      </c>
      <c r="P655" s="2" t="s">
        <v>4378</v>
      </c>
    </row>
    <row r="656" spans="1:16">
      <c r="A656" s="4">
        <v>46249.694444444445</v>
      </c>
      <c r="B656" s="2" t="s">
        <v>3200</v>
      </c>
      <c r="C656" s="2" t="s">
        <v>512</v>
      </c>
      <c r="D656" s="2" t="s">
        <v>292</v>
      </c>
      <c r="E656" s="2">
        <v>36</v>
      </c>
      <c r="F656" s="2"/>
      <c r="G656" s="2">
        <v>36</v>
      </c>
      <c r="H656" s="2" t="s">
        <v>3373</v>
      </c>
      <c r="I656" s="2" t="s">
        <v>695</v>
      </c>
      <c r="J656" s="2" t="s">
        <v>2537</v>
      </c>
      <c r="K656" s="2" t="s">
        <v>1855</v>
      </c>
      <c r="L656" s="2" t="s">
        <v>4344</v>
      </c>
      <c r="M656" s="2" t="str">
        <f t="shared" si="13"/>
        <v>06</v>
      </c>
      <c r="N656" s="2" t="s">
        <v>2631</v>
      </c>
      <c r="O656" s="2" t="s">
        <v>4373</v>
      </c>
      <c r="P656" s="2" t="s">
        <v>4378</v>
      </c>
    </row>
    <row r="657" spans="1:16">
      <c r="A657" s="4">
        <v>46249.694212962961</v>
      </c>
      <c r="B657" s="2" t="s">
        <v>3209</v>
      </c>
      <c r="C657" s="2" t="s">
        <v>512</v>
      </c>
      <c r="D657" s="2" t="s">
        <v>292</v>
      </c>
      <c r="E657" s="2">
        <v>36</v>
      </c>
      <c r="F657" s="2"/>
      <c r="G657" s="2">
        <v>36</v>
      </c>
      <c r="H657" s="2" t="s">
        <v>3373</v>
      </c>
      <c r="I657" s="2" t="s">
        <v>695</v>
      </c>
      <c r="J657" s="2" t="s">
        <v>2537</v>
      </c>
      <c r="K657" s="2" t="s">
        <v>1855</v>
      </c>
      <c r="L657" s="2" t="s">
        <v>4344</v>
      </c>
      <c r="M657" s="2" t="str">
        <f t="shared" si="13"/>
        <v>06</v>
      </c>
      <c r="N657" s="2" t="s">
        <v>2481</v>
      </c>
      <c r="O657" s="2" t="s">
        <v>4373</v>
      </c>
      <c r="P657" s="2" t="s">
        <v>4378</v>
      </c>
    </row>
    <row r="658" spans="1:16">
      <c r="A658" s="4">
        <v>46249.694016203706</v>
      </c>
      <c r="B658" s="2" t="s">
        <v>4286</v>
      </c>
      <c r="C658" s="2" t="s">
        <v>512</v>
      </c>
      <c r="D658" s="2" t="s">
        <v>292</v>
      </c>
      <c r="E658" s="2">
        <v>36</v>
      </c>
      <c r="F658" s="2"/>
      <c r="G658" s="2">
        <v>36</v>
      </c>
      <c r="H658" s="2" t="s">
        <v>3373</v>
      </c>
      <c r="I658" s="2" t="s">
        <v>695</v>
      </c>
      <c r="J658" s="2" t="s">
        <v>2537</v>
      </c>
      <c r="K658" s="2" t="s">
        <v>1855</v>
      </c>
      <c r="L658" s="2" t="s">
        <v>4344</v>
      </c>
      <c r="M658" s="2" t="str">
        <f t="shared" si="13"/>
        <v>06</v>
      </c>
      <c r="N658" s="2" t="s">
        <v>2889</v>
      </c>
      <c r="O658" s="2" t="s">
        <v>4373</v>
      </c>
      <c r="P658" s="2" t="s">
        <v>4378</v>
      </c>
    </row>
    <row r="659" spans="1:16">
      <c r="A659" s="4">
        <v>46249.693182870367</v>
      </c>
      <c r="B659" s="2" t="s">
        <v>117</v>
      </c>
      <c r="C659" s="2" t="s">
        <v>512</v>
      </c>
      <c r="D659" s="2" t="s">
        <v>292</v>
      </c>
      <c r="E659" s="2">
        <v>36</v>
      </c>
      <c r="F659" s="2"/>
      <c r="G659" s="2">
        <v>36</v>
      </c>
      <c r="H659" s="2" t="s">
        <v>3373</v>
      </c>
      <c r="I659" s="2" t="s">
        <v>695</v>
      </c>
      <c r="J659" s="2" t="s">
        <v>2537</v>
      </c>
      <c r="K659" s="2" t="s">
        <v>1855</v>
      </c>
      <c r="L659" s="2" t="s">
        <v>4344</v>
      </c>
      <c r="M659" s="2" t="str">
        <f t="shared" si="13"/>
        <v>06</v>
      </c>
      <c r="N659" s="2" t="s">
        <v>1698</v>
      </c>
      <c r="O659" s="2" t="s">
        <v>4373</v>
      </c>
      <c r="P659" s="2" t="s">
        <v>4378</v>
      </c>
    </row>
    <row r="660" spans="1:16">
      <c r="A660" s="4">
        <v>46249.693113425928</v>
      </c>
      <c r="B660" s="2" t="s">
        <v>266</v>
      </c>
      <c r="C660" s="2" t="s">
        <v>512</v>
      </c>
      <c r="D660" s="2" t="s">
        <v>292</v>
      </c>
      <c r="E660" s="2">
        <v>36</v>
      </c>
      <c r="F660" s="2"/>
      <c r="G660" s="2">
        <v>36</v>
      </c>
      <c r="H660" s="2" t="s">
        <v>3373</v>
      </c>
      <c r="I660" s="2" t="s">
        <v>695</v>
      </c>
      <c r="J660" s="2" t="s">
        <v>2537</v>
      </c>
      <c r="K660" s="2" t="s">
        <v>1855</v>
      </c>
      <c r="L660" s="2" t="s">
        <v>4344</v>
      </c>
      <c r="M660" s="2" t="str">
        <f t="shared" si="13"/>
        <v>06</v>
      </c>
      <c r="N660" s="2" t="s">
        <v>1991</v>
      </c>
      <c r="O660" s="2" t="s">
        <v>4373</v>
      </c>
      <c r="P660" s="2" t="s">
        <v>4378</v>
      </c>
    </row>
    <row r="661" spans="1:16">
      <c r="A661" s="4">
        <v>46249.693020833336</v>
      </c>
      <c r="B661" s="2" t="s">
        <v>2106</v>
      </c>
      <c r="C661" s="2" t="s">
        <v>512</v>
      </c>
      <c r="D661" s="2" t="s">
        <v>292</v>
      </c>
      <c r="E661" s="2">
        <v>36</v>
      </c>
      <c r="F661" s="2"/>
      <c r="G661" s="2">
        <v>36</v>
      </c>
      <c r="H661" s="2" t="s">
        <v>3373</v>
      </c>
      <c r="I661" s="2" t="s">
        <v>695</v>
      </c>
      <c r="J661" s="2" t="s">
        <v>2537</v>
      </c>
      <c r="K661" s="2" t="s">
        <v>1855</v>
      </c>
      <c r="L661" s="2" t="s">
        <v>4344</v>
      </c>
      <c r="M661" s="2" t="str">
        <f t="shared" si="13"/>
        <v>06</v>
      </c>
      <c r="N661" s="2" t="s">
        <v>3960</v>
      </c>
      <c r="O661" s="2" t="s">
        <v>4373</v>
      </c>
      <c r="P661" s="2" t="s">
        <v>4378</v>
      </c>
    </row>
    <row r="662" spans="1:16">
      <c r="A662" s="4">
        <v>46249.692407407405</v>
      </c>
      <c r="B662" s="2" t="s">
        <v>158</v>
      </c>
      <c r="C662" s="2" t="s">
        <v>512</v>
      </c>
      <c r="D662" s="2" t="s">
        <v>292</v>
      </c>
      <c r="E662" s="2">
        <v>36</v>
      </c>
      <c r="F662" s="2"/>
      <c r="G662" s="2">
        <v>36</v>
      </c>
      <c r="H662" s="2" t="s">
        <v>3373</v>
      </c>
      <c r="I662" s="2" t="s">
        <v>695</v>
      </c>
      <c r="J662" s="2" t="s">
        <v>2537</v>
      </c>
      <c r="K662" s="2" t="s">
        <v>1855</v>
      </c>
      <c r="L662" s="2" t="s">
        <v>4344</v>
      </c>
      <c r="M662" s="2" t="str">
        <f t="shared" si="13"/>
        <v>06</v>
      </c>
      <c r="N662" s="2" t="s">
        <v>3099</v>
      </c>
      <c r="O662" s="2" t="s">
        <v>4373</v>
      </c>
      <c r="P662" s="2" t="s">
        <v>4378</v>
      </c>
    </row>
    <row r="663" spans="1:16">
      <c r="A663" s="4">
        <v>46249.692280092589</v>
      </c>
      <c r="B663" s="2" t="s">
        <v>3719</v>
      </c>
      <c r="C663" s="2" t="s">
        <v>512</v>
      </c>
      <c r="D663" s="2" t="s">
        <v>292</v>
      </c>
      <c r="E663" s="2">
        <v>36</v>
      </c>
      <c r="F663" s="2"/>
      <c r="G663" s="2">
        <v>36</v>
      </c>
      <c r="H663" s="2" t="s">
        <v>3373</v>
      </c>
      <c r="I663" s="2" t="s">
        <v>695</v>
      </c>
      <c r="J663" s="2" t="s">
        <v>2537</v>
      </c>
      <c r="K663" s="2" t="s">
        <v>1855</v>
      </c>
      <c r="L663" s="2" t="s">
        <v>4344</v>
      </c>
      <c r="M663" s="2" t="str">
        <f t="shared" si="13"/>
        <v>06</v>
      </c>
      <c r="N663" s="2" t="s">
        <v>2645</v>
      </c>
      <c r="O663" s="2" t="s">
        <v>4373</v>
      </c>
      <c r="P663" s="2" t="s">
        <v>4378</v>
      </c>
    </row>
    <row r="664" spans="1:16">
      <c r="A664" s="4">
        <v>46249.691932870373</v>
      </c>
      <c r="B664" s="2" t="s">
        <v>3657</v>
      </c>
      <c r="C664" s="2" t="s">
        <v>512</v>
      </c>
      <c r="D664" s="2" t="s">
        <v>292</v>
      </c>
      <c r="E664" s="2">
        <v>36</v>
      </c>
      <c r="F664" s="2"/>
      <c r="G664" s="2">
        <v>36</v>
      </c>
      <c r="H664" s="2" t="s">
        <v>3373</v>
      </c>
      <c r="I664" s="2" t="s">
        <v>695</v>
      </c>
      <c r="J664" s="2" t="s">
        <v>2537</v>
      </c>
      <c r="K664" s="2" t="s">
        <v>1855</v>
      </c>
      <c r="L664" s="2" t="s">
        <v>4344</v>
      </c>
      <c r="M664" s="2" t="str">
        <f t="shared" si="13"/>
        <v>06</v>
      </c>
      <c r="N664" s="2" t="s">
        <v>3333</v>
      </c>
      <c r="O664" s="2" t="s">
        <v>4373</v>
      </c>
      <c r="P664" s="2" t="s">
        <v>4378</v>
      </c>
    </row>
    <row r="665" spans="1:16">
      <c r="A665" s="4">
        <v>46249.690520833334</v>
      </c>
      <c r="B665" s="2" t="s">
        <v>444</v>
      </c>
      <c r="C665" s="2" t="s">
        <v>512</v>
      </c>
      <c r="D665" s="2" t="s">
        <v>292</v>
      </c>
      <c r="E665" s="2">
        <v>36</v>
      </c>
      <c r="F665" s="2"/>
      <c r="G665" s="2">
        <v>36</v>
      </c>
      <c r="H665" s="2" t="s">
        <v>3373</v>
      </c>
      <c r="I665" s="2" t="s">
        <v>695</v>
      </c>
      <c r="J665" s="2" t="s">
        <v>2537</v>
      </c>
      <c r="K665" s="2" t="s">
        <v>1855</v>
      </c>
      <c r="L665" s="2" t="s">
        <v>4344</v>
      </c>
      <c r="M665" s="2" t="str">
        <f t="shared" si="13"/>
        <v>06</v>
      </c>
      <c r="N665" s="2" t="s">
        <v>3600</v>
      </c>
      <c r="O665" s="2" t="s">
        <v>4373</v>
      </c>
      <c r="P665" s="2" t="s">
        <v>4378</v>
      </c>
    </row>
    <row r="666" spans="1:16">
      <c r="A666" s="4">
        <v>46249.690497685187</v>
      </c>
      <c r="B666" s="2" t="s">
        <v>1148</v>
      </c>
      <c r="C666" s="2" t="s">
        <v>512</v>
      </c>
      <c r="D666" s="2" t="s">
        <v>292</v>
      </c>
      <c r="E666" s="2">
        <v>36</v>
      </c>
      <c r="F666" s="2"/>
      <c r="G666" s="2">
        <v>36</v>
      </c>
      <c r="H666" s="2" t="s">
        <v>3373</v>
      </c>
      <c r="I666" s="2" t="s">
        <v>695</v>
      </c>
      <c r="J666" s="2" t="s">
        <v>2537</v>
      </c>
      <c r="K666" s="2" t="s">
        <v>1855</v>
      </c>
      <c r="L666" s="2" t="s">
        <v>4344</v>
      </c>
      <c r="M666" s="2" t="str">
        <f t="shared" si="13"/>
        <v>06</v>
      </c>
      <c r="N666" s="2" t="s">
        <v>2228</v>
      </c>
      <c r="O666" s="2" t="s">
        <v>4373</v>
      </c>
      <c r="P666" s="2" t="s">
        <v>4378</v>
      </c>
    </row>
    <row r="667" spans="1:16">
      <c r="A667" s="4">
        <v>46249.690497685187</v>
      </c>
      <c r="B667" s="2" t="s">
        <v>3525</v>
      </c>
      <c r="C667" s="2" t="s">
        <v>512</v>
      </c>
      <c r="D667" s="2" t="s">
        <v>292</v>
      </c>
      <c r="E667" s="2">
        <v>36</v>
      </c>
      <c r="F667" s="2"/>
      <c r="G667" s="2">
        <v>36</v>
      </c>
      <c r="H667" s="2" t="s">
        <v>3373</v>
      </c>
      <c r="I667" s="2" t="s">
        <v>695</v>
      </c>
      <c r="J667" s="2" t="s">
        <v>2537</v>
      </c>
      <c r="K667" s="2" t="s">
        <v>1855</v>
      </c>
      <c r="L667" s="2" t="s">
        <v>4344</v>
      </c>
      <c r="M667" s="2" t="str">
        <f t="shared" si="13"/>
        <v>06</v>
      </c>
      <c r="N667" s="2" t="s">
        <v>3912</v>
      </c>
      <c r="O667" s="2" t="s">
        <v>4373</v>
      </c>
      <c r="P667" s="2" t="s">
        <v>4378</v>
      </c>
    </row>
    <row r="668" spans="1:16">
      <c r="A668" s="4">
        <v>46249.689837962964</v>
      </c>
      <c r="B668" s="2" t="s">
        <v>2002</v>
      </c>
      <c r="C668" s="2" t="s">
        <v>512</v>
      </c>
      <c r="D668" s="2" t="s">
        <v>292</v>
      </c>
      <c r="E668" s="2">
        <v>36</v>
      </c>
      <c r="F668" s="2"/>
      <c r="G668" s="2">
        <v>36</v>
      </c>
      <c r="H668" s="2" t="s">
        <v>3373</v>
      </c>
      <c r="I668" s="2" t="s">
        <v>695</v>
      </c>
      <c r="J668" s="2" t="s">
        <v>2537</v>
      </c>
      <c r="K668" s="2" t="s">
        <v>1855</v>
      </c>
      <c r="L668" s="2" t="s">
        <v>4344</v>
      </c>
      <c r="M668" s="2" t="str">
        <f t="shared" si="13"/>
        <v>06</v>
      </c>
      <c r="N668" s="2" t="s">
        <v>1245</v>
      </c>
      <c r="O668" s="2" t="s">
        <v>4373</v>
      </c>
      <c r="P668" s="2" t="s">
        <v>4378</v>
      </c>
    </row>
    <row r="669" spans="1:16">
      <c r="A669" s="4">
        <v>46249.689247685186</v>
      </c>
      <c r="B669" s="2" t="s">
        <v>462</v>
      </c>
      <c r="C669" s="2" t="s">
        <v>512</v>
      </c>
      <c r="D669" s="2" t="s">
        <v>292</v>
      </c>
      <c r="E669" s="2">
        <v>36</v>
      </c>
      <c r="F669" s="2"/>
      <c r="G669" s="2">
        <v>36</v>
      </c>
      <c r="H669" s="2" t="s">
        <v>3373</v>
      </c>
      <c r="I669" s="2" t="s">
        <v>695</v>
      </c>
      <c r="J669" s="2" t="s">
        <v>2537</v>
      </c>
      <c r="K669" s="2" t="s">
        <v>1855</v>
      </c>
      <c r="L669" s="2" t="s">
        <v>4344</v>
      </c>
      <c r="M669" s="2" t="str">
        <f t="shared" si="13"/>
        <v>06</v>
      </c>
      <c r="N669" s="2" t="s">
        <v>262</v>
      </c>
      <c r="O669" s="2" t="s">
        <v>4373</v>
      </c>
      <c r="P669" s="2" t="s">
        <v>4378</v>
      </c>
    </row>
    <row r="670" spans="1:16">
      <c r="A670" s="4">
        <v>46249.689131944448</v>
      </c>
      <c r="B670" s="2" t="s">
        <v>1542</v>
      </c>
      <c r="C670" s="2" t="s">
        <v>512</v>
      </c>
      <c r="D670" s="2" t="s">
        <v>292</v>
      </c>
      <c r="E670" s="2">
        <v>36</v>
      </c>
      <c r="F670" s="2"/>
      <c r="G670" s="2">
        <v>36</v>
      </c>
      <c r="H670" s="2" t="s">
        <v>3373</v>
      </c>
      <c r="I670" s="2" t="s">
        <v>695</v>
      </c>
      <c r="J670" s="2" t="s">
        <v>2537</v>
      </c>
      <c r="K670" s="2" t="s">
        <v>1855</v>
      </c>
      <c r="L670" s="2" t="s">
        <v>4344</v>
      </c>
      <c r="M670" s="2" t="str">
        <f t="shared" si="13"/>
        <v>06</v>
      </c>
      <c r="N670" s="2" t="s">
        <v>4123</v>
      </c>
      <c r="O670" s="2" t="s">
        <v>4373</v>
      </c>
      <c r="P670" s="2" t="s">
        <v>4378</v>
      </c>
    </row>
    <row r="671" spans="1:16">
      <c r="A671" s="4">
        <v>46249.689074074071</v>
      </c>
      <c r="B671" s="2" t="s">
        <v>47</v>
      </c>
      <c r="C671" s="2" t="s">
        <v>512</v>
      </c>
      <c r="D671" s="2" t="s">
        <v>292</v>
      </c>
      <c r="E671" s="2">
        <v>36</v>
      </c>
      <c r="F671" s="2"/>
      <c r="G671" s="2">
        <v>36</v>
      </c>
      <c r="H671" s="2" t="s">
        <v>3373</v>
      </c>
      <c r="I671" s="2" t="s">
        <v>695</v>
      </c>
      <c r="J671" s="2" t="s">
        <v>2537</v>
      </c>
      <c r="K671" s="2" t="s">
        <v>1855</v>
      </c>
      <c r="L671" s="2" t="s">
        <v>4344</v>
      </c>
      <c r="M671" s="2" t="str">
        <f t="shared" si="13"/>
        <v>06</v>
      </c>
      <c r="N671" s="2" t="s">
        <v>360</v>
      </c>
      <c r="O671" s="2" t="s">
        <v>4373</v>
      </c>
      <c r="P671" s="2" t="s">
        <v>4378</v>
      </c>
    </row>
    <row r="672" spans="1:16">
      <c r="A672" s="4">
        <v>46249.68822916667</v>
      </c>
      <c r="B672" s="2" t="s">
        <v>3873</v>
      </c>
      <c r="C672" s="2" t="s">
        <v>512</v>
      </c>
      <c r="D672" s="2" t="s">
        <v>292</v>
      </c>
      <c r="E672" s="2">
        <v>36</v>
      </c>
      <c r="F672" s="2"/>
      <c r="G672" s="2">
        <v>36</v>
      </c>
      <c r="H672" s="2" t="s">
        <v>3373</v>
      </c>
      <c r="I672" s="2" t="s">
        <v>695</v>
      </c>
      <c r="J672" s="2" t="s">
        <v>2537</v>
      </c>
      <c r="K672" s="2" t="s">
        <v>1855</v>
      </c>
      <c r="L672" s="2" t="s">
        <v>4344</v>
      </c>
      <c r="M672" s="2" t="str">
        <f t="shared" si="13"/>
        <v>06</v>
      </c>
      <c r="N672" s="2" t="s">
        <v>516</v>
      </c>
      <c r="O672" s="2" t="s">
        <v>4373</v>
      </c>
      <c r="P672" s="2" t="s">
        <v>4378</v>
      </c>
    </row>
    <row r="673" spans="1:16">
      <c r="A673" s="4">
        <v>46249.688194444447</v>
      </c>
      <c r="B673" s="2" t="s">
        <v>793</v>
      </c>
      <c r="C673" s="2" t="s">
        <v>512</v>
      </c>
      <c r="D673" s="2" t="s">
        <v>292</v>
      </c>
      <c r="E673" s="2">
        <v>36</v>
      </c>
      <c r="F673" s="2"/>
      <c r="G673" s="2">
        <v>36</v>
      </c>
      <c r="H673" s="2" t="s">
        <v>3373</v>
      </c>
      <c r="I673" s="2" t="s">
        <v>695</v>
      </c>
      <c r="J673" s="2" t="s">
        <v>2537</v>
      </c>
      <c r="K673" s="2" t="s">
        <v>1855</v>
      </c>
      <c r="L673" s="2" t="s">
        <v>4344</v>
      </c>
      <c r="M673" s="2" t="str">
        <f t="shared" si="13"/>
        <v>06</v>
      </c>
      <c r="N673" s="2" t="s">
        <v>1212</v>
      </c>
      <c r="O673" s="2" t="s">
        <v>4373</v>
      </c>
      <c r="P673" s="2" t="s">
        <v>4378</v>
      </c>
    </row>
    <row r="674" spans="1:16">
      <c r="A674" s="4">
        <v>46249.687974537039</v>
      </c>
      <c r="B674" s="2" t="s">
        <v>3576</v>
      </c>
      <c r="C674" s="2" t="s">
        <v>512</v>
      </c>
      <c r="D674" s="2" t="s">
        <v>292</v>
      </c>
      <c r="E674" s="2">
        <v>36</v>
      </c>
      <c r="F674" s="2"/>
      <c r="G674" s="2">
        <v>36</v>
      </c>
      <c r="H674" s="2" t="s">
        <v>3373</v>
      </c>
      <c r="I674" s="2" t="s">
        <v>695</v>
      </c>
      <c r="J674" s="2" t="s">
        <v>2537</v>
      </c>
      <c r="K674" s="2" t="s">
        <v>1855</v>
      </c>
      <c r="L674" s="2" t="s">
        <v>4344</v>
      </c>
      <c r="M674" s="2" t="str">
        <f t="shared" si="13"/>
        <v>06</v>
      </c>
      <c r="N674" s="2" t="s">
        <v>3424</v>
      </c>
      <c r="O674" s="2" t="s">
        <v>4373</v>
      </c>
      <c r="P674" s="2" t="s">
        <v>4378</v>
      </c>
    </row>
    <row r="675" spans="1:16">
      <c r="A675" s="4">
        <v>46249.68681712963</v>
      </c>
      <c r="B675" s="2" t="s">
        <v>2854</v>
      </c>
      <c r="C675" s="2" t="s">
        <v>512</v>
      </c>
      <c r="D675" s="2" t="s">
        <v>292</v>
      </c>
      <c r="E675" s="2">
        <v>36</v>
      </c>
      <c r="F675" s="2"/>
      <c r="G675" s="2">
        <v>36</v>
      </c>
      <c r="H675" s="2" t="s">
        <v>3373</v>
      </c>
      <c r="I675" s="2" t="s">
        <v>695</v>
      </c>
      <c r="J675" s="2" t="s">
        <v>2537</v>
      </c>
      <c r="K675" s="2" t="s">
        <v>1855</v>
      </c>
      <c r="L675" s="2" t="s">
        <v>4344</v>
      </c>
      <c r="M675" s="2" t="str">
        <f t="shared" si="13"/>
        <v>06</v>
      </c>
      <c r="N675" s="2" t="s">
        <v>1348</v>
      </c>
      <c r="O675" s="2" t="s">
        <v>4373</v>
      </c>
      <c r="P675" s="2" t="s">
        <v>4378</v>
      </c>
    </row>
    <row r="676" spans="1:16">
      <c r="A676" s="4">
        <v>46249.686631944445</v>
      </c>
      <c r="B676" s="2" t="s">
        <v>115</v>
      </c>
      <c r="C676" s="2" t="s">
        <v>512</v>
      </c>
      <c r="D676" s="2" t="s">
        <v>292</v>
      </c>
      <c r="E676" s="2">
        <v>36</v>
      </c>
      <c r="F676" s="2"/>
      <c r="G676" s="2">
        <v>36</v>
      </c>
      <c r="H676" s="2" t="s">
        <v>3373</v>
      </c>
      <c r="I676" s="2" t="s">
        <v>695</v>
      </c>
      <c r="J676" s="2" t="s">
        <v>2537</v>
      </c>
      <c r="K676" s="2" t="s">
        <v>1855</v>
      </c>
      <c r="L676" s="2" t="s">
        <v>4344</v>
      </c>
      <c r="M676" s="2" t="str">
        <f t="shared" si="13"/>
        <v>06</v>
      </c>
      <c r="N676" s="2" t="s">
        <v>3705</v>
      </c>
      <c r="O676" s="2" t="s">
        <v>4373</v>
      </c>
      <c r="P676" s="2" t="s">
        <v>4378</v>
      </c>
    </row>
    <row r="677" spans="1:16">
      <c r="A677" s="4">
        <v>46249.686585648145</v>
      </c>
      <c r="B677" s="2" t="s">
        <v>298</v>
      </c>
      <c r="C677" s="2" t="s">
        <v>512</v>
      </c>
      <c r="D677" s="2" t="s">
        <v>292</v>
      </c>
      <c r="E677" s="2">
        <v>36</v>
      </c>
      <c r="F677" s="2"/>
      <c r="G677" s="2">
        <v>36</v>
      </c>
      <c r="H677" s="2" t="s">
        <v>3373</v>
      </c>
      <c r="I677" s="2" t="s">
        <v>695</v>
      </c>
      <c r="J677" s="2" t="s">
        <v>2537</v>
      </c>
      <c r="K677" s="2" t="s">
        <v>1855</v>
      </c>
      <c r="L677" s="2" t="s">
        <v>4344</v>
      </c>
      <c r="M677" s="2" t="str">
        <f t="shared" si="13"/>
        <v>06</v>
      </c>
      <c r="N677" s="2" t="s">
        <v>3540</v>
      </c>
      <c r="O677" s="2" t="s">
        <v>4373</v>
      </c>
      <c r="P677" s="2" t="s">
        <v>4378</v>
      </c>
    </row>
    <row r="678" spans="1:16">
      <c r="A678" s="4">
        <v>46249.685694444444</v>
      </c>
      <c r="B678" s="2" t="s">
        <v>3807</v>
      </c>
      <c r="C678" s="2" t="s">
        <v>512</v>
      </c>
      <c r="D678" s="2" t="s">
        <v>292</v>
      </c>
      <c r="E678" s="2">
        <v>36</v>
      </c>
      <c r="F678" s="2"/>
      <c r="G678" s="2">
        <v>36</v>
      </c>
      <c r="H678" s="2" t="s">
        <v>3373</v>
      </c>
      <c r="I678" s="2" t="s">
        <v>695</v>
      </c>
      <c r="J678" s="2" t="s">
        <v>2537</v>
      </c>
      <c r="K678" s="2" t="s">
        <v>1855</v>
      </c>
      <c r="L678" s="2" t="s">
        <v>4344</v>
      </c>
      <c r="M678" s="2" t="str">
        <f t="shared" si="13"/>
        <v>06</v>
      </c>
      <c r="N678" s="2" t="s">
        <v>2461</v>
      </c>
      <c r="O678" s="2" t="s">
        <v>4373</v>
      </c>
      <c r="P678" s="2" t="s">
        <v>4378</v>
      </c>
    </row>
    <row r="679" spans="1:16">
      <c r="A679" s="4">
        <v>46249.685682870368</v>
      </c>
      <c r="B679" s="2" t="s">
        <v>3345</v>
      </c>
      <c r="C679" s="2" t="s">
        <v>512</v>
      </c>
      <c r="D679" s="2" t="s">
        <v>292</v>
      </c>
      <c r="E679" s="2">
        <v>36</v>
      </c>
      <c r="F679" s="2"/>
      <c r="G679" s="2">
        <v>36</v>
      </c>
      <c r="H679" s="2" t="s">
        <v>3373</v>
      </c>
      <c r="I679" s="2" t="s">
        <v>695</v>
      </c>
      <c r="J679" s="2" t="s">
        <v>2537</v>
      </c>
      <c r="K679" s="2" t="s">
        <v>1855</v>
      </c>
      <c r="L679" s="2" t="s">
        <v>4344</v>
      </c>
      <c r="M679" s="2" t="str">
        <f t="shared" si="13"/>
        <v>06</v>
      </c>
      <c r="N679" s="2" t="s">
        <v>3302</v>
      </c>
      <c r="O679" s="2" t="s">
        <v>4373</v>
      </c>
      <c r="P679" s="2" t="s">
        <v>4378</v>
      </c>
    </row>
    <row r="680" spans="1:16">
      <c r="A680" s="4">
        <v>46249.685682870368</v>
      </c>
      <c r="B680" s="2" t="s">
        <v>2858</v>
      </c>
      <c r="C680" s="2" t="s">
        <v>512</v>
      </c>
      <c r="D680" s="2" t="s">
        <v>292</v>
      </c>
      <c r="E680" s="2">
        <v>36</v>
      </c>
      <c r="F680" s="2"/>
      <c r="G680" s="2">
        <v>36</v>
      </c>
      <c r="H680" s="2" t="s">
        <v>3373</v>
      </c>
      <c r="I680" s="2" t="s">
        <v>695</v>
      </c>
      <c r="J680" s="2" t="s">
        <v>2537</v>
      </c>
      <c r="K680" s="2" t="s">
        <v>1855</v>
      </c>
      <c r="L680" s="2" t="s">
        <v>4344</v>
      </c>
      <c r="M680" s="2" t="str">
        <f t="shared" si="13"/>
        <v>06</v>
      </c>
      <c r="N680" s="2" t="s">
        <v>87</v>
      </c>
      <c r="O680" s="2" t="s">
        <v>4373</v>
      </c>
      <c r="P680" s="2" t="s">
        <v>4378</v>
      </c>
    </row>
    <row r="681" spans="1:16">
      <c r="A681" s="4">
        <v>46249.684108796297</v>
      </c>
      <c r="B681" s="2" t="s">
        <v>928</v>
      </c>
      <c r="C681" s="2" t="s">
        <v>512</v>
      </c>
      <c r="D681" s="2" t="s">
        <v>292</v>
      </c>
      <c r="E681" s="2">
        <v>36</v>
      </c>
      <c r="F681" s="2"/>
      <c r="G681" s="2">
        <v>36</v>
      </c>
      <c r="H681" s="2" t="s">
        <v>3373</v>
      </c>
      <c r="I681" s="2" t="s">
        <v>695</v>
      </c>
      <c r="J681" s="2" t="s">
        <v>2537</v>
      </c>
      <c r="K681" s="2" t="s">
        <v>1855</v>
      </c>
      <c r="L681" s="2" t="s">
        <v>4344</v>
      </c>
      <c r="M681" s="2" t="str">
        <f t="shared" si="13"/>
        <v>06</v>
      </c>
      <c r="N681" s="2" t="s">
        <v>3065</v>
      </c>
      <c r="O681" s="2" t="s">
        <v>4373</v>
      </c>
      <c r="P681" s="2" t="s">
        <v>4378</v>
      </c>
    </row>
    <row r="682" spans="1:16">
      <c r="A682" s="4">
        <v>46249.684074074074</v>
      </c>
      <c r="B682" s="2" t="s">
        <v>2403</v>
      </c>
      <c r="C682" s="2" t="s">
        <v>512</v>
      </c>
      <c r="D682" s="2" t="s">
        <v>292</v>
      </c>
      <c r="E682" s="2">
        <v>36</v>
      </c>
      <c r="F682" s="2"/>
      <c r="G682" s="2">
        <v>36</v>
      </c>
      <c r="H682" s="2" t="s">
        <v>3373</v>
      </c>
      <c r="I682" s="2" t="s">
        <v>695</v>
      </c>
      <c r="J682" s="2" t="s">
        <v>2537</v>
      </c>
      <c r="K682" s="2" t="s">
        <v>1855</v>
      </c>
      <c r="L682" s="2" t="s">
        <v>4344</v>
      </c>
      <c r="M682" s="2" t="str">
        <f t="shared" si="13"/>
        <v>06</v>
      </c>
      <c r="N682" s="2" t="s">
        <v>3434</v>
      </c>
      <c r="O682" s="2" t="s">
        <v>4373</v>
      </c>
      <c r="P682" s="2" t="s">
        <v>4378</v>
      </c>
    </row>
    <row r="683" spans="1:16">
      <c r="A683" s="4">
        <v>46249.683622685188</v>
      </c>
      <c r="B683" s="2" t="s">
        <v>2360</v>
      </c>
      <c r="C683" s="2" t="s">
        <v>512</v>
      </c>
      <c r="D683" s="2" t="s">
        <v>292</v>
      </c>
      <c r="E683" s="2">
        <v>36</v>
      </c>
      <c r="F683" s="2"/>
      <c r="G683" s="2">
        <v>36</v>
      </c>
      <c r="H683" s="2" t="s">
        <v>3373</v>
      </c>
      <c r="I683" s="2" t="s">
        <v>695</v>
      </c>
      <c r="J683" s="2" t="s">
        <v>2537</v>
      </c>
      <c r="K683" s="2" t="s">
        <v>1855</v>
      </c>
      <c r="L683" s="2" t="s">
        <v>4344</v>
      </c>
      <c r="M683" s="2" t="str">
        <f t="shared" si="13"/>
        <v>06</v>
      </c>
      <c r="N683" s="2" t="s">
        <v>3718</v>
      </c>
      <c r="O683" s="2" t="s">
        <v>4373</v>
      </c>
      <c r="P683" s="2" t="s">
        <v>4378</v>
      </c>
    </row>
    <row r="684" spans="1:16">
      <c r="A684" s="4">
        <v>46249.68346064815</v>
      </c>
      <c r="B684" s="2" t="s">
        <v>4301</v>
      </c>
      <c r="C684" s="2" t="s">
        <v>512</v>
      </c>
      <c r="D684" s="2" t="s">
        <v>292</v>
      </c>
      <c r="E684" s="2">
        <v>36</v>
      </c>
      <c r="F684" s="2"/>
      <c r="G684" s="2">
        <v>36</v>
      </c>
      <c r="H684" s="2" t="s">
        <v>3373</v>
      </c>
      <c r="I684" s="2" t="s">
        <v>695</v>
      </c>
      <c r="J684" s="2" t="s">
        <v>2537</v>
      </c>
      <c r="K684" s="2" t="s">
        <v>1855</v>
      </c>
      <c r="L684" s="2" t="s">
        <v>4344</v>
      </c>
      <c r="M684" s="2" t="str">
        <f t="shared" si="13"/>
        <v>06</v>
      </c>
      <c r="N684" s="2" t="s">
        <v>3566</v>
      </c>
      <c r="O684" s="2" t="s">
        <v>4373</v>
      </c>
      <c r="P684" s="2" t="s">
        <v>4378</v>
      </c>
    </row>
    <row r="685" spans="1:16">
      <c r="A685" s="4">
        <v>46249.683449074073</v>
      </c>
      <c r="B685" s="2" t="s">
        <v>3999</v>
      </c>
      <c r="C685" s="2" t="s">
        <v>512</v>
      </c>
      <c r="D685" s="2" t="s">
        <v>292</v>
      </c>
      <c r="E685" s="2">
        <v>36</v>
      </c>
      <c r="F685" s="2"/>
      <c r="G685" s="2">
        <v>36</v>
      </c>
      <c r="H685" s="2" t="s">
        <v>3373</v>
      </c>
      <c r="I685" s="2" t="s">
        <v>695</v>
      </c>
      <c r="J685" s="2" t="s">
        <v>2537</v>
      </c>
      <c r="K685" s="2" t="s">
        <v>1855</v>
      </c>
      <c r="L685" s="2" t="s">
        <v>4344</v>
      </c>
      <c r="M685" s="2" t="str">
        <f t="shared" si="13"/>
        <v>06</v>
      </c>
      <c r="N685" s="2" t="s">
        <v>3677</v>
      </c>
      <c r="O685" s="2" t="s">
        <v>4373</v>
      </c>
      <c r="P685" s="2" t="s">
        <v>4378</v>
      </c>
    </row>
    <row r="686" spans="1:16">
      <c r="A686" s="4">
        <v>46249.682152777779</v>
      </c>
      <c r="B686" s="2" t="s">
        <v>2409</v>
      </c>
      <c r="C686" s="2" t="s">
        <v>512</v>
      </c>
      <c r="D686" s="2" t="s">
        <v>292</v>
      </c>
      <c r="E686" s="2">
        <v>36</v>
      </c>
      <c r="F686" s="2"/>
      <c r="G686" s="2">
        <v>36</v>
      </c>
      <c r="H686" s="2" t="s">
        <v>3373</v>
      </c>
      <c r="I686" s="2" t="s">
        <v>695</v>
      </c>
      <c r="J686" s="2" t="s">
        <v>2537</v>
      </c>
      <c r="K686" s="2" t="s">
        <v>1855</v>
      </c>
      <c r="L686" s="2" t="s">
        <v>4344</v>
      </c>
      <c r="M686" s="2" t="str">
        <f t="shared" si="13"/>
        <v>06</v>
      </c>
      <c r="N686" s="2" t="s">
        <v>2223</v>
      </c>
      <c r="O686" s="2" t="s">
        <v>4373</v>
      </c>
      <c r="P686" s="2" t="s">
        <v>4378</v>
      </c>
    </row>
    <row r="687" spans="1:16">
      <c r="A687" s="4">
        <v>46249.681689814817</v>
      </c>
      <c r="B687" s="2" t="s">
        <v>4211</v>
      </c>
      <c r="C687" s="2" t="s">
        <v>512</v>
      </c>
      <c r="D687" s="2" t="s">
        <v>292</v>
      </c>
      <c r="E687" s="2">
        <v>36</v>
      </c>
      <c r="F687" s="2"/>
      <c r="G687" s="2">
        <v>36</v>
      </c>
      <c r="H687" s="2" t="s">
        <v>3373</v>
      </c>
      <c r="I687" s="2" t="s">
        <v>695</v>
      </c>
      <c r="J687" s="2" t="s">
        <v>2537</v>
      </c>
      <c r="K687" s="2" t="s">
        <v>1855</v>
      </c>
      <c r="L687" s="2" t="s">
        <v>4344</v>
      </c>
      <c r="M687" s="2" t="str">
        <f t="shared" si="13"/>
        <v>06</v>
      </c>
      <c r="N687" s="2" t="s">
        <v>2805</v>
      </c>
      <c r="O687" s="2" t="s">
        <v>4373</v>
      </c>
      <c r="P687" s="2" t="s">
        <v>4378</v>
      </c>
    </row>
    <row r="688" spans="1:16">
      <c r="A688" s="4">
        <v>46248.699363425927</v>
      </c>
      <c r="B688" s="2" t="s">
        <v>2220</v>
      </c>
      <c r="C688" s="2" t="s">
        <v>512</v>
      </c>
      <c r="D688" s="2" t="s">
        <v>292</v>
      </c>
      <c r="E688" s="2">
        <v>36</v>
      </c>
      <c r="F688" s="2"/>
      <c r="G688" s="2">
        <v>36</v>
      </c>
      <c r="H688" s="2" t="s">
        <v>3373</v>
      </c>
      <c r="I688" s="2" t="s">
        <v>695</v>
      </c>
      <c r="J688" s="2" t="s">
        <v>2537</v>
      </c>
      <c r="K688" s="2" t="s">
        <v>1855</v>
      </c>
      <c r="L688" s="2" t="s">
        <v>2699</v>
      </c>
      <c r="M688" s="2" t="str">
        <f t="shared" si="13"/>
        <v>04</v>
      </c>
      <c r="N688" s="2" t="s">
        <v>3892</v>
      </c>
      <c r="O688" s="2" t="s">
        <v>4373</v>
      </c>
      <c r="P688" s="2" t="s">
        <v>4379</v>
      </c>
    </row>
    <row r="689" spans="1:16">
      <c r="A689" s="4">
        <v>46248.69699074074</v>
      </c>
      <c r="B689" s="2" t="s">
        <v>3675</v>
      </c>
      <c r="C689" s="2" t="s">
        <v>512</v>
      </c>
      <c r="D689" s="2" t="s">
        <v>292</v>
      </c>
      <c r="E689" s="2">
        <v>36</v>
      </c>
      <c r="F689" s="2"/>
      <c r="G689" s="2">
        <v>36</v>
      </c>
      <c r="H689" s="2" t="s">
        <v>3373</v>
      </c>
      <c r="I689" s="2" t="s">
        <v>695</v>
      </c>
      <c r="J689" s="2" t="s">
        <v>2537</v>
      </c>
      <c r="K689" s="2" t="s">
        <v>1855</v>
      </c>
      <c r="L689" s="2" t="s">
        <v>2699</v>
      </c>
      <c r="M689" s="2" t="str">
        <f t="shared" si="13"/>
        <v>04</v>
      </c>
      <c r="N689" s="2" t="s">
        <v>67</v>
      </c>
      <c r="O689" s="2" t="s">
        <v>4373</v>
      </c>
      <c r="P689" s="2" t="s">
        <v>4379</v>
      </c>
    </row>
    <row r="690" spans="1:16">
      <c r="A690" s="4">
        <v>46248.696932870371</v>
      </c>
      <c r="B690" s="2" t="s">
        <v>3812</v>
      </c>
      <c r="C690" s="2" t="s">
        <v>512</v>
      </c>
      <c r="D690" s="2" t="s">
        <v>292</v>
      </c>
      <c r="E690" s="2">
        <v>36</v>
      </c>
      <c r="F690" s="2"/>
      <c r="G690" s="2">
        <v>36</v>
      </c>
      <c r="H690" s="2" t="s">
        <v>3373</v>
      </c>
      <c r="I690" s="2" t="s">
        <v>695</v>
      </c>
      <c r="J690" s="2" t="s">
        <v>2537</v>
      </c>
      <c r="K690" s="2" t="s">
        <v>1855</v>
      </c>
      <c r="L690" s="2" t="s">
        <v>2699</v>
      </c>
      <c r="M690" s="2" t="str">
        <f t="shared" si="13"/>
        <v>04</v>
      </c>
      <c r="N690" s="2" t="s">
        <v>3585</v>
      </c>
      <c r="O690" s="2" t="s">
        <v>4373</v>
      </c>
      <c r="P690" s="2" t="s">
        <v>4379</v>
      </c>
    </row>
    <row r="691" spans="1:16">
      <c r="A691" s="4">
        <v>46248.696793981479</v>
      </c>
      <c r="B691" s="2" t="s">
        <v>1273</v>
      </c>
      <c r="C691" s="2" t="s">
        <v>512</v>
      </c>
      <c r="D691" s="2" t="s">
        <v>292</v>
      </c>
      <c r="E691" s="2">
        <v>36</v>
      </c>
      <c r="F691" s="2"/>
      <c r="G691" s="2">
        <v>36</v>
      </c>
      <c r="H691" s="2" t="s">
        <v>3373</v>
      </c>
      <c r="I691" s="2" t="s">
        <v>695</v>
      </c>
      <c r="J691" s="2" t="s">
        <v>2537</v>
      </c>
      <c r="K691" s="2" t="s">
        <v>1855</v>
      </c>
      <c r="L691" s="2" t="s">
        <v>2699</v>
      </c>
      <c r="M691" s="2" t="str">
        <f t="shared" si="13"/>
        <v>04</v>
      </c>
      <c r="N691" s="2" t="s">
        <v>3925</v>
      </c>
      <c r="O691" s="2" t="s">
        <v>4373</v>
      </c>
      <c r="P691" s="2" t="s">
        <v>4379</v>
      </c>
    </row>
    <row r="692" spans="1:16">
      <c r="A692" s="4">
        <v>46248.696481481478</v>
      </c>
      <c r="B692" s="2" t="s">
        <v>2967</v>
      </c>
      <c r="C692" s="2" t="s">
        <v>512</v>
      </c>
      <c r="D692" s="2" t="s">
        <v>292</v>
      </c>
      <c r="E692" s="2">
        <v>36</v>
      </c>
      <c r="F692" s="2"/>
      <c r="G692" s="2">
        <v>36</v>
      </c>
      <c r="H692" s="2" t="s">
        <v>3373</v>
      </c>
      <c r="I692" s="2" t="s">
        <v>695</v>
      </c>
      <c r="J692" s="2" t="s">
        <v>2537</v>
      </c>
      <c r="K692" s="2" t="s">
        <v>1855</v>
      </c>
      <c r="L692" s="2" t="s">
        <v>2699</v>
      </c>
      <c r="M692" s="2" t="str">
        <f t="shared" si="13"/>
        <v>04</v>
      </c>
      <c r="N692" s="2" t="s">
        <v>3377</v>
      </c>
      <c r="O692" s="2" t="s">
        <v>4373</v>
      </c>
      <c r="P692" s="2" t="s">
        <v>4379</v>
      </c>
    </row>
    <row r="693" spans="1:16">
      <c r="A693" s="4">
        <v>46248.696458333332</v>
      </c>
      <c r="B693" s="2" t="s">
        <v>3431</v>
      </c>
      <c r="C693" s="2" t="s">
        <v>512</v>
      </c>
      <c r="D693" s="2" t="s">
        <v>292</v>
      </c>
      <c r="E693" s="2">
        <v>36</v>
      </c>
      <c r="F693" s="2"/>
      <c r="G693" s="2">
        <v>36</v>
      </c>
      <c r="H693" s="2" t="s">
        <v>3373</v>
      </c>
      <c r="I693" s="2" t="s">
        <v>695</v>
      </c>
      <c r="J693" s="2" t="s">
        <v>2537</v>
      </c>
      <c r="K693" s="2" t="s">
        <v>1855</v>
      </c>
      <c r="L693" s="2" t="s">
        <v>2699</v>
      </c>
      <c r="M693" s="2" t="str">
        <f t="shared" si="13"/>
        <v>04</v>
      </c>
      <c r="N693" s="2" t="s">
        <v>166</v>
      </c>
      <c r="O693" s="2" t="s">
        <v>4373</v>
      </c>
      <c r="P693" s="2" t="s">
        <v>4379</v>
      </c>
    </row>
    <row r="694" spans="1:16">
      <c r="A694" s="4">
        <v>46248.696145833332</v>
      </c>
      <c r="B694" s="2" t="s">
        <v>1420</v>
      </c>
      <c r="C694" s="2" t="s">
        <v>512</v>
      </c>
      <c r="D694" s="2" t="s">
        <v>292</v>
      </c>
      <c r="E694" s="2">
        <v>36</v>
      </c>
      <c r="F694" s="2"/>
      <c r="G694" s="2">
        <v>36</v>
      </c>
      <c r="H694" s="2" t="s">
        <v>3373</v>
      </c>
      <c r="I694" s="2" t="s">
        <v>695</v>
      </c>
      <c r="J694" s="2" t="s">
        <v>2537</v>
      </c>
      <c r="K694" s="2" t="s">
        <v>1855</v>
      </c>
      <c r="L694" s="2" t="s">
        <v>2699</v>
      </c>
      <c r="M694" s="2" t="str">
        <f t="shared" si="13"/>
        <v>04</v>
      </c>
      <c r="N694" s="2" t="s">
        <v>712</v>
      </c>
      <c r="O694" s="2" t="s">
        <v>4373</v>
      </c>
      <c r="P694" s="2" t="s">
        <v>4379</v>
      </c>
    </row>
    <row r="695" spans="1:16">
      <c r="A695" s="4">
        <v>46248.695891203701</v>
      </c>
      <c r="B695" s="2" t="s">
        <v>2571</v>
      </c>
      <c r="C695" s="2" t="s">
        <v>512</v>
      </c>
      <c r="D695" s="2" t="s">
        <v>292</v>
      </c>
      <c r="E695" s="2">
        <v>36</v>
      </c>
      <c r="F695" s="2"/>
      <c r="G695" s="2">
        <v>36</v>
      </c>
      <c r="H695" s="2" t="s">
        <v>3373</v>
      </c>
      <c r="I695" s="2" t="s">
        <v>695</v>
      </c>
      <c r="J695" s="2" t="s">
        <v>2537</v>
      </c>
      <c r="K695" s="2" t="s">
        <v>1855</v>
      </c>
      <c r="L695" s="2" t="s">
        <v>2699</v>
      </c>
      <c r="M695" s="2" t="str">
        <f t="shared" si="13"/>
        <v>04</v>
      </c>
      <c r="N695" s="2" t="s">
        <v>4000</v>
      </c>
      <c r="O695" s="2" t="s">
        <v>4373</v>
      </c>
      <c r="P695" s="2" t="s">
        <v>4379</v>
      </c>
    </row>
    <row r="696" spans="1:16">
      <c r="A696" s="4">
        <v>46248.694502314815</v>
      </c>
      <c r="B696" s="2" t="s">
        <v>3260</v>
      </c>
      <c r="C696" s="2" t="s">
        <v>512</v>
      </c>
      <c r="D696" s="2" t="s">
        <v>292</v>
      </c>
      <c r="E696" s="2">
        <v>36</v>
      </c>
      <c r="F696" s="2"/>
      <c r="G696" s="2">
        <v>36</v>
      </c>
      <c r="H696" s="2" t="s">
        <v>3373</v>
      </c>
      <c r="I696" s="2" t="s">
        <v>695</v>
      </c>
      <c r="J696" s="2" t="s">
        <v>2537</v>
      </c>
      <c r="K696" s="2" t="s">
        <v>1855</v>
      </c>
      <c r="L696" s="2" t="s">
        <v>2699</v>
      </c>
      <c r="M696" s="2" t="str">
        <f t="shared" si="13"/>
        <v>04</v>
      </c>
      <c r="N696" s="2" t="s">
        <v>995</v>
      </c>
      <c r="O696" s="2" t="s">
        <v>4373</v>
      </c>
      <c r="P696" s="2" t="s">
        <v>4379</v>
      </c>
    </row>
    <row r="697" spans="1:16">
      <c r="A697" s="4">
        <v>46248.694398148145</v>
      </c>
      <c r="B697" s="2" t="s">
        <v>1132</v>
      </c>
      <c r="C697" s="2" t="s">
        <v>512</v>
      </c>
      <c r="D697" s="2" t="s">
        <v>292</v>
      </c>
      <c r="E697" s="2">
        <v>36</v>
      </c>
      <c r="F697" s="2"/>
      <c r="G697" s="2">
        <v>36</v>
      </c>
      <c r="H697" s="2" t="s">
        <v>3373</v>
      </c>
      <c r="I697" s="2" t="s">
        <v>695</v>
      </c>
      <c r="J697" s="2" t="s">
        <v>2537</v>
      </c>
      <c r="K697" s="2" t="s">
        <v>1855</v>
      </c>
      <c r="L697" s="2" t="s">
        <v>2699</v>
      </c>
      <c r="M697" s="2" t="str">
        <f t="shared" si="13"/>
        <v>04</v>
      </c>
      <c r="N697" s="2" t="s">
        <v>4240</v>
      </c>
      <c r="O697" s="2" t="s">
        <v>4373</v>
      </c>
      <c r="P697" s="2" t="s">
        <v>4379</v>
      </c>
    </row>
    <row r="698" spans="1:16">
      <c r="A698" s="4">
        <v>46248.694074074076</v>
      </c>
      <c r="B698" s="2" t="s">
        <v>2397</v>
      </c>
      <c r="C698" s="2" t="s">
        <v>512</v>
      </c>
      <c r="D698" s="2" t="s">
        <v>292</v>
      </c>
      <c r="E698" s="2">
        <v>36</v>
      </c>
      <c r="F698" s="2"/>
      <c r="G698" s="2">
        <v>36</v>
      </c>
      <c r="H698" s="2" t="s">
        <v>3373</v>
      </c>
      <c r="I698" s="2" t="s">
        <v>695</v>
      </c>
      <c r="J698" s="2" t="s">
        <v>2537</v>
      </c>
      <c r="K698" s="2" t="s">
        <v>1855</v>
      </c>
      <c r="L698" s="2" t="s">
        <v>2699</v>
      </c>
      <c r="M698" s="2" t="str">
        <f t="shared" si="13"/>
        <v>04</v>
      </c>
      <c r="N698" s="2" t="s">
        <v>1909</v>
      </c>
      <c r="O698" s="2" t="s">
        <v>4373</v>
      </c>
      <c r="P698" s="2" t="s">
        <v>4379</v>
      </c>
    </row>
    <row r="699" spans="1:16">
      <c r="A699" s="4">
        <v>46248.693819444445</v>
      </c>
      <c r="B699" s="2" t="s">
        <v>2828</v>
      </c>
      <c r="C699" s="2" t="s">
        <v>512</v>
      </c>
      <c r="D699" s="2" t="s">
        <v>292</v>
      </c>
      <c r="E699" s="2">
        <v>36</v>
      </c>
      <c r="F699" s="2"/>
      <c r="G699" s="2">
        <v>36</v>
      </c>
      <c r="H699" s="2" t="s">
        <v>3373</v>
      </c>
      <c r="I699" s="2" t="s">
        <v>695</v>
      </c>
      <c r="J699" s="2" t="s">
        <v>2537</v>
      </c>
      <c r="K699" s="2" t="s">
        <v>1855</v>
      </c>
      <c r="L699" s="2" t="s">
        <v>2699</v>
      </c>
      <c r="M699" s="2" t="str">
        <f t="shared" si="13"/>
        <v>04</v>
      </c>
      <c r="N699" s="2" t="s">
        <v>3186</v>
      </c>
      <c r="O699" s="2" t="s">
        <v>4373</v>
      </c>
      <c r="P699" s="2" t="s">
        <v>4379</v>
      </c>
    </row>
    <row r="700" spans="1:16">
      <c r="A700" s="4">
        <v>46248.693622685183</v>
      </c>
      <c r="B700" s="2" t="s">
        <v>3176</v>
      </c>
      <c r="C700" s="2" t="s">
        <v>512</v>
      </c>
      <c r="D700" s="2" t="s">
        <v>292</v>
      </c>
      <c r="E700" s="2">
        <v>36</v>
      </c>
      <c r="F700" s="2"/>
      <c r="G700" s="2">
        <v>36</v>
      </c>
      <c r="H700" s="2" t="s">
        <v>3373</v>
      </c>
      <c r="I700" s="2" t="s">
        <v>695</v>
      </c>
      <c r="J700" s="2" t="s">
        <v>2537</v>
      </c>
      <c r="K700" s="2" t="s">
        <v>1855</v>
      </c>
      <c r="L700" s="2" t="s">
        <v>2699</v>
      </c>
      <c r="M700" s="2" t="str">
        <f t="shared" si="13"/>
        <v>04</v>
      </c>
      <c r="N700" s="2" t="s">
        <v>740</v>
      </c>
      <c r="O700" s="2" t="s">
        <v>4373</v>
      </c>
      <c r="P700" s="2" t="s">
        <v>4379</v>
      </c>
    </row>
    <row r="701" spans="1:16">
      <c r="A701" s="4">
        <v>46248.693078703705</v>
      </c>
      <c r="B701" s="2" t="s">
        <v>3583</v>
      </c>
      <c r="C701" s="2" t="s">
        <v>512</v>
      </c>
      <c r="D701" s="2" t="s">
        <v>292</v>
      </c>
      <c r="E701" s="2">
        <v>36</v>
      </c>
      <c r="F701" s="2"/>
      <c r="G701" s="2">
        <v>36</v>
      </c>
      <c r="H701" s="2" t="s">
        <v>3373</v>
      </c>
      <c r="I701" s="2" t="s">
        <v>695</v>
      </c>
      <c r="J701" s="2" t="s">
        <v>2537</v>
      </c>
      <c r="K701" s="2" t="s">
        <v>1855</v>
      </c>
      <c r="L701" s="2" t="s">
        <v>2699</v>
      </c>
      <c r="M701" s="2" t="str">
        <f t="shared" si="13"/>
        <v>04</v>
      </c>
      <c r="N701" s="2" t="s">
        <v>972</v>
      </c>
      <c r="O701" s="2" t="s">
        <v>4373</v>
      </c>
      <c r="P701" s="2" t="s">
        <v>4379</v>
      </c>
    </row>
    <row r="702" spans="1:16">
      <c r="A702" s="4">
        <v>46248.692812499998</v>
      </c>
      <c r="B702" s="2" t="s">
        <v>2849</v>
      </c>
      <c r="C702" s="2" t="s">
        <v>512</v>
      </c>
      <c r="D702" s="2" t="s">
        <v>292</v>
      </c>
      <c r="E702" s="2">
        <v>36</v>
      </c>
      <c r="F702" s="2"/>
      <c r="G702" s="2">
        <v>36</v>
      </c>
      <c r="H702" s="2" t="s">
        <v>3373</v>
      </c>
      <c r="I702" s="2" t="s">
        <v>695</v>
      </c>
      <c r="J702" s="2" t="s">
        <v>2537</v>
      </c>
      <c r="K702" s="2" t="s">
        <v>1855</v>
      </c>
      <c r="L702" s="2" t="s">
        <v>2699</v>
      </c>
      <c r="M702" s="2" t="str">
        <f t="shared" si="13"/>
        <v>04</v>
      </c>
      <c r="N702" s="2" t="s">
        <v>807</v>
      </c>
      <c r="O702" s="2" t="s">
        <v>4373</v>
      </c>
      <c r="P702" s="2" t="s">
        <v>4379</v>
      </c>
    </row>
    <row r="703" spans="1:16">
      <c r="A703" s="4">
        <v>46248.691620370373</v>
      </c>
      <c r="B703" s="2" t="s">
        <v>2000</v>
      </c>
      <c r="C703" s="2" t="s">
        <v>512</v>
      </c>
      <c r="D703" s="2" t="s">
        <v>292</v>
      </c>
      <c r="E703" s="2">
        <v>36</v>
      </c>
      <c r="F703" s="2"/>
      <c r="G703" s="2">
        <v>36</v>
      </c>
      <c r="H703" s="2" t="s">
        <v>3373</v>
      </c>
      <c r="I703" s="2" t="s">
        <v>695</v>
      </c>
      <c r="J703" s="2" t="s">
        <v>2537</v>
      </c>
      <c r="K703" s="2" t="s">
        <v>1855</v>
      </c>
      <c r="L703" s="2" t="s">
        <v>2699</v>
      </c>
      <c r="M703" s="2" t="str">
        <f t="shared" si="13"/>
        <v>04</v>
      </c>
      <c r="N703" s="2" t="s">
        <v>1750</v>
      </c>
      <c r="O703" s="2" t="s">
        <v>4373</v>
      </c>
      <c r="P703" s="2" t="s">
        <v>4379</v>
      </c>
    </row>
    <row r="704" spans="1:16">
      <c r="A704" s="4">
        <v>46248.690555555557</v>
      </c>
      <c r="B704" s="2" t="s">
        <v>2451</v>
      </c>
      <c r="C704" s="2" t="s">
        <v>512</v>
      </c>
      <c r="D704" s="2" t="s">
        <v>292</v>
      </c>
      <c r="E704" s="2">
        <v>36</v>
      </c>
      <c r="F704" s="2"/>
      <c r="G704" s="2">
        <v>36</v>
      </c>
      <c r="H704" s="2" t="s">
        <v>3373</v>
      </c>
      <c r="I704" s="2" t="s">
        <v>695</v>
      </c>
      <c r="J704" s="2" t="s">
        <v>2537</v>
      </c>
      <c r="K704" s="2" t="s">
        <v>1855</v>
      </c>
      <c r="L704" s="2" t="s">
        <v>2699</v>
      </c>
      <c r="M704" s="2" t="str">
        <f t="shared" si="13"/>
        <v>04</v>
      </c>
      <c r="N704" s="2" t="s">
        <v>4342</v>
      </c>
      <c r="O704" s="2" t="s">
        <v>4373</v>
      </c>
      <c r="P704" s="2" t="s">
        <v>4379</v>
      </c>
    </row>
    <row r="705" spans="1:16">
      <c r="A705" s="4">
        <v>46248.689687500002</v>
      </c>
      <c r="B705" s="2" t="s">
        <v>3537</v>
      </c>
      <c r="C705" s="2" t="s">
        <v>512</v>
      </c>
      <c r="D705" s="2" t="s">
        <v>292</v>
      </c>
      <c r="E705" s="2">
        <v>36</v>
      </c>
      <c r="F705" s="2"/>
      <c r="G705" s="2">
        <v>36</v>
      </c>
      <c r="H705" s="2" t="s">
        <v>3373</v>
      </c>
      <c r="I705" s="2" t="s">
        <v>695</v>
      </c>
      <c r="J705" s="2" t="s">
        <v>2537</v>
      </c>
      <c r="K705" s="2" t="s">
        <v>1855</v>
      </c>
      <c r="L705" s="2" t="s">
        <v>2699</v>
      </c>
      <c r="M705" s="2" t="str">
        <f t="shared" si="13"/>
        <v>04</v>
      </c>
      <c r="N705" s="2" t="s">
        <v>114</v>
      </c>
      <c r="O705" s="2" t="s">
        <v>4373</v>
      </c>
      <c r="P705" s="2" t="s">
        <v>4379</v>
      </c>
    </row>
    <row r="706" spans="1:16">
      <c r="A706" s="4">
        <v>46248.689363425925</v>
      </c>
      <c r="B706" s="2" t="s">
        <v>2283</v>
      </c>
      <c r="C706" s="2" t="s">
        <v>512</v>
      </c>
      <c r="D706" s="2" t="s">
        <v>292</v>
      </c>
      <c r="E706" s="2">
        <v>36</v>
      </c>
      <c r="F706" s="2"/>
      <c r="G706" s="2">
        <v>36</v>
      </c>
      <c r="H706" s="2" t="s">
        <v>3373</v>
      </c>
      <c r="I706" s="2" t="s">
        <v>695</v>
      </c>
      <c r="J706" s="2" t="s">
        <v>2537</v>
      </c>
      <c r="K706" s="2" t="s">
        <v>1855</v>
      </c>
      <c r="L706" s="2" t="s">
        <v>2699</v>
      </c>
      <c r="M706" s="2" t="str">
        <f t="shared" ref="M706:M769" si="14">RIGHT(L706,2)</f>
        <v>04</v>
      </c>
      <c r="N706" s="2" t="s">
        <v>1925</v>
      </c>
      <c r="O706" s="2" t="s">
        <v>4373</v>
      </c>
      <c r="P706" s="2" t="s">
        <v>4379</v>
      </c>
    </row>
    <row r="707" spans="1:16">
      <c r="A707" s="4">
        <v>46248.689120370371</v>
      </c>
      <c r="B707" s="2" t="s">
        <v>2665</v>
      </c>
      <c r="C707" s="2" t="s">
        <v>512</v>
      </c>
      <c r="D707" s="2" t="s">
        <v>292</v>
      </c>
      <c r="E707" s="2">
        <v>36</v>
      </c>
      <c r="F707" s="2"/>
      <c r="G707" s="2">
        <v>36</v>
      </c>
      <c r="H707" s="2" t="s">
        <v>3373</v>
      </c>
      <c r="I707" s="2" t="s">
        <v>695</v>
      </c>
      <c r="J707" s="2" t="s">
        <v>2537</v>
      </c>
      <c r="K707" s="2" t="s">
        <v>1855</v>
      </c>
      <c r="L707" s="2" t="s">
        <v>2699</v>
      </c>
      <c r="M707" s="2" t="str">
        <f t="shared" si="14"/>
        <v>04</v>
      </c>
      <c r="N707" s="2" t="s">
        <v>2689</v>
      </c>
      <c r="O707" s="2" t="s">
        <v>4373</v>
      </c>
      <c r="P707" s="2" t="s">
        <v>4379</v>
      </c>
    </row>
    <row r="708" spans="1:16">
      <c r="A708" s="4">
        <v>46248.689027777778</v>
      </c>
      <c r="B708" s="2" t="s">
        <v>2089</v>
      </c>
      <c r="C708" s="2" t="s">
        <v>512</v>
      </c>
      <c r="D708" s="2" t="s">
        <v>292</v>
      </c>
      <c r="E708" s="2">
        <v>36</v>
      </c>
      <c r="F708" s="2"/>
      <c r="G708" s="2">
        <v>36</v>
      </c>
      <c r="H708" s="2" t="s">
        <v>3373</v>
      </c>
      <c r="I708" s="2" t="s">
        <v>695</v>
      </c>
      <c r="J708" s="2" t="s">
        <v>2537</v>
      </c>
      <c r="K708" s="2" t="s">
        <v>1855</v>
      </c>
      <c r="L708" s="2" t="s">
        <v>2699</v>
      </c>
      <c r="M708" s="2" t="str">
        <f t="shared" si="14"/>
        <v>04</v>
      </c>
      <c r="N708" s="2" t="s">
        <v>2659</v>
      </c>
      <c r="O708" s="2" t="s">
        <v>4373</v>
      </c>
      <c r="P708" s="2" t="s">
        <v>4379</v>
      </c>
    </row>
    <row r="709" spans="1:16">
      <c r="A709" s="4">
        <v>46248.688437500001</v>
      </c>
      <c r="B709" s="2" t="s">
        <v>1617</v>
      </c>
      <c r="C709" s="2" t="s">
        <v>512</v>
      </c>
      <c r="D709" s="2" t="s">
        <v>292</v>
      </c>
      <c r="E709" s="2">
        <v>36</v>
      </c>
      <c r="F709" s="2"/>
      <c r="G709" s="2">
        <v>36</v>
      </c>
      <c r="H709" s="2" t="s">
        <v>3373</v>
      </c>
      <c r="I709" s="2" t="s">
        <v>695</v>
      </c>
      <c r="J709" s="2" t="s">
        <v>2537</v>
      </c>
      <c r="K709" s="2" t="s">
        <v>1855</v>
      </c>
      <c r="L709" s="2" t="s">
        <v>2699</v>
      </c>
      <c r="M709" s="2" t="str">
        <f t="shared" si="14"/>
        <v>04</v>
      </c>
      <c r="N709" s="2" t="s">
        <v>1615</v>
      </c>
      <c r="O709" s="2" t="s">
        <v>4373</v>
      </c>
      <c r="P709" s="2" t="s">
        <v>4379</v>
      </c>
    </row>
    <row r="710" spans="1:16">
      <c r="A710" s="4">
        <v>46248.688437500001</v>
      </c>
      <c r="B710" s="2" t="s">
        <v>1938</v>
      </c>
      <c r="C710" s="2" t="s">
        <v>512</v>
      </c>
      <c r="D710" s="2" t="s">
        <v>292</v>
      </c>
      <c r="E710" s="2">
        <v>36</v>
      </c>
      <c r="F710" s="2"/>
      <c r="G710" s="2">
        <v>36</v>
      </c>
      <c r="H710" s="2" t="s">
        <v>3373</v>
      </c>
      <c r="I710" s="2" t="s">
        <v>695</v>
      </c>
      <c r="J710" s="2" t="s">
        <v>2537</v>
      </c>
      <c r="K710" s="2" t="s">
        <v>1855</v>
      </c>
      <c r="L710" s="2" t="s">
        <v>2699</v>
      </c>
      <c r="M710" s="2" t="str">
        <f t="shared" si="14"/>
        <v>04</v>
      </c>
      <c r="N710" s="2" t="s">
        <v>1339</v>
      </c>
      <c r="O710" s="2" t="s">
        <v>4373</v>
      </c>
      <c r="P710" s="2" t="s">
        <v>4379</v>
      </c>
    </row>
    <row r="711" spans="1:16">
      <c r="A711" s="4">
        <v>46248.686990740738</v>
      </c>
      <c r="B711" s="2" t="s">
        <v>2477</v>
      </c>
      <c r="C711" s="2" t="s">
        <v>512</v>
      </c>
      <c r="D711" s="2" t="s">
        <v>292</v>
      </c>
      <c r="E711" s="2">
        <v>36</v>
      </c>
      <c r="F711" s="2"/>
      <c r="G711" s="2">
        <v>36</v>
      </c>
      <c r="H711" s="2" t="s">
        <v>3373</v>
      </c>
      <c r="I711" s="2" t="s">
        <v>695</v>
      </c>
      <c r="J711" s="2" t="s">
        <v>2537</v>
      </c>
      <c r="K711" s="2" t="s">
        <v>1855</v>
      </c>
      <c r="L711" s="2" t="s">
        <v>2699</v>
      </c>
      <c r="M711" s="2" t="str">
        <f t="shared" si="14"/>
        <v>04</v>
      </c>
      <c r="N711" s="2" t="s">
        <v>1950</v>
      </c>
      <c r="O711" s="2" t="s">
        <v>4373</v>
      </c>
      <c r="P711" s="2" t="s">
        <v>4379</v>
      </c>
    </row>
    <row r="712" spans="1:16">
      <c r="A712" s="4">
        <v>46248.686759259261</v>
      </c>
      <c r="B712" s="2" t="s">
        <v>4340</v>
      </c>
      <c r="C712" s="2" t="s">
        <v>512</v>
      </c>
      <c r="D712" s="2" t="s">
        <v>292</v>
      </c>
      <c r="E712" s="2">
        <v>36</v>
      </c>
      <c r="F712" s="2"/>
      <c r="G712" s="2">
        <v>36</v>
      </c>
      <c r="H712" s="2" t="s">
        <v>3373</v>
      </c>
      <c r="I712" s="2" t="s">
        <v>695</v>
      </c>
      <c r="J712" s="2" t="s">
        <v>2537</v>
      </c>
      <c r="K712" s="2" t="s">
        <v>1855</v>
      </c>
      <c r="L712" s="2" t="s">
        <v>2699</v>
      </c>
      <c r="M712" s="2" t="str">
        <f t="shared" si="14"/>
        <v>04</v>
      </c>
      <c r="N712" s="2" t="s">
        <v>2081</v>
      </c>
      <c r="O712" s="2" t="s">
        <v>4373</v>
      </c>
      <c r="P712" s="2" t="s">
        <v>4379</v>
      </c>
    </row>
    <row r="713" spans="1:16">
      <c r="A713" s="4">
        <v>46248.686249999999</v>
      </c>
      <c r="B713" s="2" t="s">
        <v>4262</v>
      </c>
      <c r="C713" s="2" t="s">
        <v>512</v>
      </c>
      <c r="D713" s="2" t="s">
        <v>292</v>
      </c>
      <c r="E713" s="2">
        <v>36</v>
      </c>
      <c r="F713" s="2"/>
      <c r="G713" s="2">
        <v>36</v>
      </c>
      <c r="H713" s="2" t="s">
        <v>3373</v>
      </c>
      <c r="I713" s="2" t="s">
        <v>695</v>
      </c>
      <c r="J713" s="2" t="s">
        <v>2537</v>
      </c>
      <c r="K713" s="2" t="s">
        <v>1855</v>
      </c>
      <c r="L713" s="2" t="s">
        <v>2699</v>
      </c>
      <c r="M713" s="2" t="str">
        <f t="shared" si="14"/>
        <v>04</v>
      </c>
      <c r="N713" s="2" t="s">
        <v>2728</v>
      </c>
      <c r="O713" s="2" t="s">
        <v>4373</v>
      </c>
      <c r="P713" s="2" t="s">
        <v>4379</v>
      </c>
    </row>
    <row r="714" spans="1:16">
      <c r="A714" s="4">
        <v>46248.686215277776</v>
      </c>
      <c r="B714" s="2" t="s">
        <v>741</v>
      </c>
      <c r="C714" s="2" t="s">
        <v>512</v>
      </c>
      <c r="D714" s="2" t="s">
        <v>292</v>
      </c>
      <c r="E714" s="2">
        <v>36</v>
      </c>
      <c r="F714" s="2"/>
      <c r="G714" s="2">
        <v>36</v>
      </c>
      <c r="H714" s="2" t="s">
        <v>3373</v>
      </c>
      <c r="I714" s="2" t="s">
        <v>695</v>
      </c>
      <c r="J714" s="2" t="s">
        <v>2537</v>
      </c>
      <c r="K714" s="2" t="s">
        <v>1855</v>
      </c>
      <c r="L714" s="2" t="s">
        <v>2699</v>
      </c>
      <c r="M714" s="2" t="str">
        <f t="shared" si="14"/>
        <v>04</v>
      </c>
      <c r="N714" s="2" t="s">
        <v>3935</v>
      </c>
      <c r="O714" s="2" t="s">
        <v>4373</v>
      </c>
      <c r="P714" s="2" t="s">
        <v>4379</v>
      </c>
    </row>
    <row r="715" spans="1:16">
      <c r="A715" s="4">
        <v>46248.685763888891</v>
      </c>
      <c r="B715" s="2" t="s">
        <v>2781</v>
      </c>
      <c r="C715" s="2" t="s">
        <v>512</v>
      </c>
      <c r="D715" s="2" t="s">
        <v>292</v>
      </c>
      <c r="E715" s="2">
        <v>36</v>
      </c>
      <c r="F715" s="2"/>
      <c r="G715" s="2">
        <v>36</v>
      </c>
      <c r="H715" s="2" t="s">
        <v>3373</v>
      </c>
      <c r="I715" s="2" t="s">
        <v>695</v>
      </c>
      <c r="J715" s="2" t="s">
        <v>2537</v>
      </c>
      <c r="K715" s="2" t="s">
        <v>1855</v>
      </c>
      <c r="L715" s="2" t="s">
        <v>2699</v>
      </c>
      <c r="M715" s="2" t="str">
        <f t="shared" si="14"/>
        <v>04</v>
      </c>
      <c r="N715" s="2" t="s">
        <v>4002</v>
      </c>
      <c r="O715" s="2" t="s">
        <v>4373</v>
      </c>
      <c r="P715" s="2" t="s">
        <v>4379</v>
      </c>
    </row>
    <row r="716" spans="1:16">
      <c r="A716" s="4">
        <v>46248.685474537036</v>
      </c>
      <c r="B716" s="2" t="s">
        <v>1139</v>
      </c>
      <c r="C716" s="2" t="s">
        <v>512</v>
      </c>
      <c r="D716" s="2" t="s">
        <v>292</v>
      </c>
      <c r="E716" s="2">
        <v>36</v>
      </c>
      <c r="F716" s="2"/>
      <c r="G716" s="2">
        <v>36</v>
      </c>
      <c r="H716" s="2" t="s">
        <v>3373</v>
      </c>
      <c r="I716" s="2" t="s">
        <v>695</v>
      </c>
      <c r="J716" s="2" t="s">
        <v>2537</v>
      </c>
      <c r="K716" s="2" t="s">
        <v>1855</v>
      </c>
      <c r="L716" s="2" t="s">
        <v>2699</v>
      </c>
      <c r="M716" s="2" t="str">
        <f t="shared" si="14"/>
        <v>04</v>
      </c>
      <c r="N716" s="2" t="s">
        <v>823</v>
      </c>
      <c r="O716" s="2" t="s">
        <v>4373</v>
      </c>
      <c r="P716" s="2" t="s">
        <v>4379</v>
      </c>
    </row>
    <row r="717" spans="1:16">
      <c r="A717" s="4">
        <v>46248.684062499997</v>
      </c>
      <c r="B717" s="2" t="s">
        <v>2251</v>
      </c>
      <c r="C717" s="2" t="s">
        <v>512</v>
      </c>
      <c r="D717" s="2" t="s">
        <v>292</v>
      </c>
      <c r="E717" s="2">
        <v>36</v>
      </c>
      <c r="F717" s="2"/>
      <c r="G717" s="2">
        <v>36</v>
      </c>
      <c r="H717" s="2" t="s">
        <v>3373</v>
      </c>
      <c r="I717" s="2" t="s">
        <v>695</v>
      </c>
      <c r="J717" s="2" t="s">
        <v>2537</v>
      </c>
      <c r="K717" s="2" t="s">
        <v>1855</v>
      </c>
      <c r="L717" s="2" t="s">
        <v>2699</v>
      </c>
      <c r="M717" s="2" t="str">
        <f t="shared" si="14"/>
        <v>04</v>
      </c>
      <c r="N717" s="2" t="s">
        <v>669</v>
      </c>
      <c r="O717" s="2" t="s">
        <v>4373</v>
      </c>
      <c r="P717" s="2" t="s">
        <v>4379</v>
      </c>
    </row>
    <row r="718" spans="1:16">
      <c r="A718" s="4">
        <v>46248.684027777781</v>
      </c>
      <c r="B718" s="2" t="s">
        <v>2671</v>
      </c>
      <c r="C718" s="2" t="s">
        <v>512</v>
      </c>
      <c r="D718" s="2" t="s">
        <v>292</v>
      </c>
      <c r="E718" s="2">
        <v>36</v>
      </c>
      <c r="F718" s="2"/>
      <c r="G718" s="2">
        <v>36</v>
      </c>
      <c r="H718" s="2" t="s">
        <v>3373</v>
      </c>
      <c r="I718" s="2" t="s">
        <v>695</v>
      </c>
      <c r="J718" s="2" t="s">
        <v>2537</v>
      </c>
      <c r="K718" s="2" t="s">
        <v>1855</v>
      </c>
      <c r="L718" s="2" t="s">
        <v>2699</v>
      </c>
      <c r="M718" s="2" t="str">
        <f t="shared" si="14"/>
        <v>04</v>
      </c>
      <c r="N718" s="2" t="s">
        <v>4220</v>
      </c>
      <c r="O718" s="2" t="s">
        <v>4373</v>
      </c>
      <c r="P718" s="2" t="s">
        <v>4379</v>
      </c>
    </row>
    <row r="719" spans="1:16">
      <c r="A719" s="4">
        <v>46248.683912037035</v>
      </c>
      <c r="B719" s="2" t="s">
        <v>3181</v>
      </c>
      <c r="C719" s="2" t="s">
        <v>512</v>
      </c>
      <c r="D719" s="2" t="s">
        <v>292</v>
      </c>
      <c r="E719" s="2">
        <v>36</v>
      </c>
      <c r="F719" s="2"/>
      <c r="G719" s="2">
        <v>36</v>
      </c>
      <c r="H719" s="2" t="s">
        <v>3373</v>
      </c>
      <c r="I719" s="2" t="s">
        <v>695</v>
      </c>
      <c r="J719" s="2" t="s">
        <v>2537</v>
      </c>
      <c r="K719" s="2" t="s">
        <v>1855</v>
      </c>
      <c r="L719" s="2" t="s">
        <v>2699</v>
      </c>
      <c r="M719" s="2" t="str">
        <f t="shared" si="14"/>
        <v>04</v>
      </c>
      <c r="N719" s="2" t="s">
        <v>2001</v>
      </c>
      <c r="O719" s="2" t="s">
        <v>4373</v>
      </c>
      <c r="P719" s="2" t="s">
        <v>4379</v>
      </c>
    </row>
    <row r="720" spans="1:16">
      <c r="A720" s="4">
        <v>46248.683761574073</v>
      </c>
      <c r="B720" s="2" t="s">
        <v>2469</v>
      </c>
      <c r="C720" s="2" t="s">
        <v>512</v>
      </c>
      <c r="D720" s="2" t="s">
        <v>292</v>
      </c>
      <c r="E720" s="2">
        <v>36</v>
      </c>
      <c r="F720" s="2"/>
      <c r="G720" s="2">
        <v>36</v>
      </c>
      <c r="H720" s="2" t="s">
        <v>3373</v>
      </c>
      <c r="I720" s="2" t="s">
        <v>695</v>
      </c>
      <c r="J720" s="2" t="s">
        <v>2537</v>
      </c>
      <c r="K720" s="2" t="s">
        <v>1855</v>
      </c>
      <c r="L720" s="2" t="s">
        <v>2699</v>
      </c>
      <c r="M720" s="2" t="str">
        <f t="shared" si="14"/>
        <v>04</v>
      </c>
      <c r="N720" s="2" t="s">
        <v>3147</v>
      </c>
      <c r="O720" s="2" t="s">
        <v>4373</v>
      </c>
      <c r="P720" s="2" t="s">
        <v>4379</v>
      </c>
    </row>
    <row r="721" spans="1:16">
      <c r="A721" s="4">
        <v>46248.683229166665</v>
      </c>
      <c r="B721" s="2" t="s">
        <v>4121</v>
      </c>
      <c r="C721" s="2" t="s">
        <v>512</v>
      </c>
      <c r="D721" s="2" t="s">
        <v>292</v>
      </c>
      <c r="E721" s="2">
        <v>36</v>
      </c>
      <c r="F721" s="2"/>
      <c r="G721" s="2">
        <v>36</v>
      </c>
      <c r="H721" s="2" t="s">
        <v>3373</v>
      </c>
      <c r="I721" s="2" t="s">
        <v>695</v>
      </c>
      <c r="J721" s="2" t="s">
        <v>2537</v>
      </c>
      <c r="K721" s="2" t="s">
        <v>1855</v>
      </c>
      <c r="L721" s="2" t="s">
        <v>2699</v>
      </c>
      <c r="M721" s="2" t="str">
        <f t="shared" si="14"/>
        <v>04</v>
      </c>
      <c r="N721" s="2" t="s">
        <v>1960</v>
      </c>
      <c r="O721" s="2" t="s">
        <v>4373</v>
      </c>
      <c r="P721" s="2" t="s">
        <v>4379</v>
      </c>
    </row>
    <row r="722" spans="1:16">
      <c r="A722" s="4">
        <v>46248.683020833334</v>
      </c>
      <c r="B722" s="2" t="s">
        <v>1043</v>
      </c>
      <c r="C722" s="2" t="s">
        <v>512</v>
      </c>
      <c r="D722" s="2" t="s">
        <v>292</v>
      </c>
      <c r="E722" s="2">
        <v>36</v>
      </c>
      <c r="F722" s="2"/>
      <c r="G722" s="2">
        <v>36</v>
      </c>
      <c r="H722" s="2" t="s">
        <v>3373</v>
      </c>
      <c r="I722" s="2" t="s">
        <v>695</v>
      </c>
      <c r="J722" s="2" t="s">
        <v>2537</v>
      </c>
      <c r="K722" s="2" t="s">
        <v>1855</v>
      </c>
      <c r="L722" s="2" t="s">
        <v>2699</v>
      </c>
      <c r="M722" s="2" t="str">
        <f t="shared" si="14"/>
        <v>04</v>
      </c>
      <c r="N722" s="2" t="s">
        <v>3022</v>
      </c>
      <c r="O722" s="2" t="s">
        <v>4373</v>
      </c>
      <c r="P722" s="2" t="s">
        <v>4379</v>
      </c>
    </row>
    <row r="723" spans="1:16">
      <c r="A723" s="4">
        <v>46248.681932870371</v>
      </c>
      <c r="B723" s="2" t="s">
        <v>3246</v>
      </c>
      <c r="C723" s="2" t="s">
        <v>512</v>
      </c>
      <c r="D723" s="2" t="s">
        <v>292</v>
      </c>
      <c r="E723" s="2">
        <v>36</v>
      </c>
      <c r="F723" s="2"/>
      <c r="G723" s="2">
        <v>36</v>
      </c>
      <c r="H723" s="2" t="s">
        <v>3373</v>
      </c>
      <c r="I723" s="2" t="s">
        <v>695</v>
      </c>
      <c r="J723" s="2" t="s">
        <v>2537</v>
      </c>
      <c r="K723" s="2" t="s">
        <v>1855</v>
      </c>
      <c r="L723" s="2" t="s">
        <v>2699</v>
      </c>
      <c r="M723" s="2" t="str">
        <f t="shared" si="14"/>
        <v>04</v>
      </c>
      <c r="N723" s="2" t="s">
        <v>1766</v>
      </c>
      <c r="O723" s="2" t="s">
        <v>4373</v>
      </c>
      <c r="P723" s="2" t="s">
        <v>4379</v>
      </c>
    </row>
    <row r="724" spans="1:16">
      <c r="A724" s="4">
        <v>46248.681712962964</v>
      </c>
      <c r="B724" s="2" t="s">
        <v>2649</v>
      </c>
      <c r="C724" s="2" t="s">
        <v>512</v>
      </c>
      <c r="D724" s="2" t="s">
        <v>292</v>
      </c>
      <c r="E724" s="2">
        <v>36</v>
      </c>
      <c r="F724" s="2"/>
      <c r="G724" s="2">
        <v>36</v>
      </c>
      <c r="H724" s="2" t="s">
        <v>3373</v>
      </c>
      <c r="I724" s="2" t="s">
        <v>695</v>
      </c>
      <c r="J724" s="2" t="s">
        <v>2537</v>
      </c>
      <c r="K724" s="2" t="s">
        <v>1855</v>
      </c>
      <c r="L724" s="2" t="s">
        <v>2699</v>
      </c>
      <c r="M724" s="2" t="str">
        <f t="shared" si="14"/>
        <v>04</v>
      </c>
      <c r="N724" s="2" t="s">
        <v>200</v>
      </c>
      <c r="O724" s="2" t="s">
        <v>4373</v>
      </c>
      <c r="P724" s="2" t="s">
        <v>4379</v>
      </c>
    </row>
    <row r="725" spans="1:16">
      <c r="A725" s="4">
        <v>46248.679386574076</v>
      </c>
      <c r="B725" s="2" t="s">
        <v>700</v>
      </c>
      <c r="C725" s="2" t="s">
        <v>512</v>
      </c>
      <c r="D725" s="2" t="s">
        <v>292</v>
      </c>
      <c r="E725" s="2">
        <v>36</v>
      </c>
      <c r="F725" s="2"/>
      <c r="G725" s="2">
        <v>36</v>
      </c>
      <c r="H725" s="2" t="s">
        <v>3373</v>
      </c>
      <c r="I725" s="2" t="s">
        <v>695</v>
      </c>
      <c r="J725" s="2" t="s">
        <v>2537</v>
      </c>
      <c r="K725" s="2" t="s">
        <v>1855</v>
      </c>
      <c r="L725" s="2" t="s">
        <v>2699</v>
      </c>
      <c r="M725" s="2" t="str">
        <f t="shared" si="14"/>
        <v>04</v>
      </c>
      <c r="N725" s="2" t="s">
        <v>1089</v>
      </c>
      <c r="O725" s="2" t="s">
        <v>4373</v>
      </c>
      <c r="P725" s="2" t="s">
        <v>4379</v>
      </c>
    </row>
    <row r="726" spans="1:16">
      <c r="A726" s="4">
        <v>46248.679097222222</v>
      </c>
      <c r="B726" s="2" t="s">
        <v>4275</v>
      </c>
      <c r="C726" s="2" t="s">
        <v>512</v>
      </c>
      <c r="D726" s="2" t="s">
        <v>292</v>
      </c>
      <c r="E726" s="2">
        <v>36</v>
      </c>
      <c r="F726" s="2"/>
      <c r="G726" s="2">
        <v>36</v>
      </c>
      <c r="H726" s="2" t="s">
        <v>3373</v>
      </c>
      <c r="I726" s="2" t="s">
        <v>695</v>
      </c>
      <c r="J726" s="2" t="s">
        <v>2537</v>
      </c>
      <c r="K726" s="2" t="s">
        <v>1855</v>
      </c>
      <c r="L726" s="2" t="s">
        <v>2699</v>
      </c>
      <c r="M726" s="2" t="str">
        <f t="shared" si="14"/>
        <v>04</v>
      </c>
      <c r="N726" s="2" t="s">
        <v>54</v>
      </c>
      <c r="O726" s="2" t="s">
        <v>4373</v>
      </c>
      <c r="P726" s="2" t="s">
        <v>4379</v>
      </c>
    </row>
    <row r="727" spans="1:16">
      <c r="A727" s="4">
        <v>46248.678414351853</v>
      </c>
      <c r="B727" s="2" t="s">
        <v>2540</v>
      </c>
      <c r="C727" s="2" t="s">
        <v>512</v>
      </c>
      <c r="D727" s="2" t="s">
        <v>292</v>
      </c>
      <c r="E727" s="2">
        <v>36</v>
      </c>
      <c r="F727" s="2"/>
      <c r="G727" s="2">
        <v>36</v>
      </c>
      <c r="H727" s="2" t="s">
        <v>3373</v>
      </c>
      <c r="I727" s="2" t="s">
        <v>695</v>
      </c>
      <c r="J727" s="2" t="s">
        <v>2537</v>
      </c>
      <c r="K727" s="2" t="s">
        <v>1855</v>
      </c>
      <c r="L727" s="2" t="s">
        <v>2699</v>
      </c>
      <c r="M727" s="2" t="str">
        <f t="shared" si="14"/>
        <v>04</v>
      </c>
      <c r="N727" s="2" t="s">
        <v>632</v>
      </c>
      <c r="O727" s="2" t="s">
        <v>4373</v>
      </c>
      <c r="P727" s="2" t="s">
        <v>4379</v>
      </c>
    </row>
    <row r="728" spans="1:16">
      <c r="A728" s="4">
        <v>46248.588414351849</v>
      </c>
      <c r="B728" s="2" t="s">
        <v>1082</v>
      </c>
      <c r="C728" s="2" t="s">
        <v>512</v>
      </c>
      <c r="D728" s="2" t="s">
        <v>292</v>
      </c>
      <c r="E728" s="2">
        <v>36</v>
      </c>
      <c r="F728" s="2"/>
      <c r="G728" s="2">
        <v>36</v>
      </c>
      <c r="H728" s="2" t="s">
        <v>1539</v>
      </c>
      <c r="I728" s="2" t="s">
        <v>695</v>
      </c>
      <c r="J728" s="2" t="s">
        <v>2537</v>
      </c>
      <c r="K728" s="2" t="s">
        <v>1855</v>
      </c>
      <c r="L728" s="2" t="s">
        <v>3493</v>
      </c>
      <c r="M728" s="2" t="str">
        <f t="shared" si="14"/>
        <v>03</v>
      </c>
      <c r="N728" s="2" t="s">
        <v>2355</v>
      </c>
      <c r="O728" s="2" t="s">
        <v>4373</v>
      </c>
      <c r="P728" s="2" t="s">
        <v>4379</v>
      </c>
    </row>
    <row r="729" spans="1:16">
      <c r="A729" s="4">
        <v>46248.582488425927</v>
      </c>
      <c r="B729" s="2" t="s">
        <v>1801</v>
      </c>
      <c r="C729" s="2" t="s">
        <v>512</v>
      </c>
      <c r="D729" s="2" t="s">
        <v>292</v>
      </c>
      <c r="E729" s="2">
        <v>36</v>
      </c>
      <c r="F729" s="2"/>
      <c r="G729" s="2">
        <v>36</v>
      </c>
      <c r="H729" s="2" t="s">
        <v>1539</v>
      </c>
      <c r="I729" s="2" t="s">
        <v>695</v>
      </c>
      <c r="J729" s="2" t="s">
        <v>2537</v>
      </c>
      <c r="K729" s="2" t="s">
        <v>1855</v>
      </c>
      <c r="L729" s="2" t="s">
        <v>3493</v>
      </c>
      <c r="M729" s="2" t="str">
        <f t="shared" si="14"/>
        <v>03</v>
      </c>
      <c r="N729" s="2" t="s">
        <v>1788</v>
      </c>
      <c r="O729" s="2" t="s">
        <v>4373</v>
      </c>
      <c r="P729" s="2" t="s">
        <v>4379</v>
      </c>
    </row>
    <row r="730" spans="1:16">
      <c r="A730" s="4">
        <v>46248.582048611112</v>
      </c>
      <c r="B730" s="2" t="s">
        <v>934</v>
      </c>
      <c r="C730" s="2" t="s">
        <v>512</v>
      </c>
      <c r="D730" s="2" t="s">
        <v>292</v>
      </c>
      <c r="E730" s="2">
        <v>36</v>
      </c>
      <c r="F730" s="2"/>
      <c r="G730" s="2">
        <v>36</v>
      </c>
      <c r="H730" s="2" t="s">
        <v>1539</v>
      </c>
      <c r="I730" s="2" t="s">
        <v>695</v>
      </c>
      <c r="J730" s="2" t="s">
        <v>2537</v>
      </c>
      <c r="K730" s="2" t="s">
        <v>1855</v>
      </c>
      <c r="L730" s="2" t="s">
        <v>3493</v>
      </c>
      <c r="M730" s="2" t="str">
        <f t="shared" si="14"/>
        <v>03</v>
      </c>
      <c r="N730" s="2" t="s">
        <v>3097</v>
      </c>
      <c r="O730" s="2" t="s">
        <v>4373</v>
      </c>
      <c r="P730" s="2" t="s">
        <v>4379</v>
      </c>
    </row>
    <row r="731" spans="1:16">
      <c r="A731" s="4">
        <v>46248.58116898148</v>
      </c>
      <c r="B731" s="2" t="s">
        <v>2027</v>
      </c>
      <c r="C731" s="2" t="s">
        <v>512</v>
      </c>
      <c r="D731" s="2" t="s">
        <v>292</v>
      </c>
      <c r="E731" s="2">
        <v>36</v>
      </c>
      <c r="F731" s="2"/>
      <c r="G731" s="2">
        <v>36</v>
      </c>
      <c r="H731" s="2" t="s">
        <v>1539</v>
      </c>
      <c r="I731" s="2" t="s">
        <v>695</v>
      </c>
      <c r="J731" s="2" t="s">
        <v>2537</v>
      </c>
      <c r="K731" s="2" t="s">
        <v>1855</v>
      </c>
      <c r="L731" s="2" t="s">
        <v>3493</v>
      </c>
      <c r="M731" s="2" t="str">
        <f t="shared" si="14"/>
        <v>03</v>
      </c>
      <c r="N731" s="2" t="s">
        <v>196</v>
      </c>
      <c r="O731" s="2" t="s">
        <v>4373</v>
      </c>
      <c r="P731" s="2" t="s">
        <v>4379</v>
      </c>
    </row>
    <row r="732" spans="1:16">
      <c r="A732" s="4">
        <v>46248.580196759256</v>
      </c>
      <c r="B732" s="2" t="s">
        <v>2425</v>
      </c>
      <c r="C732" s="2" t="s">
        <v>512</v>
      </c>
      <c r="D732" s="2" t="s">
        <v>292</v>
      </c>
      <c r="E732" s="2">
        <v>36</v>
      </c>
      <c r="F732" s="2"/>
      <c r="G732" s="2">
        <v>36</v>
      </c>
      <c r="H732" s="2" t="s">
        <v>1539</v>
      </c>
      <c r="I732" s="2" t="s">
        <v>695</v>
      </c>
      <c r="J732" s="2" t="s">
        <v>2537</v>
      </c>
      <c r="K732" s="2" t="s">
        <v>1855</v>
      </c>
      <c r="L732" s="2" t="s">
        <v>3493</v>
      </c>
      <c r="M732" s="2" t="str">
        <f t="shared" si="14"/>
        <v>03</v>
      </c>
      <c r="N732" s="2" t="s">
        <v>2654</v>
      </c>
      <c r="O732" s="2" t="s">
        <v>4373</v>
      </c>
      <c r="P732" s="2" t="s">
        <v>4379</v>
      </c>
    </row>
    <row r="733" spans="1:16">
      <c r="A733" s="4">
        <v>46248.580034722225</v>
      </c>
      <c r="B733" s="2" t="s">
        <v>3419</v>
      </c>
      <c r="C733" s="2" t="s">
        <v>512</v>
      </c>
      <c r="D733" s="2" t="s">
        <v>292</v>
      </c>
      <c r="E733" s="2">
        <v>36</v>
      </c>
      <c r="F733" s="2"/>
      <c r="G733" s="2">
        <v>36</v>
      </c>
      <c r="H733" s="2" t="s">
        <v>1539</v>
      </c>
      <c r="I733" s="2" t="s">
        <v>695</v>
      </c>
      <c r="J733" s="2" t="s">
        <v>2537</v>
      </c>
      <c r="K733" s="2" t="s">
        <v>1855</v>
      </c>
      <c r="L733" s="2" t="s">
        <v>3493</v>
      </c>
      <c r="M733" s="2" t="str">
        <f t="shared" si="14"/>
        <v>03</v>
      </c>
      <c r="N733" s="2" t="s">
        <v>183</v>
      </c>
      <c r="O733" s="2" t="s">
        <v>4373</v>
      </c>
      <c r="P733" s="2" t="s">
        <v>4379</v>
      </c>
    </row>
    <row r="734" spans="1:16">
      <c r="A734" s="4">
        <v>46248.579722222225</v>
      </c>
      <c r="B734" s="2" t="s">
        <v>4106</v>
      </c>
      <c r="C734" s="2" t="s">
        <v>512</v>
      </c>
      <c r="D734" s="2" t="s">
        <v>292</v>
      </c>
      <c r="E734" s="2">
        <v>36</v>
      </c>
      <c r="F734" s="2"/>
      <c r="G734" s="2">
        <v>36</v>
      </c>
      <c r="H734" s="2" t="s">
        <v>1539</v>
      </c>
      <c r="I734" s="2" t="s">
        <v>695</v>
      </c>
      <c r="J734" s="2" t="s">
        <v>2537</v>
      </c>
      <c r="K734" s="2" t="s">
        <v>1855</v>
      </c>
      <c r="L734" s="2" t="s">
        <v>3493</v>
      </c>
      <c r="M734" s="2" t="str">
        <f t="shared" si="14"/>
        <v>03</v>
      </c>
      <c r="N734" s="2" t="s">
        <v>4058</v>
      </c>
      <c r="O734" s="2" t="s">
        <v>4373</v>
      </c>
      <c r="P734" s="2" t="s">
        <v>4379</v>
      </c>
    </row>
    <row r="735" spans="1:16">
      <c r="A735" s="4">
        <v>46248.579594907409</v>
      </c>
      <c r="B735" s="2" t="s">
        <v>1516</v>
      </c>
      <c r="C735" s="2" t="s">
        <v>512</v>
      </c>
      <c r="D735" s="2" t="s">
        <v>292</v>
      </c>
      <c r="E735" s="2">
        <v>36</v>
      </c>
      <c r="F735" s="2"/>
      <c r="G735" s="2">
        <v>36</v>
      </c>
      <c r="H735" s="2" t="s">
        <v>1539</v>
      </c>
      <c r="I735" s="2" t="s">
        <v>695</v>
      </c>
      <c r="J735" s="2" t="s">
        <v>2537</v>
      </c>
      <c r="K735" s="2" t="s">
        <v>1855</v>
      </c>
      <c r="L735" s="2" t="s">
        <v>3493</v>
      </c>
      <c r="M735" s="2" t="str">
        <f t="shared" si="14"/>
        <v>03</v>
      </c>
      <c r="N735" s="2" t="s">
        <v>2796</v>
      </c>
      <c r="O735" s="2" t="s">
        <v>4373</v>
      </c>
      <c r="P735" s="2" t="s">
        <v>4379</v>
      </c>
    </row>
    <row r="736" spans="1:16">
      <c r="A736" s="4">
        <v>46248.578923611109</v>
      </c>
      <c r="B736" s="2" t="s">
        <v>4148</v>
      </c>
      <c r="C736" s="2" t="s">
        <v>512</v>
      </c>
      <c r="D736" s="2" t="s">
        <v>292</v>
      </c>
      <c r="E736" s="2">
        <v>36</v>
      </c>
      <c r="F736" s="2"/>
      <c r="G736" s="2">
        <v>36</v>
      </c>
      <c r="H736" s="2" t="s">
        <v>1539</v>
      </c>
      <c r="I736" s="2" t="s">
        <v>695</v>
      </c>
      <c r="J736" s="2" t="s">
        <v>2537</v>
      </c>
      <c r="K736" s="2" t="s">
        <v>1855</v>
      </c>
      <c r="L736" s="2" t="s">
        <v>3493</v>
      </c>
      <c r="M736" s="2" t="str">
        <f t="shared" si="14"/>
        <v>03</v>
      </c>
      <c r="N736" s="2" t="s">
        <v>2937</v>
      </c>
      <c r="O736" s="2" t="s">
        <v>4373</v>
      </c>
      <c r="P736" s="2" t="s">
        <v>4379</v>
      </c>
    </row>
    <row r="737" spans="1:16">
      <c r="A737" s="4">
        <v>46248.578472222223</v>
      </c>
      <c r="B737" s="2" t="s">
        <v>1062</v>
      </c>
      <c r="C737" s="2" t="s">
        <v>512</v>
      </c>
      <c r="D737" s="2" t="s">
        <v>292</v>
      </c>
      <c r="E737" s="2">
        <v>36</v>
      </c>
      <c r="F737" s="2"/>
      <c r="G737" s="2">
        <v>36</v>
      </c>
      <c r="H737" s="2" t="s">
        <v>1539</v>
      </c>
      <c r="I737" s="2" t="s">
        <v>695</v>
      </c>
      <c r="J737" s="2" t="s">
        <v>2537</v>
      </c>
      <c r="K737" s="2" t="s">
        <v>1855</v>
      </c>
      <c r="L737" s="2" t="s">
        <v>3493</v>
      </c>
      <c r="M737" s="2" t="str">
        <f t="shared" si="14"/>
        <v>03</v>
      </c>
      <c r="N737" s="2" t="s">
        <v>3786</v>
      </c>
      <c r="O737" s="2" t="s">
        <v>4373</v>
      </c>
      <c r="P737" s="2" t="s">
        <v>4379</v>
      </c>
    </row>
    <row r="738" spans="1:16">
      <c r="A738" s="4">
        <v>46248.578125</v>
      </c>
      <c r="B738" s="2" t="s">
        <v>423</v>
      </c>
      <c r="C738" s="2" t="s">
        <v>512</v>
      </c>
      <c r="D738" s="2" t="s">
        <v>292</v>
      </c>
      <c r="E738" s="2">
        <v>36</v>
      </c>
      <c r="F738" s="2"/>
      <c r="G738" s="2">
        <v>36</v>
      </c>
      <c r="H738" s="2" t="s">
        <v>1539</v>
      </c>
      <c r="I738" s="2" t="s">
        <v>695</v>
      </c>
      <c r="J738" s="2" t="s">
        <v>2537</v>
      </c>
      <c r="K738" s="2" t="s">
        <v>1855</v>
      </c>
      <c r="L738" s="2" t="s">
        <v>3493</v>
      </c>
      <c r="M738" s="2" t="str">
        <f t="shared" si="14"/>
        <v>03</v>
      </c>
      <c r="N738" s="2" t="s">
        <v>4019</v>
      </c>
      <c r="O738" s="2" t="s">
        <v>4373</v>
      </c>
      <c r="P738" s="2" t="s">
        <v>4379</v>
      </c>
    </row>
    <row r="739" spans="1:16">
      <c r="A739" s="4">
        <v>46248.578009259261</v>
      </c>
      <c r="B739" s="2" t="s">
        <v>3580</v>
      </c>
      <c r="C739" s="2" t="s">
        <v>512</v>
      </c>
      <c r="D739" s="2" t="s">
        <v>292</v>
      </c>
      <c r="E739" s="2">
        <v>36</v>
      </c>
      <c r="F739" s="2"/>
      <c r="G739" s="2">
        <v>36</v>
      </c>
      <c r="H739" s="2" t="s">
        <v>1539</v>
      </c>
      <c r="I739" s="2" t="s">
        <v>695</v>
      </c>
      <c r="J739" s="2" t="s">
        <v>2537</v>
      </c>
      <c r="K739" s="2" t="s">
        <v>1855</v>
      </c>
      <c r="L739" s="2" t="s">
        <v>3493</v>
      </c>
      <c r="M739" s="2" t="str">
        <f t="shared" si="14"/>
        <v>03</v>
      </c>
      <c r="N739" s="2" t="s">
        <v>2129</v>
      </c>
      <c r="O739" s="2" t="s">
        <v>4373</v>
      </c>
      <c r="P739" s="2" t="s">
        <v>4379</v>
      </c>
    </row>
    <row r="740" spans="1:16">
      <c r="A740" s="4">
        <v>46248.577256944445</v>
      </c>
      <c r="B740" s="2" t="s">
        <v>1671</v>
      </c>
      <c r="C740" s="2" t="s">
        <v>512</v>
      </c>
      <c r="D740" s="2" t="s">
        <v>292</v>
      </c>
      <c r="E740" s="2">
        <v>36</v>
      </c>
      <c r="F740" s="2"/>
      <c r="G740" s="2">
        <v>36</v>
      </c>
      <c r="H740" s="2" t="s">
        <v>1539</v>
      </c>
      <c r="I740" s="2" t="s">
        <v>695</v>
      </c>
      <c r="J740" s="2" t="s">
        <v>2537</v>
      </c>
      <c r="K740" s="2" t="s">
        <v>1855</v>
      </c>
      <c r="L740" s="2" t="s">
        <v>3493</v>
      </c>
      <c r="M740" s="2" t="str">
        <f t="shared" si="14"/>
        <v>03</v>
      </c>
      <c r="N740" s="2" t="s">
        <v>3799</v>
      </c>
      <c r="O740" s="2" t="s">
        <v>4373</v>
      </c>
      <c r="P740" s="2" t="s">
        <v>4379</v>
      </c>
    </row>
    <row r="741" spans="1:16">
      <c r="A741" s="4">
        <v>46248.576817129629</v>
      </c>
      <c r="B741" s="2" t="s">
        <v>2871</v>
      </c>
      <c r="C741" s="2" t="s">
        <v>512</v>
      </c>
      <c r="D741" s="2" t="s">
        <v>292</v>
      </c>
      <c r="E741" s="2">
        <v>36</v>
      </c>
      <c r="F741" s="2"/>
      <c r="G741" s="2">
        <v>36</v>
      </c>
      <c r="H741" s="2" t="s">
        <v>1539</v>
      </c>
      <c r="I741" s="2" t="s">
        <v>695</v>
      </c>
      <c r="J741" s="2" t="s">
        <v>2537</v>
      </c>
      <c r="K741" s="2" t="s">
        <v>1855</v>
      </c>
      <c r="L741" s="2" t="s">
        <v>3493</v>
      </c>
      <c r="M741" s="2" t="str">
        <f t="shared" si="14"/>
        <v>03</v>
      </c>
      <c r="N741" s="2" t="s">
        <v>469</v>
      </c>
      <c r="O741" s="2" t="s">
        <v>4373</v>
      </c>
      <c r="P741" s="2" t="s">
        <v>4379</v>
      </c>
    </row>
    <row r="742" spans="1:16">
      <c r="A742" s="4">
        <v>46248.576516203706</v>
      </c>
      <c r="B742" s="2" t="s">
        <v>2067</v>
      </c>
      <c r="C742" s="2" t="s">
        <v>512</v>
      </c>
      <c r="D742" s="2" t="s">
        <v>292</v>
      </c>
      <c r="E742" s="2">
        <v>36</v>
      </c>
      <c r="F742" s="2"/>
      <c r="G742" s="2">
        <v>36</v>
      </c>
      <c r="H742" s="2" t="s">
        <v>1539</v>
      </c>
      <c r="I742" s="2" t="s">
        <v>695</v>
      </c>
      <c r="J742" s="2" t="s">
        <v>2537</v>
      </c>
      <c r="K742" s="2" t="s">
        <v>1855</v>
      </c>
      <c r="L742" s="2" t="s">
        <v>3493</v>
      </c>
      <c r="M742" s="2" t="str">
        <f t="shared" si="14"/>
        <v>03</v>
      </c>
      <c r="N742" s="2" t="s">
        <v>1048</v>
      </c>
      <c r="O742" s="2" t="s">
        <v>4373</v>
      </c>
      <c r="P742" s="2" t="s">
        <v>4379</v>
      </c>
    </row>
    <row r="743" spans="1:16">
      <c r="A743" s="4">
        <v>46248.576099537036</v>
      </c>
      <c r="B743" s="2" t="s">
        <v>2251</v>
      </c>
      <c r="C743" s="2" t="s">
        <v>512</v>
      </c>
      <c r="D743" s="2" t="s">
        <v>292</v>
      </c>
      <c r="E743" s="2">
        <v>36</v>
      </c>
      <c r="F743" s="2"/>
      <c r="G743" s="2">
        <v>36</v>
      </c>
      <c r="H743" s="2" t="s">
        <v>1539</v>
      </c>
      <c r="I743" s="2" t="s">
        <v>695</v>
      </c>
      <c r="J743" s="2" t="s">
        <v>2537</v>
      </c>
      <c r="K743" s="2" t="s">
        <v>1855</v>
      </c>
      <c r="L743" s="2" t="s">
        <v>3493</v>
      </c>
      <c r="M743" s="2" t="str">
        <f t="shared" si="14"/>
        <v>03</v>
      </c>
      <c r="N743" s="2" t="s">
        <v>4075</v>
      </c>
      <c r="O743" s="2" t="s">
        <v>4373</v>
      </c>
      <c r="P743" s="2" t="s">
        <v>4379</v>
      </c>
    </row>
    <row r="744" spans="1:16">
      <c r="A744" s="4">
        <v>46248.576053240744</v>
      </c>
      <c r="B744" s="2" t="s">
        <v>2095</v>
      </c>
      <c r="C744" s="2" t="s">
        <v>512</v>
      </c>
      <c r="D744" s="2" t="s">
        <v>292</v>
      </c>
      <c r="E744" s="2">
        <v>36</v>
      </c>
      <c r="F744" s="2"/>
      <c r="G744" s="2">
        <v>36</v>
      </c>
      <c r="H744" s="2" t="s">
        <v>1539</v>
      </c>
      <c r="I744" s="2" t="s">
        <v>695</v>
      </c>
      <c r="J744" s="2" t="s">
        <v>2537</v>
      </c>
      <c r="K744" s="2" t="s">
        <v>1855</v>
      </c>
      <c r="L744" s="2" t="s">
        <v>3493</v>
      </c>
      <c r="M744" s="2" t="str">
        <f t="shared" si="14"/>
        <v>03</v>
      </c>
      <c r="N744" s="2" t="s">
        <v>2393</v>
      </c>
      <c r="O744" s="2" t="s">
        <v>4373</v>
      </c>
      <c r="P744" s="2" t="s">
        <v>4379</v>
      </c>
    </row>
    <row r="745" spans="1:16">
      <c r="A745" s="4">
        <v>46248.575277777774</v>
      </c>
      <c r="B745" s="2" t="s">
        <v>3846</v>
      </c>
      <c r="C745" s="2" t="s">
        <v>512</v>
      </c>
      <c r="D745" s="2" t="s">
        <v>292</v>
      </c>
      <c r="E745" s="2">
        <v>36</v>
      </c>
      <c r="F745" s="2"/>
      <c r="G745" s="2">
        <v>36</v>
      </c>
      <c r="H745" s="2" t="s">
        <v>1539</v>
      </c>
      <c r="I745" s="2" t="s">
        <v>695</v>
      </c>
      <c r="J745" s="2" t="s">
        <v>2537</v>
      </c>
      <c r="K745" s="2" t="s">
        <v>1855</v>
      </c>
      <c r="L745" s="2" t="s">
        <v>3493</v>
      </c>
      <c r="M745" s="2" t="str">
        <f t="shared" si="14"/>
        <v>03</v>
      </c>
      <c r="N745" s="2" t="s">
        <v>1169</v>
      </c>
      <c r="O745" s="2" t="s">
        <v>4373</v>
      </c>
      <c r="P745" s="2" t="s">
        <v>4379</v>
      </c>
    </row>
    <row r="746" spans="1:16">
      <c r="A746" s="4">
        <v>46248.57471064815</v>
      </c>
      <c r="B746" s="2" t="s">
        <v>2836</v>
      </c>
      <c r="C746" s="2" t="s">
        <v>512</v>
      </c>
      <c r="D746" s="2" t="s">
        <v>292</v>
      </c>
      <c r="E746" s="2">
        <v>36</v>
      </c>
      <c r="F746" s="2"/>
      <c r="G746" s="2">
        <v>36</v>
      </c>
      <c r="H746" s="2" t="s">
        <v>1539</v>
      </c>
      <c r="I746" s="2" t="s">
        <v>695</v>
      </c>
      <c r="J746" s="2" t="s">
        <v>2537</v>
      </c>
      <c r="K746" s="2" t="s">
        <v>1855</v>
      </c>
      <c r="L746" s="2" t="s">
        <v>3493</v>
      </c>
      <c r="M746" s="2" t="str">
        <f t="shared" si="14"/>
        <v>03</v>
      </c>
      <c r="N746" s="2" t="s">
        <v>4110</v>
      </c>
      <c r="O746" s="2" t="s">
        <v>4373</v>
      </c>
      <c r="P746" s="2" t="s">
        <v>4379</v>
      </c>
    </row>
    <row r="747" spans="1:16">
      <c r="A747" s="4">
        <v>46248.574131944442</v>
      </c>
      <c r="B747" s="2" t="s">
        <v>3907</v>
      </c>
      <c r="C747" s="2" t="s">
        <v>512</v>
      </c>
      <c r="D747" s="2" t="s">
        <v>292</v>
      </c>
      <c r="E747" s="2">
        <v>36</v>
      </c>
      <c r="F747" s="2"/>
      <c r="G747" s="2">
        <v>36</v>
      </c>
      <c r="H747" s="2" t="s">
        <v>1539</v>
      </c>
      <c r="I747" s="2" t="s">
        <v>695</v>
      </c>
      <c r="J747" s="2" t="s">
        <v>2537</v>
      </c>
      <c r="K747" s="2" t="s">
        <v>1855</v>
      </c>
      <c r="L747" s="2" t="s">
        <v>3493</v>
      </c>
      <c r="M747" s="2" t="str">
        <f t="shared" si="14"/>
        <v>03</v>
      </c>
      <c r="N747" s="2" t="s">
        <v>3753</v>
      </c>
      <c r="O747" s="2" t="s">
        <v>4373</v>
      </c>
      <c r="P747" s="2" t="s">
        <v>4379</v>
      </c>
    </row>
    <row r="748" spans="1:16">
      <c r="A748" s="4">
        <v>46248.57408564815</v>
      </c>
      <c r="B748" s="2" t="s">
        <v>664</v>
      </c>
      <c r="C748" s="2" t="s">
        <v>512</v>
      </c>
      <c r="D748" s="2" t="s">
        <v>292</v>
      </c>
      <c r="E748" s="2">
        <v>36</v>
      </c>
      <c r="F748" s="2"/>
      <c r="G748" s="2">
        <v>36</v>
      </c>
      <c r="H748" s="2" t="s">
        <v>1539</v>
      </c>
      <c r="I748" s="2" t="s">
        <v>695</v>
      </c>
      <c r="J748" s="2" t="s">
        <v>2537</v>
      </c>
      <c r="K748" s="2" t="s">
        <v>1855</v>
      </c>
      <c r="L748" s="2" t="s">
        <v>3493</v>
      </c>
      <c r="M748" s="2" t="str">
        <f t="shared" si="14"/>
        <v>03</v>
      </c>
      <c r="N748" s="2" t="s">
        <v>2930</v>
      </c>
      <c r="O748" s="2" t="s">
        <v>4373</v>
      </c>
      <c r="P748" s="2" t="s">
        <v>4379</v>
      </c>
    </row>
    <row r="749" spans="1:16">
      <c r="A749" s="4">
        <v>46248.573703703703</v>
      </c>
      <c r="B749" s="2" t="s">
        <v>3475</v>
      </c>
      <c r="C749" s="2" t="s">
        <v>512</v>
      </c>
      <c r="D749" s="2" t="s">
        <v>292</v>
      </c>
      <c r="E749" s="2">
        <v>36</v>
      </c>
      <c r="F749" s="2"/>
      <c r="G749" s="2">
        <v>36</v>
      </c>
      <c r="H749" s="2" t="s">
        <v>1539</v>
      </c>
      <c r="I749" s="2" t="s">
        <v>695</v>
      </c>
      <c r="J749" s="2" t="s">
        <v>2537</v>
      </c>
      <c r="K749" s="2" t="s">
        <v>1855</v>
      </c>
      <c r="L749" s="2" t="s">
        <v>3493</v>
      </c>
      <c r="M749" s="2" t="str">
        <f t="shared" si="14"/>
        <v>03</v>
      </c>
      <c r="N749" s="2" t="s">
        <v>2470</v>
      </c>
      <c r="O749" s="2" t="s">
        <v>4373</v>
      </c>
      <c r="P749" s="2" t="s">
        <v>4379</v>
      </c>
    </row>
    <row r="750" spans="1:16">
      <c r="A750" s="4">
        <v>46248.573078703703</v>
      </c>
      <c r="B750" s="2" t="s">
        <v>1867</v>
      </c>
      <c r="C750" s="2" t="s">
        <v>512</v>
      </c>
      <c r="D750" s="2" t="s">
        <v>292</v>
      </c>
      <c r="E750" s="2">
        <v>36</v>
      </c>
      <c r="F750" s="2"/>
      <c r="G750" s="2">
        <v>36</v>
      </c>
      <c r="H750" s="2" t="s">
        <v>1539</v>
      </c>
      <c r="I750" s="2" t="s">
        <v>695</v>
      </c>
      <c r="J750" s="2" t="s">
        <v>2537</v>
      </c>
      <c r="K750" s="2" t="s">
        <v>1855</v>
      </c>
      <c r="L750" s="2" t="s">
        <v>3493</v>
      </c>
      <c r="M750" s="2" t="str">
        <f t="shared" si="14"/>
        <v>03</v>
      </c>
      <c r="N750" s="2" t="s">
        <v>2856</v>
      </c>
      <c r="O750" s="2" t="s">
        <v>4373</v>
      </c>
      <c r="P750" s="2" t="s">
        <v>4379</v>
      </c>
    </row>
    <row r="751" spans="1:16">
      <c r="A751" s="4">
        <v>46248.571701388886</v>
      </c>
      <c r="B751" s="2" t="s">
        <v>3297</v>
      </c>
      <c r="C751" s="2" t="s">
        <v>512</v>
      </c>
      <c r="D751" s="2" t="s">
        <v>292</v>
      </c>
      <c r="E751" s="2">
        <v>36</v>
      </c>
      <c r="F751" s="2"/>
      <c r="G751" s="2">
        <v>36</v>
      </c>
      <c r="H751" s="2" t="s">
        <v>1539</v>
      </c>
      <c r="I751" s="2" t="s">
        <v>695</v>
      </c>
      <c r="J751" s="2" t="s">
        <v>2537</v>
      </c>
      <c r="K751" s="2" t="s">
        <v>1855</v>
      </c>
      <c r="L751" s="2" t="s">
        <v>3493</v>
      </c>
      <c r="M751" s="2" t="str">
        <f t="shared" si="14"/>
        <v>03</v>
      </c>
      <c r="N751" s="2" t="s">
        <v>3399</v>
      </c>
      <c r="O751" s="2" t="s">
        <v>4373</v>
      </c>
      <c r="P751" s="2" t="s">
        <v>4379</v>
      </c>
    </row>
    <row r="752" spans="1:16">
      <c r="A752" s="4">
        <v>46248.57167824074</v>
      </c>
      <c r="B752" s="2" t="s">
        <v>3387</v>
      </c>
      <c r="C752" s="2" t="s">
        <v>512</v>
      </c>
      <c r="D752" s="2" t="s">
        <v>292</v>
      </c>
      <c r="E752" s="2">
        <v>36</v>
      </c>
      <c r="F752" s="2"/>
      <c r="G752" s="2">
        <v>36</v>
      </c>
      <c r="H752" s="2" t="s">
        <v>1539</v>
      </c>
      <c r="I752" s="2" t="s">
        <v>695</v>
      </c>
      <c r="J752" s="2" t="s">
        <v>2537</v>
      </c>
      <c r="K752" s="2" t="s">
        <v>1855</v>
      </c>
      <c r="L752" s="2" t="s">
        <v>3493</v>
      </c>
      <c r="M752" s="2" t="str">
        <f t="shared" si="14"/>
        <v>03</v>
      </c>
      <c r="N752" s="2" t="s">
        <v>1351</v>
      </c>
      <c r="O752" s="2" t="s">
        <v>4373</v>
      </c>
      <c r="P752" s="2" t="s">
        <v>4379</v>
      </c>
    </row>
    <row r="753" spans="1:16">
      <c r="A753" s="4">
        <v>46248.571076388886</v>
      </c>
      <c r="B753" s="2" t="s">
        <v>4167</v>
      </c>
      <c r="C753" s="2" t="s">
        <v>512</v>
      </c>
      <c r="D753" s="2" t="s">
        <v>292</v>
      </c>
      <c r="E753" s="2">
        <v>36</v>
      </c>
      <c r="F753" s="2"/>
      <c r="G753" s="2">
        <v>36</v>
      </c>
      <c r="H753" s="2" t="s">
        <v>1539</v>
      </c>
      <c r="I753" s="2" t="s">
        <v>695</v>
      </c>
      <c r="J753" s="2" t="s">
        <v>2537</v>
      </c>
      <c r="K753" s="2" t="s">
        <v>1855</v>
      </c>
      <c r="L753" s="2" t="s">
        <v>3493</v>
      </c>
      <c r="M753" s="2" t="str">
        <f t="shared" si="14"/>
        <v>03</v>
      </c>
      <c r="N753" s="2" t="s">
        <v>4046</v>
      </c>
      <c r="O753" s="2" t="s">
        <v>4373</v>
      </c>
      <c r="P753" s="2" t="s">
        <v>4379</v>
      </c>
    </row>
    <row r="754" spans="1:16">
      <c r="A754" s="4">
        <v>46248.571076388886</v>
      </c>
      <c r="B754" s="2" t="s">
        <v>1107</v>
      </c>
      <c r="C754" s="2" t="s">
        <v>512</v>
      </c>
      <c r="D754" s="2" t="s">
        <v>292</v>
      </c>
      <c r="E754" s="2">
        <v>36</v>
      </c>
      <c r="F754" s="2"/>
      <c r="G754" s="2">
        <v>36</v>
      </c>
      <c r="H754" s="2" t="s">
        <v>1539</v>
      </c>
      <c r="I754" s="2" t="s">
        <v>695</v>
      </c>
      <c r="J754" s="2" t="s">
        <v>2537</v>
      </c>
      <c r="K754" s="2" t="s">
        <v>1855</v>
      </c>
      <c r="L754" s="2" t="s">
        <v>3493</v>
      </c>
      <c r="M754" s="2" t="str">
        <f t="shared" si="14"/>
        <v>03</v>
      </c>
      <c r="N754" s="2" t="s">
        <v>1001</v>
      </c>
      <c r="O754" s="2" t="s">
        <v>4373</v>
      </c>
      <c r="P754" s="2" t="s">
        <v>4379</v>
      </c>
    </row>
    <row r="755" spans="1:16">
      <c r="A755" s="4">
        <v>46248.570763888885</v>
      </c>
      <c r="B755" s="2" t="s">
        <v>1579</v>
      </c>
      <c r="C755" s="2" t="s">
        <v>512</v>
      </c>
      <c r="D755" s="2" t="s">
        <v>292</v>
      </c>
      <c r="E755" s="2">
        <v>36</v>
      </c>
      <c r="F755" s="2"/>
      <c r="G755" s="2">
        <v>36</v>
      </c>
      <c r="H755" s="2" t="s">
        <v>1539</v>
      </c>
      <c r="I755" s="2" t="s">
        <v>695</v>
      </c>
      <c r="J755" s="2" t="s">
        <v>2537</v>
      </c>
      <c r="K755" s="2" t="s">
        <v>1855</v>
      </c>
      <c r="L755" s="2" t="s">
        <v>3493</v>
      </c>
      <c r="M755" s="2" t="str">
        <f t="shared" si="14"/>
        <v>03</v>
      </c>
      <c r="N755" s="2" t="s">
        <v>3463</v>
      </c>
      <c r="O755" s="2" t="s">
        <v>4373</v>
      </c>
      <c r="P755" s="2" t="s">
        <v>4379</v>
      </c>
    </row>
    <row r="756" spans="1:16">
      <c r="A756" s="4">
        <v>46248.570694444446</v>
      </c>
      <c r="B756" s="2" t="s">
        <v>668</v>
      </c>
      <c r="C756" s="2" t="s">
        <v>512</v>
      </c>
      <c r="D756" s="2" t="s">
        <v>292</v>
      </c>
      <c r="E756" s="2">
        <v>36</v>
      </c>
      <c r="F756" s="2"/>
      <c r="G756" s="2">
        <v>36</v>
      </c>
      <c r="H756" s="2" t="s">
        <v>1539</v>
      </c>
      <c r="I756" s="2" t="s">
        <v>695</v>
      </c>
      <c r="J756" s="2" t="s">
        <v>2537</v>
      </c>
      <c r="K756" s="2" t="s">
        <v>1855</v>
      </c>
      <c r="L756" s="2" t="s">
        <v>3493</v>
      </c>
      <c r="M756" s="2" t="str">
        <f t="shared" si="14"/>
        <v>03</v>
      </c>
      <c r="N756" s="2" t="s">
        <v>3286</v>
      </c>
      <c r="O756" s="2" t="s">
        <v>4373</v>
      </c>
      <c r="P756" s="2" t="s">
        <v>4379</v>
      </c>
    </row>
    <row r="757" spans="1:16">
      <c r="A757" s="4">
        <v>46248.569918981484</v>
      </c>
      <c r="B757" s="2" t="s">
        <v>492</v>
      </c>
      <c r="C757" s="2" t="s">
        <v>512</v>
      </c>
      <c r="D757" s="2" t="s">
        <v>292</v>
      </c>
      <c r="E757" s="2">
        <v>36</v>
      </c>
      <c r="F757" s="2"/>
      <c r="G757" s="2">
        <v>36</v>
      </c>
      <c r="H757" s="2" t="s">
        <v>1539</v>
      </c>
      <c r="I757" s="2" t="s">
        <v>695</v>
      </c>
      <c r="J757" s="2" t="s">
        <v>2537</v>
      </c>
      <c r="K757" s="2" t="s">
        <v>1855</v>
      </c>
      <c r="L757" s="2" t="s">
        <v>3493</v>
      </c>
      <c r="M757" s="2" t="str">
        <f t="shared" si="14"/>
        <v>03</v>
      </c>
      <c r="N757" s="2" t="s">
        <v>458</v>
      </c>
      <c r="O757" s="2" t="s">
        <v>4373</v>
      </c>
      <c r="P757" s="2" t="s">
        <v>4379</v>
      </c>
    </row>
    <row r="758" spans="1:16">
      <c r="A758" s="4">
        <v>46248.569826388892</v>
      </c>
      <c r="B758" s="2" t="s">
        <v>3365</v>
      </c>
      <c r="C758" s="2" t="s">
        <v>512</v>
      </c>
      <c r="D758" s="2" t="s">
        <v>292</v>
      </c>
      <c r="E758" s="2">
        <v>36</v>
      </c>
      <c r="F758" s="2"/>
      <c r="G758" s="2">
        <v>36</v>
      </c>
      <c r="H758" s="2" t="s">
        <v>1539</v>
      </c>
      <c r="I758" s="2" t="s">
        <v>695</v>
      </c>
      <c r="J758" s="2" t="s">
        <v>2537</v>
      </c>
      <c r="K758" s="2" t="s">
        <v>1855</v>
      </c>
      <c r="L758" s="2" t="s">
        <v>3493</v>
      </c>
      <c r="M758" s="2" t="str">
        <f t="shared" si="14"/>
        <v>03</v>
      </c>
      <c r="N758" s="2" t="s">
        <v>2760</v>
      </c>
      <c r="O758" s="2" t="s">
        <v>4373</v>
      </c>
      <c r="P758" s="2" t="s">
        <v>4379</v>
      </c>
    </row>
    <row r="759" spans="1:16">
      <c r="A759" s="4">
        <v>46248.56925925926</v>
      </c>
      <c r="B759" s="2" t="s">
        <v>2101</v>
      </c>
      <c r="C759" s="2" t="s">
        <v>512</v>
      </c>
      <c r="D759" s="2" t="s">
        <v>292</v>
      </c>
      <c r="E759" s="2">
        <v>36</v>
      </c>
      <c r="F759" s="2"/>
      <c r="G759" s="2">
        <v>36</v>
      </c>
      <c r="H759" s="2" t="s">
        <v>1539</v>
      </c>
      <c r="I759" s="2" t="s">
        <v>695</v>
      </c>
      <c r="J759" s="2" t="s">
        <v>2537</v>
      </c>
      <c r="K759" s="2" t="s">
        <v>1855</v>
      </c>
      <c r="L759" s="2" t="s">
        <v>3493</v>
      </c>
      <c r="M759" s="2" t="str">
        <f t="shared" si="14"/>
        <v>03</v>
      </c>
      <c r="N759" s="2" t="s">
        <v>2683</v>
      </c>
      <c r="O759" s="2" t="s">
        <v>4373</v>
      </c>
      <c r="P759" s="2" t="s">
        <v>4379</v>
      </c>
    </row>
    <row r="760" spans="1:16">
      <c r="A760" s="4">
        <v>46248.569178240738</v>
      </c>
      <c r="B760" s="2" t="s">
        <v>2015</v>
      </c>
      <c r="C760" s="2" t="s">
        <v>512</v>
      </c>
      <c r="D760" s="2" t="s">
        <v>292</v>
      </c>
      <c r="E760" s="2">
        <v>36</v>
      </c>
      <c r="F760" s="2"/>
      <c r="G760" s="2">
        <v>36</v>
      </c>
      <c r="H760" s="2" t="s">
        <v>1539</v>
      </c>
      <c r="I760" s="2" t="s">
        <v>695</v>
      </c>
      <c r="J760" s="2" t="s">
        <v>2537</v>
      </c>
      <c r="K760" s="2" t="s">
        <v>1855</v>
      </c>
      <c r="L760" s="2" t="s">
        <v>3493</v>
      </c>
      <c r="M760" s="2" t="str">
        <f t="shared" si="14"/>
        <v>03</v>
      </c>
      <c r="N760" s="2" t="s">
        <v>2610</v>
      </c>
      <c r="O760" s="2" t="s">
        <v>4373</v>
      </c>
      <c r="P760" s="2" t="s">
        <v>4379</v>
      </c>
    </row>
    <row r="761" spans="1:16">
      <c r="A761" s="4">
        <v>46248.568599537037</v>
      </c>
      <c r="B761" s="2" t="s">
        <v>1910</v>
      </c>
      <c r="C761" s="2" t="s">
        <v>512</v>
      </c>
      <c r="D761" s="2" t="s">
        <v>292</v>
      </c>
      <c r="E761" s="2">
        <v>36</v>
      </c>
      <c r="F761" s="2"/>
      <c r="G761" s="2">
        <v>36</v>
      </c>
      <c r="H761" s="2" t="s">
        <v>1539</v>
      </c>
      <c r="I761" s="2" t="s">
        <v>695</v>
      </c>
      <c r="J761" s="2" t="s">
        <v>2537</v>
      </c>
      <c r="K761" s="2" t="s">
        <v>1855</v>
      </c>
      <c r="L761" s="2" t="s">
        <v>3493</v>
      </c>
      <c r="M761" s="2" t="str">
        <f t="shared" si="14"/>
        <v>03</v>
      </c>
      <c r="N761" s="2" t="s">
        <v>2326</v>
      </c>
      <c r="O761" s="2" t="s">
        <v>4373</v>
      </c>
      <c r="P761" s="2" t="s">
        <v>4379</v>
      </c>
    </row>
    <row r="762" spans="1:16">
      <c r="A762" s="4">
        <v>46248.568576388891</v>
      </c>
      <c r="B762" s="2" t="s">
        <v>1811</v>
      </c>
      <c r="C762" s="2" t="s">
        <v>512</v>
      </c>
      <c r="D762" s="2" t="s">
        <v>292</v>
      </c>
      <c r="E762" s="2">
        <v>36</v>
      </c>
      <c r="F762" s="2"/>
      <c r="G762" s="2">
        <v>36</v>
      </c>
      <c r="H762" s="2" t="s">
        <v>1539</v>
      </c>
      <c r="I762" s="2" t="s">
        <v>695</v>
      </c>
      <c r="J762" s="2" t="s">
        <v>2537</v>
      </c>
      <c r="K762" s="2" t="s">
        <v>1855</v>
      </c>
      <c r="L762" s="2" t="s">
        <v>3493</v>
      </c>
      <c r="M762" s="2" t="str">
        <f t="shared" si="14"/>
        <v>03</v>
      </c>
      <c r="N762" s="2" t="s">
        <v>3901</v>
      </c>
      <c r="O762" s="2" t="s">
        <v>4373</v>
      </c>
      <c r="P762" s="2" t="s">
        <v>4379</v>
      </c>
    </row>
    <row r="763" spans="1:16">
      <c r="A763" s="4">
        <v>46248.568136574075</v>
      </c>
      <c r="B763" s="2" t="s">
        <v>3002</v>
      </c>
      <c r="C763" s="2" t="s">
        <v>512</v>
      </c>
      <c r="D763" s="2" t="s">
        <v>292</v>
      </c>
      <c r="E763" s="2">
        <v>36</v>
      </c>
      <c r="F763" s="2"/>
      <c r="G763" s="2">
        <v>36</v>
      </c>
      <c r="H763" s="2" t="s">
        <v>1539</v>
      </c>
      <c r="I763" s="2" t="s">
        <v>695</v>
      </c>
      <c r="J763" s="2" t="s">
        <v>2537</v>
      </c>
      <c r="K763" s="2" t="s">
        <v>1855</v>
      </c>
      <c r="L763" s="2" t="s">
        <v>3493</v>
      </c>
      <c r="M763" s="2" t="str">
        <f t="shared" si="14"/>
        <v>03</v>
      </c>
      <c r="N763" s="2" t="s">
        <v>2587</v>
      </c>
      <c r="O763" s="2" t="s">
        <v>4373</v>
      </c>
      <c r="P763" s="2" t="s">
        <v>4379</v>
      </c>
    </row>
    <row r="764" spans="1:16">
      <c r="A764" s="4">
        <v>46248.567696759259</v>
      </c>
      <c r="B764" s="2" t="s">
        <v>3859</v>
      </c>
      <c r="C764" s="2" t="s">
        <v>512</v>
      </c>
      <c r="D764" s="2" t="s">
        <v>292</v>
      </c>
      <c r="E764" s="2">
        <v>36</v>
      </c>
      <c r="F764" s="2"/>
      <c r="G764" s="2">
        <v>36</v>
      </c>
      <c r="H764" s="2" t="s">
        <v>1539</v>
      </c>
      <c r="I764" s="2" t="s">
        <v>695</v>
      </c>
      <c r="J764" s="2" t="s">
        <v>2537</v>
      </c>
      <c r="K764" s="2" t="s">
        <v>1855</v>
      </c>
      <c r="L764" s="2" t="s">
        <v>3493</v>
      </c>
      <c r="M764" s="2" t="str">
        <f t="shared" si="14"/>
        <v>03</v>
      </c>
      <c r="N764" s="2" t="s">
        <v>3086</v>
      </c>
      <c r="O764" s="2" t="s">
        <v>4373</v>
      </c>
      <c r="P764" s="2" t="s">
        <v>4379</v>
      </c>
    </row>
    <row r="765" spans="1:16">
      <c r="A765" s="4">
        <v>46248.442499999997</v>
      </c>
      <c r="B765" s="2" t="s">
        <v>508</v>
      </c>
      <c r="C765" s="2" t="s">
        <v>512</v>
      </c>
      <c r="D765" s="2" t="s">
        <v>292</v>
      </c>
      <c r="E765" s="2">
        <v>36</v>
      </c>
      <c r="F765" s="2"/>
      <c r="G765" s="2">
        <v>36</v>
      </c>
      <c r="H765" s="2" t="s">
        <v>1539</v>
      </c>
      <c r="I765" s="2" t="s">
        <v>695</v>
      </c>
      <c r="J765" s="2" t="s">
        <v>2537</v>
      </c>
      <c r="K765" s="2" t="s">
        <v>1855</v>
      </c>
      <c r="L765" s="2" t="s">
        <v>1847</v>
      </c>
      <c r="M765" s="2" t="str">
        <f t="shared" si="14"/>
        <v>14</v>
      </c>
      <c r="N765" s="2" t="s">
        <v>1297</v>
      </c>
      <c r="O765" s="2" t="s">
        <v>4373</v>
      </c>
      <c r="P765" s="2" t="s">
        <v>4379</v>
      </c>
    </row>
    <row r="766" spans="1:16">
      <c r="A766" s="4">
        <v>46248.442280092589</v>
      </c>
      <c r="B766" s="2" t="s">
        <v>2718</v>
      </c>
      <c r="C766" s="2" t="s">
        <v>512</v>
      </c>
      <c r="D766" s="2" t="s">
        <v>292</v>
      </c>
      <c r="E766" s="2">
        <v>36</v>
      </c>
      <c r="F766" s="2"/>
      <c r="G766" s="2">
        <v>36</v>
      </c>
      <c r="H766" s="2" t="s">
        <v>1539</v>
      </c>
      <c r="I766" s="2" t="s">
        <v>695</v>
      </c>
      <c r="J766" s="2" t="s">
        <v>2537</v>
      </c>
      <c r="K766" s="2" t="s">
        <v>1855</v>
      </c>
      <c r="L766" s="2" t="s">
        <v>1847</v>
      </c>
      <c r="M766" s="2" t="str">
        <f t="shared" si="14"/>
        <v>14</v>
      </c>
      <c r="N766" s="2" t="s">
        <v>4018</v>
      </c>
      <c r="O766" s="2" t="s">
        <v>4373</v>
      </c>
      <c r="P766" s="2" t="s">
        <v>4379</v>
      </c>
    </row>
    <row r="767" spans="1:16">
      <c r="A767" s="4">
        <v>46248.441967592589</v>
      </c>
      <c r="B767" s="2" t="s">
        <v>3366</v>
      </c>
      <c r="C767" s="2" t="s">
        <v>512</v>
      </c>
      <c r="D767" s="2" t="s">
        <v>292</v>
      </c>
      <c r="E767" s="2">
        <v>36</v>
      </c>
      <c r="F767" s="2"/>
      <c r="G767" s="2">
        <v>36</v>
      </c>
      <c r="H767" s="2" t="s">
        <v>1539</v>
      </c>
      <c r="I767" s="2" t="s">
        <v>695</v>
      </c>
      <c r="J767" s="2" t="s">
        <v>2537</v>
      </c>
      <c r="K767" s="2" t="s">
        <v>1855</v>
      </c>
      <c r="L767" s="2" t="s">
        <v>1847</v>
      </c>
      <c r="M767" s="2" t="str">
        <f t="shared" si="14"/>
        <v>14</v>
      </c>
      <c r="N767" s="2" t="s">
        <v>2730</v>
      </c>
      <c r="O767" s="2" t="s">
        <v>4373</v>
      </c>
      <c r="P767" s="2" t="s">
        <v>4379</v>
      </c>
    </row>
    <row r="768" spans="1:16">
      <c r="A768" s="4">
        <v>46248.441134259258</v>
      </c>
      <c r="B768" s="2" t="s">
        <v>4124</v>
      </c>
      <c r="C768" s="2" t="s">
        <v>512</v>
      </c>
      <c r="D768" s="2" t="s">
        <v>292</v>
      </c>
      <c r="E768" s="2">
        <v>36</v>
      </c>
      <c r="F768" s="2"/>
      <c r="G768" s="2">
        <v>36</v>
      </c>
      <c r="H768" s="2" t="s">
        <v>1539</v>
      </c>
      <c r="I768" s="2" t="s">
        <v>695</v>
      </c>
      <c r="J768" s="2" t="s">
        <v>2537</v>
      </c>
      <c r="K768" s="2" t="s">
        <v>1855</v>
      </c>
      <c r="L768" s="2" t="s">
        <v>1847</v>
      </c>
      <c r="M768" s="2" t="str">
        <f t="shared" si="14"/>
        <v>14</v>
      </c>
      <c r="N768" s="2" t="s">
        <v>181</v>
      </c>
      <c r="O768" s="2" t="s">
        <v>4373</v>
      </c>
      <c r="P768" s="2" t="s">
        <v>4379</v>
      </c>
    </row>
    <row r="769" spans="1:16">
      <c r="A769" s="4">
        <v>46248.441041666665</v>
      </c>
      <c r="B769" s="2" t="s">
        <v>1246</v>
      </c>
      <c r="C769" s="2" t="s">
        <v>512</v>
      </c>
      <c r="D769" s="2" t="s">
        <v>292</v>
      </c>
      <c r="E769" s="2">
        <v>36</v>
      </c>
      <c r="F769" s="2"/>
      <c r="G769" s="2">
        <v>36</v>
      </c>
      <c r="H769" s="2" t="s">
        <v>1539</v>
      </c>
      <c r="I769" s="2" t="s">
        <v>695</v>
      </c>
      <c r="J769" s="2" t="s">
        <v>2537</v>
      </c>
      <c r="K769" s="2" t="s">
        <v>1855</v>
      </c>
      <c r="L769" s="2" t="s">
        <v>1847</v>
      </c>
      <c r="M769" s="2" t="str">
        <f t="shared" si="14"/>
        <v>14</v>
      </c>
      <c r="N769" s="2" t="s">
        <v>2787</v>
      </c>
      <c r="O769" s="2" t="s">
        <v>4373</v>
      </c>
      <c r="P769" s="2" t="s">
        <v>4379</v>
      </c>
    </row>
    <row r="770" spans="1:16">
      <c r="A770" s="4">
        <v>46248.439965277779</v>
      </c>
      <c r="B770" s="2" t="s">
        <v>4362</v>
      </c>
      <c r="C770" s="2" t="s">
        <v>512</v>
      </c>
      <c r="D770" s="2" t="s">
        <v>292</v>
      </c>
      <c r="E770" s="2">
        <v>36</v>
      </c>
      <c r="F770" s="2"/>
      <c r="G770" s="2">
        <v>36</v>
      </c>
      <c r="H770" s="2" t="s">
        <v>1539</v>
      </c>
      <c r="I770" s="2" t="s">
        <v>695</v>
      </c>
      <c r="J770" s="2" t="s">
        <v>2537</v>
      </c>
      <c r="K770" s="2" t="s">
        <v>1855</v>
      </c>
      <c r="L770" s="2" t="s">
        <v>1847</v>
      </c>
      <c r="M770" s="2" t="str">
        <f t="shared" ref="M770:M833" si="15">RIGHT(L770,2)</f>
        <v>14</v>
      </c>
      <c r="N770" s="2" t="s">
        <v>1711</v>
      </c>
      <c r="O770" s="2" t="s">
        <v>4373</v>
      </c>
      <c r="P770" s="2" t="s">
        <v>4379</v>
      </c>
    </row>
    <row r="771" spans="1:16">
      <c r="A771" s="4">
        <v>46248.439918981479</v>
      </c>
      <c r="B771" s="2" t="s">
        <v>2975</v>
      </c>
      <c r="C771" s="2" t="s">
        <v>512</v>
      </c>
      <c r="D771" s="2" t="s">
        <v>292</v>
      </c>
      <c r="E771" s="2">
        <v>36</v>
      </c>
      <c r="F771" s="2"/>
      <c r="G771" s="2">
        <v>36</v>
      </c>
      <c r="H771" s="2" t="s">
        <v>1539</v>
      </c>
      <c r="I771" s="2" t="s">
        <v>695</v>
      </c>
      <c r="J771" s="2" t="s">
        <v>2537</v>
      </c>
      <c r="K771" s="2" t="s">
        <v>1855</v>
      </c>
      <c r="L771" s="2" t="s">
        <v>1847</v>
      </c>
      <c r="M771" s="2" t="str">
        <f t="shared" si="15"/>
        <v>14</v>
      </c>
      <c r="N771" s="2" t="s">
        <v>246</v>
      </c>
      <c r="O771" s="2" t="s">
        <v>4373</v>
      </c>
      <c r="P771" s="2" t="s">
        <v>4379</v>
      </c>
    </row>
    <row r="772" spans="1:16">
      <c r="A772" s="4">
        <v>46248.439560185187</v>
      </c>
      <c r="B772" s="2" t="s">
        <v>1360</v>
      </c>
      <c r="C772" s="2" t="s">
        <v>512</v>
      </c>
      <c r="D772" s="2" t="s">
        <v>292</v>
      </c>
      <c r="E772" s="2">
        <v>36</v>
      </c>
      <c r="F772" s="2"/>
      <c r="G772" s="2">
        <v>36</v>
      </c>
      <c r="H772" s="2" t="s">
        <v>1539</v>
      </c>
      <c r="I772" s="2" t="s">
        <v>695</v>
      </c>
      <c r="J772" s="2" t="s">
        <v>2537</v>
      </c>
      <c r="K772" s="2" t="s">
        <v>1855</v>
      </c>
      <c r="L772" s="2" t="s">
        <v>1847</v>
      </c>
      <c r="M772" s="2" t="str">
        <f t="shared" si="15"/>
        <v>14</v>
      </c>
      <c r="N772" s="2" t="s">
        <v>2270</v>
      </c>
      <c r="O772" s="2" t="s">
        <v>4373</v>
      </c>
      <c r="P772" s="2" t="s">
        <v>4379</v>
      </c>
    </row>
    <row r="773" spans="1:16">
      <c r="A773" s="4">
        <v>46248.439328703702</v>
      </c>
      <c r="B773" s="2" t="s">
        <v>685</v>
      </c>
      <c r="C773" s="2" t="s">
        <v>512</v>
      </c>
      <c r="D773" s="2" t="s">
        <v>292</v>
      </c>
      <c r="E773" s="2">
        <v>36</v>
      </c>
      <c r="F773" s="2"/>
      <c r="G773" s="2">
        <v>36</v>
      </c>
      <c r="H773" s="2" t="s">
        <v>1539</v>
      </c>
      <c r="I773" s="2" t="s">
        <v>695</v>
      </c>
      <c r="J773" s="2" t="s">
        <v>2537</v>
      </c>
      <c r="K773" s="2" t="s">
        <v>1855</v>
      </c>
      <c r="L773" s="2" t="s">
        <v>1847</v>
      </c>
      <c r="M773" s="2" t="str">
        <f t="shared" si="15"/>
        <v>14</v>
      </c>
      <c r="N773" s="2" t="s">
        <v>432</v>
      </c>
      <c r="O773" s="2" t="s">
        <v>4373</v>
      </c>
      <c r="P773" s="2" t="s">
        <v>4379</v>
      </c>
    </row>
    <row r="774" spans="1:16">
      <c r="A774" s="4">
        <v>46248.438831018517</v>
      </c>
      <c r="B774" s="2" t="s">
        <v>2995</v>
      </c>
      <c r="C774" s="2" t="s">
        <v>512</v>
      </c>
      <c r="D774" s="2" t="s">
        <v>292</v>
      </c>
      <c r="E774" s="2">
        <v>36</v>
      </c>
      <c r="F774" s="2"/>
      <c r="G774" s="2">
        <v>36</v>
      </c>
      <c r="H774" s="2" t="s">
        <v>1539</v>
      </c>
      <c r="I774" s="2" t="s">
        <v>695</v>
      </c>
      <c r="J774" s="2" t="s">
        <v>2537</v>
      </c>
      <c r="K774" s="2" t="s">
        <v>1855</v>
      </c>
      <c r="L774" s="2" t="s">
        <v>1847</v>
      </c>
      <c r="M774" s="2" t="str">
        <f t="shared" si="15"/>
        <v>14</v>
      </c>
      <c r="N774" s="2" t="s">
        <v>3315</v>
      </c>
      <c r="O774" s="2" t="s">
        <v>4373</v>
      </c>
      <c r="P774" s="2" t="s">
        <v>4379</v>
      </c>
    </row>
    <row r="775" spans="1:16">
      <c r="A775" s="4">
        <v>46248.438807870371</v>
      </c>
      <c r="B775" s="2" t="s">
        <v>1244</v>
      </c>
      <c r="C775" s="2" t="s">
        <v>512</v>
      </c>
      <c r="D775" s="2" t="s">
        <v>292</v>
      </c>
      <c r="E775" s="2">
        <v>36</v>
      </c>
      <c r="F775" s="2"/>
      <c r="G775" s="2">
        <v>36</v>
      </c>
      <c r="H775" s="2" t="s">
        <v>1539</v>
      </c>
      <c r="I775" s="2" t="s">
        <v>695</v>
      </c>
      <c r="J775" s="2" t="s">
        <v>2537</v>
      </c>
      <c r="K775" s="2" t="s">
        <v>1855</v>
      </c>
      <c r="L775" s="2" t="s">
        <v>1847</v>
      </c>
      <c r="M775" s="2" t="str">
        <f t="shared" si="15"/>
        <v>14</v>
      </c>
      <c r="N775" s="2" t="s">
        <v>4341</v>
      </c>
      <c r="O775" s="2" t="s">
        <v>4373</v>
      </c>
      <c r="P775" s="2" t="s">
        <v>4379</v>
      </c>
    </row>
    <row r="776" spans="1:16">
      <c r="A776" s="4">
        <v>46248.438472222224</v>
      </c>
      <c r="B776" s="2" t="s">
        <v>3678</v>
      </c>
      <c r="C776" s="2" t="s">
        <v>512</v>
      </c>
      <c r="D776" s="2" t="s">
        <v>292</v>
      </c>
      <c r="E776" s="2">
        <v>36</v>
      </c>
      <c r="F776" s="2"/>
      <c r="G776" s="2">
        <v>36</v>
      </c>
      <c r="H776" s="2" t="s">
        <v>1539</v>
      </c>
      <c r="I776" s="2" t="s">
        <v>695</v>
      </c>
      <c r="J776" s="2" t="s">
        <v>2537</v>
      </c>
      <c r="K776" s="2" t="s">
        <v>1855</v>
      </c>
      <c r="L776" s="2" t="s">
        <v>1847</v>
      </c>
      <c r="M776" s="2" t="str">
        <f t="shared" si="15"/>
        <v>14</v>
      </c>
      <c r="N776" s="2" t="s">
        <v>1785</v>
      </c>
      <c r="O776" s="2" t="s">
        <v>4373</v>
      </c>
      <c r="P776" s="2" t="s">
        <v>4379</v>
      </c>
    </row>
    <row r="777" spans="1:16">
      <c r="A777" s="4">
        <v>46248.437708333331</v>
      </c>
      <c r="B777" s="2" t="s">
        <v>1604</v>
      </c>
      <c r="C777" s="2" t="s">
        <v>512</v>
      </c>
      <c r="D777" s="2" t="s">
        <v>292</v>
      </c>
      <c r="E777" s="2">
        <v>36</v>
      </c>
      <c r="F777" s="2"/>
      <c r="G777" s="2">
        <v>36</v>
      </c>
      <c r="H777" s="2" t="s">
        <v>1539</v>
      </c>
      <c r="I777" s="2" t="s">
        <v>695</v>
      </c>
      <c r="J777" s="2" t="s">
        <v>2537</v>
      </c>
      <c r="K777" s="2" t="s">
        <v>1855</v>
      </c>
      <c r="L777" s="2" t="s">
        <v>1847</v>
      </c>
      <c r="M777" s="2" t="str">
        <f t="shared" si="15"/>
        <v>14</v>
      </c>
      <c r="N777" s="2" t="s">
        <v>1896</v>
      </c>
      <c r="O777" s="2" t="s">
        <v>4373</v>
      </c>
      <c r="P777" s="2" t="s">
        <v>4379</v>
      </c>
    </row>
    <row r="778" spans="1:16">
      <c r="A778" s="4">
        <v>46248.437395833331</v>
      </c>
      <c r="B778" s="2" t="s">
        <v>2640</v>
      </c>
      <c r="C778" s="2" t="s">
        <v>512</v>
      </c>
      <c r="D778" s="2" t="s">
        <v>292</v>
      </c>
      <c r="E778" s="2">
        <v>36</v>
      </c>
      <c r="F778" s="2"/>
      <c r="G778" s="2">
        <v>36</v>
      </c>
      <c r="H778" s="2" t="s">
        <v>1539</v>
      </c>
      <c r="I778" s="2" t="s">
        <v>695</v>
      </c>
      <c r="J778" s="2" t="s">
        <v>2537</v>
      </c>
      <c r="K778" s="2" t="s">
        <v>1855</v>
      </c>
      <c r="L778" s="2" t="s">
        <v>1847</v>
      </c>
      <c r="M778" s="2" t="str">
        <f t="shared" si="15"/>
        <v>14</v>
      </c>
      <c r="N778" s="2" t="s">
        <v>4012</v>
      </c>
      <c r="O778" s="2" t="s">
        <v>4373</v>
      </c>
      <c r="P778" s="2" t="s">
        <v>4379</v>
      </c>
    </row>
    <row r="779" spans="1:16">
      <c r="A779" s="4">
        <v>46248.437280092592</v>
      </c>
      <c r="B779" s="2" t="s">
        <v>1076</v>
      </c>
      <c r="C779" s="2" t="s">
        <v>512</v>
      </c>
      <c r="D779" s="2" t="s">
        <v>292</v>
      </c>
      <c r="E779" s="2">
        <v>36</v>
      </c>
      <c r="F779" s="2"/>
      <c r="G779" s="2">
        <v>36</v>
      </c>
      <c r="H779" s="2" t="s">
        <v>1539</v>
      </c>
      <c r="I779" s="2" t="s">
        <v>695</v>
      </c>
      <c r="J779" s="2" t="s">
        <v>2537</v>
      </c>
      <c r="K779" s="2" t="s">
        <v>1855</v>
      </c>
      <c r="L779" s="2" t="s">
        <v>1847</v>
      </c>
      <c r="M779" s="2" t="str">
        <f t="shared" si="15"/>
        <v>14</v>
      </c>
      <c r="N779" s="2" t="s">
        <v>1219</v>
      </c>
      <c r="O779" s="2" t="s">
        <v>4373</v>
      </c>
      <c r="P779" s="2" t="s">
        <v>4379</v>
      </c>
    </row>
    <row r="780" spans="1:16">
      <c r="A780" s="4">
        <v>46248.437118055554</v>
      </c>
      <c r="B780" s="2" t="s">
        <v>4309</v>
      </c>
      <c r="C780" s="2" t="s">
        <v>512</v>
      </c>
      <c r="D780" s="2" t="s">
        <v>292</v>
      </c>
      <c r="E780" s="2">
        <v>36</v>
      </c>
      <c r="F780" s="2"/>
      <c r="G780" s="2">
        <v>36</v>
      </c>
      <c r="H780" s="2" t="s">
        <v>1539</v>
      </c>
      <c r="I780" s="2" t="s">
        <v>695</v>
      </c>
      <c r="J780" s="2" t="s">
        <v>2537</v>
      </c>
      <c r="K780" s="2" t="s">
        <v>1855</v>
      </c>
      <c r="L780" s="2" t="s">
        <v>1847</v>
      </c>
      <c r="M780" s="2" t="str">
        <f t="shared" si="15"/>
        <v>14</v>
      </c>
      <c r="N780" s="2" t="s">
        <v>2031</v>
      </c>
      <c r="O780" s="2" t="s">
        <v>4373</v>
      </c>
      <c r="P780" s="2" t="s">
        <v>4379</v>
      </c>
    </row>
    <row r="781" spans="1:16">
      <c r="A781" s="4">
        <v>46248.436527777776</v>
      </c>
      <c r="B781" s="2" t="s">
        <v>1363</v>
      </c>
      <c r="C781" s="2" t="s">
        <v>512</v>
      </c>
      <c r="D781" s="2" t="s">
        <v>292</v>
      </c>
      <c r="E781" s="2">
        <v>36</v>
      </c>
      <c r="F781" s="2"/>
      <c r="G781" s="2">
        <v>36</v>
      </c>
      <c r="H781" s="2" t="s">
        <v>1539</v>
      </c>
      <c r="I781" s="2" t="s">
        <v>695</v>
      </c>
      <c r="J781" s="2" t="s">
        <v>2537</v>
      </c>
      <c r="K781" s="2" t="s">
        <v>1855</v>
      </c>
      <c r="L781" s="2" t="s">
        <v>1847</v>
      </c>
      <c r="M781" s="2" t="str">
        <f t="shared" si="15"/>
        <v>14</v>
      </c>
      <c r="N781" s="2" t="s">
        <v>4126</v>
      </c>
      <c r="O781" s="2" t="s">
        <v>4373</v>
      </c>
      <c r="P781" s="2" t="s">
        <v>4379</v>
      </c>
    </row>
    <row r="782" spans="1:16">
      <c r="A782" s="4">
        <v>46248.436296296299</v>
      </c>
      <c r="B782" s="2" t="s">
        <v>405</v>
      </c>
      <c r="C782" s="2" t="s">
        <v>512</v>
      </c>
      <c r="D782" s="2" t="s">
        <v>292</v>
      </c>
      <c r="E782" s="2">
        <v>36</v>
      </c>
      <c r="F782" s="2"/>
      <c r="G782" s="2">
        <v>36</v>
      </c>
      <c r="H782" s="2" t="s">
        <v>1539</v>
      </c>
      <c r="I782" s="2" t="s">
        <v>695</v>
      </c>
      <c r="J782" s="2" t="s">
        <v>2537</v>
      </c>
      <c r="K782" s="2" t="s">
        <v>1855</v>
      </c>
      <c r="L782" s="2" t="s">
        <v>1847</v>
      </c>
      <c r="M782" s="2" t="str">
        <f t="shared" si="15"/>
        <v>14</v>
      </c>
      <c r="N782" s="2" t="s">
        <v>3375</v>
      </c>
      <c r="O782" s="2" t="s">
        <v>4373</v>
      </c>
      <c r="P782" s="2" t="s">
        <v>4379</v>
      </c>
    </row>
    <row r="783" spans="1:16">
      <c r="A783" s="4">
        <v>46248.436145833337</v>
      </c>
      <c r="B783" s="2" t="s">
        <v>523</v>
      </c>
      <c r="C783" s="2" t="s">
        <v>512</v>
      </c>
      <c r="D783" s="2" t="s">
        <v>292</v>
      </c>
      <c r="E783" s="2">
        <v>36</v>
      </c>
      <c r="F783" s="2"/>
      <c r="G783" s="2">
        <v>36</v>
      </c>
      <c r="H783" s="2" t="s">
        <v>1539</v>
      </c>
      <c r="I783" s="2" t="s">
        <v>695</v>
      </c>
      <c r="J783" s="2" t="s">
        <v>2537</v>
      </c>
      <c r="K783" s="2" t="s">
        <v>1855</v>
      </c>
      <c r="L783" s="2" t="s">
        <v>1847</v>
      </c>
      <c r="M783" s="2" t="str">
        <f t="shared" si="15"/>
        <v>14</v>
      </c>
      <c r="N783" s="2" t="s">
        <v>1685</v>
      </c>
      <c r="O783" s="2" t="s">
        <v>4373</v>
      </c>
      <c r="P783" s="2" t="s">
        <v>4379</v>
      </c>
    </row>
    <row r="784" spans="1:16">
      <c r="A784" s="4">
        <v>46248.43613425926</v>
      </c>
      <c r="B784" s="2" t="s">
        <v>423</v>
      </c>
      <c r="C784" s="2" t="s">
        <v>512</v>
      </c>
      <c r="D784" s="2" t="s">
        <v>292</v>
      </c>
      <c r="E784" s="2">
        <v>36</v>
      </c>
      <c r="F784" s="2"/>
      <c r="G784" s="2">
        <v>36</v>
      </c>
      <c r="H784" s="2" t="s">
        <v>1539</v>
      </c>
      <c r="I784" s="2" t="s">
        <v>695</v>
      </c>
      <c r="J784" s="2" t="s">
        <v>2537</v>
      </c>
      <c r="K784" s="2" t="s">
        <v>1855</v>
      </c>
      <c r="L784" s="2" t="s">
        <v>1847</v>
      </c>
      <c r="M784" s="2" t="str">
        <f t="shared" si="15"/>
        <v>14</v>
      </c>
      <c r="N784" s="2" t="s">
        <v>3061</v>
      </c>
      <c r="O784" s="2" t="s">
        <v>4373</v>
      </c>
      <c r="P784" s="2" t="s">
        <v>4379</v>
      </c>
    </row>
    <row r="785" spans="1:16">
      <c r="A785" s="4">
        <v>46248.301481481481</v>
      </c>
      <c r="B785" s="2" t="s">
        <v>387</v>
      </c>
      <c r="C785" s="2" t="s">
        <v>512</v>
      </c>
      <c r="D785" s="2" t="s">
        <v>292</v>
      </c>
      <c r="E785" s="2">
        <v>36</v>
      </c>
      <c r="F785" s="2"/>
      <c r="G785" s="2">
        <v>36</v>
      </c>
      <c r="H785" s="2" t="s">
        <v>1796</v>
      </c>
      <c r="I785" s="2" t="s">
        <v>695</v>
      </c>
      <c r="J785" s="2" t="s">
        <v>2537</v>
      </c>
      <c r="K785" s="2" t="s">
        <v>1855</v>
      </c>
      <c r="L785" s="2" t="s">
        <v>1188</v>
      </c>
      <c r="M785" s="2" t="str">
        <f t="shared" si="15"/>
        <v>10</v>
      </c>
      <c r="N785" s="2" t="s">
        <v>3833</v>
      </c>
      <c r="O785" s="2" t="s">
        <v>4373</v>
      </c>
      <c r="P785" s="2" t="s">
        <v>4379</v>
      </c>
    </row>
    <row r="786" spans="1:16">
      <c r="A786" s="4">
        <v>46248.301423611112</v>
      </c>
      <c r="B786" s="2" t="s">
        <v>3962</v>
      </c>
      <c r="C786" s="2" t="s">
        <v>512</v>
      </c>
      <c r="D786" s="2" t="s">
        <v>292</v>
      </c>
      <c r="E786" s="2">
        <v>36</v>
      </c>
      <c r="F786" s="2"/>
      <c r="G786" s="2">
        <v>36</v>
      </c>
      <c r="H786" s="2" t="s">
        <v>1796</v>
      </c>
      <c r="I786" s="2" t="s">
        <v>695</v>
      </c>
      <c r="J786" s="2" t="s">
        <v>2537</v>
      </c>
      <c r="K786" s="2" t="s">
        <v>1855</v>
      </c>
      <c r="L786" s="2" t="s">
        <v>1188</v>
      </c>
      <c r="M786" s="2" t="str">
        <f t="shared" si="15"/>
        <v>10</v>
      </c>
      <c r="N786" s="2" t="s">
        <v>311</v>
      </c>
      <c r="O786" s="2" t="s">
        <v>4373</v>
      </c>
      <c r="P786" s="2" t="s">
        <v>4379</v>
      </c>
    </row>
    <row r="787" spans="1:16">
      <c r="A787" s="4">
        <v>46248.30128472222</v>
      </c>
      <c r="B787" s="2" t="s">
        <v>2642</v>
      </c>
      <c r="C787" s="2" t="s">
        <v>512</v>
      </c>
      <c r="D787" s="2" t="s">
        <v>292</v>
      </c>
      <c r="E787" s="2">
        <v>36</v>
      </c>
      <c r="F787" s="2"/>
      <c r="G787" s="2">
        <v>36</v>
      </c>
      <c r="H787" s="2" t="s">
        <v>1796</v>
      </c>
      <c r="I787" s="2" t="s">
        <v>695</v>
      </c>
      <c r="J787" s="2" t="s">
        <v>2537</v>
      </c>
      <c r="K787" s="2" t="s">
        <v>1855</v>
      </c>
      <c r="L787" s="2" t="s">
        <v>1188</v>
      </c>
      <c r="M787" s="2" t="str">
        <f t="shared" si="15"/>
        <v>10</v>
      </c>
      <c r="N787" s="2" t="s">
        <v>1206</v>
      </c>
      <c r="O787" s="2" t="s">
        <v>4373</v>
      </c>
      <c r="P787" s="2" t="s">
        <v>4379</v>
      </c>
    </row>
    <row r="788" spans="1:16">
      <c r="A788" s="4">
        <v>46248.300185185188</v>
      </c>
      <c r="B788" s="2" t="s">
        <v>2617</v>
      </c>
      <c r="C788" s="2" t="s">
        <v>512</v>
      </c>
      <c r="D788" s="2" t="s">
        <v>292</v>
      </c>
      <c r="E788" s="2">
        <v>36</v>
      </c>
      <c r="F788" s="2"/>
      <c r="G788" s="2">
        <v>36</v>
      </c>
      <c r="H788" s="2" t="s">
        <v>1796</v>
      </c>
      <c r="I788" s="2" t="s">
        <v>695</v>
      </c>
      <c r="J788" s="2" t="s">
        <v>2537</v>
      </c>
      <c r="K788" s="2" t="s">
        <v>1855</v>
      </c>
      <c r="L788" s="2" t="s">
        <v>1188</v>
      </c>
      <c r="M788" s="2" t="str">
        <f t="shared" si="15"/>
        <v>10</v>
      </c>
      <c r="N788" s="2" t="s">
        <v>1399</v>
      </c>
      <c r="O788" s="2" t="s">
        <v>4373</v>
      </c>
      <c r="P788" s="2" t="s">
        <v>4379</v>
      </c>
    </row>
    <row r="789" spans="1:16">
      <c r="A789" s="4">
        <v>46248.299988425926</v>
      </c>
      <c r="B789" s="2" t="s">
        <v>3231</v>
      </c>
      <c r="C789" s="2" t="s">
        <v>512</v>
      </c>
      <c r="D789" s="2" t="s">
        <v>292</v>
      </c>
      <c r="E789" s="2">
        <v>36</v>
      </c>
      <c r="F789" s="2"/>
      <c r="G789" s="2">
        <v>36</v>
      </c>
      <c r="H789" s="2" t="s">
        <v>1796</v>
      </c>
      <c r="I789" s="2" t="s">
        <v>695</v>
      </c>
      <c r="J789" s="2" t="s">
        <v>2537</v>
      </c>
      <c r="K789" s="2" t="s">
        <v>1855</v>
      </c>
      <c r="L789" s="2" t="s">
        <v>1188</v>
      </c>
      <c r="M789" s="2" t="str">
        <f t="shared" si="15"/>
        <v>10</v>
      </c>
      <c r="N789" s="2" t="s">
        <v>4194</v>
      </c>
      <c r="O789" s="2" t="s">
        <v>4373</v>
      </c>
      <c r="P789" s="2" t="s">
        <v>4379</v>
      </c>
    </row>
    <row r="790" spans="1:16">
      <c r="A790" s="4">
        <v>46248.299780092595</v>
      </c>
      <c r="B790" s="2" t="s">
        <v>2964</v>
      </c>
      <c r="C790" s="2" t="s">
        <v>512</v>
      </c>
      <c r="D790" s="2" t="s">
        <v>292</v>
      </c>
      <c r="E790" s="2">
        <v>36</v>
      </c>
      <c r="F790" s="2"/>
      <c r="G790" s="2">
        <v>36</v>
      </c>
      <c r="H790" s="2" t="s">
        <v>1796</v>
      </c>
      <c r="I790" s="2" t="s">
        <v>695</v>
      </c>
      <c r="J790" s="2" t="s">
        <v>2537</v>
      </c>
      <c r="K790" s="2" t="s">
        <v>1855</v>
      </c>
      <c r="L790" s="2" t="s">
        <v>1188</v>
      </c>
      <c r="M790" s="2" t="str">
        <f t="shared" si="15"/>
        <v>10</v>
      </c>
      <c r="N790" s="2" t="s">
        <v>3945</v>
      </c>
      <c r="O790" s="2" t="s">
        <v>4373</v>
      </c>
      <c r="P790" s="2" t="s">
        <v>4379</v>
      </c>
    </row>
    <row r="791" spans="1:16">
      <c r="A791" s="4">
        <v>46248.298495370371</v>
      </c>
      <c r="B791" s="2" t="s">
        <v>3518</v>
      </c>
      <c r="C791" s="2" t="s">
        <v>512</v>
      </c>
      <c r="D791" s="2" t="s">
        <v>292</v>
      </c>
      <c r="E791" s="2">
        <v>36</v>
      </c>
      <c r="F791" s="2"/>
      <c r="G791" s="2">
        <v>36</v>
      </c>
      <c r="H791" s="2" t="s">
        <v>1796</v>
      </c>
      <c r="I791" s="2" t="s">
        <v>695</v>
      </c>
      <c r="J791" s="2" t="s">
        <v>2537</v>
      </c>
      <c r="K791" s="2" t="s">
        <v>1855</v>
      </c>
      <c r="L791" s="2" t="s">
        <v>1188</v>
      </c>
      <c r="M791" s="2" t="str">
        <f t="shared" si="15"/>
        <v>10</v>
      </c>
      <c r="N791" s="2" t="s">
        <v>3625</v>
      </c>
      <c r="O791" s="2" t="s">
        <v>4373</v>
      </c>
      <c r="P791" s="2" t="s">
        <v>4379</v>
      </c>
    </row>
    <row r="792" spans="1:16">
      <c r="A792" s="4">
        <v>46248.298425925925</v>
      </c>
      <c r="B792" s="2" t="s">
        <v>2482</v>
      </c>
      <c r="C792" s="2" t="s">
        <v>512</v>
      </c>
      <c r="D792" s="2" t="s">
        <v>292</v>
      </c>
      <c r="E792" s="2">
        <v>36</v>
      </c>
      <c r="F792" s="2"/>
      <c r="G792" s="2">
        <v>36</v>
      </c>
      <c r="H792" s="2" t="s">
        <v>1796</v>
      </c>
      <c r="I792" s="2" t="s">
        <v>695</v>
      </c>
      <c r="J792" s="2" t="s">
        <v>2537</v>
      </c>
      <c r="K792" s="2" t="s">
        <v>1855</v>
      </c>
      <c r="L792" s="2" t="s">
        <v>1188</v>
      </c>
      <c r="M792" s="2" t="str">
        <f t="shared" si="15"/>
        <v>10</v>
      </c>
      <c r="N792" s="2" t="s">
        <v>2279</v>
      </c>
      <c r="O792" s="2" t="s">
        <v>4373</v>
      </c>
      <c r="P792" s="2" t="s">
        <v>4379</v>
      </c>
    </row>
    <row r="793" spans="1:16">
      <c r="A793" s="4">
        <v>46248.298344907409</v>
      </c>
      <c r="B793" s="2" t="s">
        <v>1683</v>
      </c>
      <c r="C793" s="2" t="s">
        <v>512</v>
      </c>
      <c r="D793" s="2" t="s">
        <v>292</v>
      </c>
      <c r="E793" s="2">
        <v>36</v>
      </c>
      <c r="F793" s="2"/>
      <c r="G793" s="2">
        <v>36</v>
      </c>
      <c r="H793" s="2" t="s">
        <v>1796</v>
      </c>
      <c r="I793" s="2" t="s">
        <v>695</v>
      </c>
      <c r="J793" s="2" t="s">
        <v>2537</v>
      </c>
      <c r="K793" s="2" t="s">
        <v>1855</v>
      </c>
      <c r="L793" s="2" t="s">
        <v>1188</v>
      </c>
      <c r="M793" s="2" t="str">
        <f t="shared" si="15"/>
        <v>10</v>
      </c>
      <c r="N793" s="2" t="s">
        <v>1037</v>
      </c>
      <c r="O793" s="2" t="s">
        <v>4373</v>
      </c>
      <c r="P793" s="2" t="s">
        <v>4379</v>
      </c>
    </row>
    <row r="794" spans="1:16">
      <c r="A794" s="4">
        <v>46248.296817129631</v>
      </c>
      <c r="B794" s="2" t="s">
        <v>261</v>
      </c>
      <c r="C794" s="2" t="s">
        <v>512</v>
      </c>
      <c r="D794" s="2" t="s">
        <v>292</v>
      </c>
      <c r="E794" s="2">
        <v>36</v>
      </c>
      <c r="F794" s="2"/>
      <c r="G794" s="2">
        <v>36</v>
      </c>
      <c r="H794" s="2" t="s">
        <v>1796</v>
      </c>
      <c r="I794" s="2" t="s">
        <v>695</v>
      </c>
      <c r="J794" s="2" t="s">
        <v>2537</v>
      </c>
      <c r="K794" s="2" t="s">
        <v>1855</v>
      </c>
      <c r="L794" s="2" t="s">
        <v>1188</v>
      </c>
      <c r="M794" s="2" t="str">
        <f t="shared" si="15"/>
        <v>10</v>
      </c>
      <c r="N794" s="2" t="s">
        <v>1576</v>
      </c>
      <c r="O794" s="2" t="s">
        <v>4373</v>
      </c>
      <c r="P794" s="2" t="s">
        <v>4379</v>
      </c>
    </row>
    <row r="795" spans="1:16">
      <c r="A795" s="4">
        <v>46248.296666666669</v>
      </c>
      <c r="B795" s="2" t="s">
        <v>2806</v>
      </c>
      <c r="C795" s="2" t="s">
        <v>512</v>
      </c>
      <c r="D795" s="2" t="s">
        <v>292</v>
      </c>
      <c r="E795" s="2">
        <v>36</v>
      </c>
      <c r="F795" s="2"/>
      <c r="G795" s="2">
        <v>36</v>
      </c>
      <c r="H795" s="2" t="s">
        <v>1796</v>
      </c>
      <c r="I795" s="2" t="s">
        <v>695</v>
      </c>
      <c r="J795" s="2" t="s">
        <v>2537</v>
      </c>
      <c r="K795" s="2" t="s">
        <v>1855</v>
      </c>
      <c r="L795" s="2" t="s">
        <v>1188</v>
      </c>
      <c r="M795" s="2" t="str">
        <f t="shared" si="15"/>
        <v>10</v>
      </c>
      <c r="N795" s="2" t="s">
        <v>1279</v>
      </c>
      <c r="O795" s="2" t="s">
        <v>4373</v>
      </c>
      <c r="P795" s="2" t="s">
        <v>4379</v>
      </c>
    </row>
    <row r="796" spans="1:16">
      <c r="A796" s="4">
        <v>46248.29650462963</v>
      </c>
      <c r="B796" s="2" t="s">
        <v>2094</v>
      </c>
      <c r="C796" s="2" t="s">
        <v>512</v>
      </c>
      <c r="D796" s="2" t="s">
        <v>292</v>
      </c>
      <c r="E796" s="2">
        <v>36</v>
      </c>
      <c r="F796" s="2"/>
      <c r="G796" s="2">
        <v>36</v>
      </c>
      <c r="H796" s="2" t="s">
        <v>1796</v>
      </c>
      <c r="I796" s="2" t="s">
        <v>695</v>
      </c>
      <c r="J796" s="2" t="s">
        <v>2537</v>
      </c>
      <c r="K796" s="2" t="s">
        <v>1855</v>
      </c>
      <c r="L796" s="2" t="s">
        <v>1188</v>
      </c>
      <c r="M796" s="2" t="str">
        <f t="shared" si="15"/>
        <v>10</v>
      </c>
      <c r="N796" s="2" t="s">
        <v>3908</v>
      </c>
      <c r="O796" s="2" t="s">
        <v>4373</v>
      </c>
      <c r="P796" s="2" t="s">
        <v>4379</v>
      </c>
    </row>
    <row r="797" spans="1:16">
      <c r="A797" s="4">
        <v>46248.295405092591</v>
      </c>
      <c r="B797" s="2" t="s">
        <v>3783</v>
      </c>
      <c r="C797" s="2" t="s">
        <v>512</v>
      </c>
      <c r="D797" s="2" t="s">
        <v>292</v>
      </c>
      <c r="E797" s="2">
        <v>36</v>
      </c>
      <c r="F797" s="2"/>
      <c r="G797" s="2">
        <v>36</v>
      </c>
      <c r="H797" s="2" t="s">
        <v>1796</v>
      </c>
      <c r="I797" s="2" t="s">
        <v>695</v>
      </c>
      <c r="J797" s="2" t="s">
        <v>2537</v>
      </c>
      <c r="K797" s="2" t="s">
        <v>1855</v>
      </c>
      <c r="L797" s="2" t="s">
        <v>1188</v>
      </c>
      <c r="M797" s="2" t="str">
        <f t="shared" si="15"/>
        <v>10</v>
      </c>
      <c r="N797" s="2" t="s">
        <v>583</v>
      </c>
      <c r="O797" s="2" t="s">
        <v>4373</v>
      </c>
      <c r="P797" s="2" t="s">
        <v>4379</v>
      </c>
    </row>
    <row r="798" spans="1:16">
      <c r="A798" s="4">
        <v>46248.295243055552</v>
      </c>
      <c r="B798" s="2" t="s">
        <v>2439</v>
      </c>
      <c r="C798" s="2" t="s">
        <v>512</v>
      </c>
      <c r="D798" s="2" t="s">
        <v>292</v>
      </c>
      <c r="E798" s="2">
        <v>36</v>
      </c>
      <c r="F798" s="2"/>
      <c r="G798" s="2">
        <v>36</v>
      </c>
      <c r="H798" s="2" t="s">
        <v>1796</v>
      </c>
      <c r="I798" s="2" t="s">
        <v>695</v>
      </c>
      <c r="J798" s="2" t="s">
        <v>2537</v>
      </c>
      <c r="K798" s="2" t="s">
        <v>1855</v>
      </c>
      <c r="L798" s="2" t="s">
        <v>1188</v>
      </c>
      <c r="M798" s="2" t="str">
        <f t="shared" si="15"/>
        <v>10</v>
      </c>
      <c r="N798" s="2" t="s">
        <v>2533</v>
      </c>
      <c r="O798" s="2" t="s">
        <v>4373</v>
      </c>
      <c r="P798" s="2" t="s">
        <v>4379</v>
      </c>
    </row>
    <row r="799" spans="1:16">
      <c r="A799" s="4">
        <v>46248.295092592591</v>
      </c>
      <c r="B799" s="2" t="s">
        <v>1514</v>
      </c>
      <c r="C799" s="2" t="s">
        <v>512</v>
      </c>
      <c r="D799" s="2" t="s">
        <v>292</v>
      </c>
      <c r="E799" s="2">
        <v>36</v>
      </c>
      <c r="F799" s="2"/>
      <c r="G799" s="2">
        <v>36</v>
      </c>
      <c r="H799" s="2" t="s">
        <v>1796</v>
      </c>
      <c r="I799" s="2" t="s">
        <v>695</v>
      </c>
      <c r="J799" s="2" t="s">
        <v>2537</v>
      </c>
      <c r="K799" s="2" t="s">
        <v>1855</v>
      </c>
      <c r="L799" s="2" t="s">
        <v>1188</v>
      </c>
      <c r="M799" s="2" t="str">
        <f t="shared" si="15"/>
        <v>10</v>
      </c>
      <c r="N799" s="2" t="s">
        <v>653</v>
      </c>
      <c r="O799" s="2" t="s">
        <v>4373</v>
      </c>
      <c r="P799" s="2" t="s">
        <v>4379</v>
      </c>
    </row>
    <row r="800" spans="1:16">
      <c r="A800" s="4">
        <v>46248.29314814815</v>
      </c>
      <c r="B800" s="2" t="s">
        <v>3886</v>
      </c>
      <c r="C800" s="2" t="s">
        <v>512</v>
      </c>
      <c r="D800" s="2" t="s">
        <v>292</v>
      </c>
      <c r="E800" s="2">
        <v>36</v>
      </c>
      <c r="F800" s="2"/>
      <c r="G800" s="2">
        <v>36</v>
      </c>
      <c r="H800" s="2" t="s">
        <v>1796</v>
      </c>
      <c r="I800" s="2" t="s">
        <v>695</v>
      </c>
      <c r="J800" s="2" t="s">
        <v>2537</v>
      </c>
      <c r="K800" s="2" t="s">
        <v>1855</v>
      </c>
      <c r="L800" s="2" t="s">
        <v>1188</v>
      </c>
      <c r="M800" s="2" t="str">
        <f t="shared" si="15"/>
        <v>10</v>
      </c>
      <c r="N800" s="2" t="s">
        <v>2348</v>
      </c>
      <c r="O800" s="2" t="s">
        <v>4373</v>
      </c>
      <c r="P800" s="2" t="s">
        <v>4379</v>
      </c>
    </row>
    <row r="801" spans="1:16">
      <c r="A801" s="4">
        <v>46248.293043981481</v>
      </c>
      <c r="B801" s="2" t="s">
        <v>2320</v>
      </c>
      <c r="C801" s="2" t="s">
        <v>512</v>
      </c>
      <c r="D801" s="2" t="s">
        <v>292</v>
      </c>
      <c r="E801" s="2">
        <v>36</v>
      </c>
      <c r="F801" s="2"/>
      <c r="G801" s="2">
        <v>36</v>
      </c>
      <c r="H801" s="2" t="s">
        <v>1796</v>
      </c>
      <c r="I801" s="2" t="s">
        <v>695</v>
      </c>
      <c r="J801" s="2" t="s">
        <v>2537</v>
      </c>
      <c r="K801" s="2" t="s">
        <v>1855</v>
      </c>
      <c r="L801" s="2" t="s">
        <v>1188</v>
      </c>
      <c r="M801" s="2" t="str">
        <f t="shared" si="15"/>
        <v>10</v>
      </c>
      <c r="N801" s="2" t="s">
        <v>884</v>
      </c>
      <c r="O801" s="2" t="s">
        <v>4373</v>
      </c>
      <c r="P801" s="2" t="s">
        <v>4379</v>
      </c>
    </row>
    <row r="802" spans="1:16">
      <c r="A802" s="4">
        <v>46248.292893518519</v>
      </c>
      <c r="B802" s="2" t="s">
        <v>4105</v>
      </c>
      <c r="C802" s="2" t="s">
        <v>512</v>
      </c>
      <c r="D802" s="2" t="s">
        <v>292</v>
      </c>
      <c r="E802" s="2">
        <v>36</v>
      </c>
      <c r="F802" s="2"/>
      <c r="G802" s="2">
        <v>36</v>
      </c>
      <c r="H802" s="2" t="s">
        <v>1796</v>
      </c>
      <c r="I802" s="2" t="s">
        <v>695</v>
      </c>
      <c r="J802" s="2" t="s">
        <v>2537</v>
      </c>
      <c r="K802" s="2" t="s">
        <v>1855</v>
      </c>
      <c r="L802" s="2" t="s">
        <v>1188</v>
      </c>
      <c r="M802" s="2" t="str">
        <f t="shared" si="15"/>
        <v>10</v>
      </c>
      <c r="N802" s="2" t="s">
        <v>3057</v>
      </c>
      <c r="O802" s="2" t="s">
        <v>4373</v>
      </c>
      <c r="P802" s="2" t="s">
        <v>4379</v>
      </c>
    </row>
    <row r="803" spans="1:16">
      <c r="A803" s="4">
        <v>46248.291354166664</v>
      </c>
      <c r="B803" s="2" t="s">
        <v>2385</v>
      </c>
      <c r="C803" s="2" t="s">
        <v>512</v>
      </c>
      <c r="D803" s="2" t="s">
        <v>292</v>
      </c>
      <c r="E803" s="2">
        <v>36</v>
      </c>
      <c r="F803" s="2"/>
      <c r="G803" s="2">
        <v>36</v>
      </c>
      <c r="H803" s="2" t="s">
        <v>1796</v>
      </c>
      <c r="I803" s="2" t="s">
        <v>695</v>
      </c>
      <c r="J803" s="2" t="s">
        <v>2537</v>
      </c>
      <c r="K803" s="2" t="s">
        <v>1855</v>
      </c>
      <c r="L803" s="2" t="s">
        <v>1188</v>
      </c>
      <c r="M803" s="2" t="str">
        <f t="shared" si="15"/>
        <v>10</v>
      </c>
      <c r="N803" s="2" t="s">
        <v>1222</v>
      </c>
      <c r="O803" s="2" t="s">
        <v>4373</v>
      </c>
      <c r="P803" s="2" t="s">
        <v>4379</v>
      </c>
    </row>
    <row r="804" spans="1:16">
      <c r="A804" s="4">
        <v>46248.291226851848</v>
      </c>
      <c r="B804" s="2" t="s">
        <v>104</v>
      </c>
      <c r="C804" s="2" t="s">
        <v>512</v>
      </c>
      <c r="D804" s="2" t="s">
        <v>292</v>
      </c>
      <c r="E804" s="2">
        <v>36</v>
      </c>
      <c r="F804" s="2"/>
      <c r="G804" s="2">
        <v>36</v>
      </c>
      <c r="H804" s="2" t="s">
        <v>1796</v>
      </c>
      <c r="I804" s="2" t="s">
        <v>695</v>
      </c>
      <c r="J804" s="2" t="s">
        <v>2537</v>
      </c>
      <c r="K804" s="2" t="s">
        <v>1855</v>
      </c>
      <c r="L804" s="2" t="s">
        <v>1188</v>
      </c>
      <c r="M804" s="2" t="str">
        <f t="shared" si="15"/>
        <v>10</v>
      </c>
      <c r="N804" s="2" t="s">
        <v>743</v>
      </c>
      <c r="O804" s="2" t="s">
        <v>4373</v>
      </c>
      <c r="P804" s="2" t="s">
        <v>4379</v>
      </c>
    </row>
    <row r="805" spans="1:16">
      <c r="A805" s="4">
        <v>46248.290914351855</v>
      </c>
      <c r="B805" s="2" t="s">
        <v>718</v>
      </c>
      <c r="C805" s="2" t="s">
        <v>512</v>
      </c>
      <c r="D805" s="2" t="s">
        <v>292</v>
      </c>
      <c r="E805" s="2">
        <v>36</v>
      </c>
      <c r="F805" s="2"/>
      <c r="G805" s="2">
        <v>36</v>
      </c>
      <c r="H805" s="2" t="s">
        <v>1796</v>
      </c>
      <c r="I805" s="2" t="s">
        <v>695</v>
      </c>
      <c r="J805" s="2" t="s">
        <v>2537</v>
      </c>
      <c r="K805" s="2" t="s">
        <v>1855</v>
      </c>
      <c r="L805" s="2" t="s">
        <v>1188</v>
      </c>
      <c r="M805" s="2" t="str">
        <f t="shared" si="15"/>
        <v>10</v>
      </c>
      <c r="N805" s="2" t="s">
        <v>3711</v>
      </c>
      <c r="O805" s="2" t="s">
        <v>4373</v>
      </c>
      <c r="P805" s="2" t="s">
        <v>4379</v>
      </c>
    </row>
    <row r="806" spans="1:16">
      <c r="A806" s="4">
        <v>46248.289652777778</v>
      </c>
      <c r="B806" s="2" t="s">
        <v>2157</v>
      </c>
      <c r="C806" s="2" t="s">
        <v>512</v>
      </c>
      <c r="D806" s="2" t="s">
        <v>292</v>
      </c>
      <c r="E806" s="2">
        <v>36</v>
      </c>
      <c r="F806" s="2"/>
      <c r="G806" s="2">
        <v>36</v>
      </c>
      <c r="H806" s="2" t="s">
        <v>1796</v>
      </c>
      <c r="I806" s="2" t="s">
        <v>695</v>
      </c>
      <c r="J806" s="2" t="s">
        <v>2537</v>
      </c>
      <c r="K806" s="2" t="s">
        <v>1855</v>
      </c>
      <c r="L806" s="2" t="s">
        <v>1188</v>
      </c>
      <c r="M806" s="2" t="str">
        <f t="shared" si="15"/>
        <v>10</v>
      </c>
      <c r="N806" s="2" t="s">
        <v>2277</v>
      </c>
      <c r="O806" s="2" t="s">
        <v>4373</v>
      </c>
      <c r="P806" s="2" t="s">
        <v>4379</v>
      </c>
    </row>
    <row r="807" spans="1:16">
      <c r="A807" s="4">
        <v>46248.289525462962</v>
      </c>
      <c r="B807" s="2" t="s">
        <v>4043</v>
      </c>
      <c r="C807" s="2" t="s">
        <v>512</v>
      </c>
      <c r="D807" s="2" t="s">
        <v>292</v>
      </c>
      <c r="E807" s="2">
        <v>36</v>
      </c>
      <c r="F807" s="2"/>
      <c r="G807" s="2">
        <v>36</v>
      </c>
      <c r="H807" s="2" t="s">
        <v>1796</v>
      </c>
      <c r="I807" s="2" t="s">
        <v>695</v>
      </c>
      <c r="J807" s="2" t="s">
        <v>2537</v>
      </c>
      <c r="K807" s="2" t="s">
        <v>1855</v>
      </c>
      <c r="L807" s="2" t="s">
        <v>1188</v>
      </c>
      <c r="M807" s="2" t="str">
        <f t="shared" si="15"/>
        <v>10</v>
      </c>
      <c r="N807" s="2" t="s">
        <v>4130</v>
      </c>
      <c r="O807" s="2" t="s">
        <v>4373</v>
      </c>
      <c r="P807" s="2" t="s">
        <v>4379</v>
      </c>
    </row>
    <row r="808" spans="1:16">
      <c r="A808" s="4">
        <v>46248.289212962962</v>
      </c>
      <c r="B808" s="2" t="s">
        <v>2388</v>
      </c>
      <c r="C808" s="2" t="s">
        <v>512</v>
      </c>
      <c r="D808" s="2" t="s">
        <v>292</v>
      </c>
      <c r="E808" s="2">
        <v>36</v>
      </c>
      <c r="F808" s="2"/>
      <c r="G808" s="2">
        <v>36</v>
      </c>
      <c r="H808" s="2" t="s">
        <v>1796</v>
      </c>
      <c r="I808" s="2" t="s">
        <v>695</v>
      </c>
      <c r="J808" s="2" t="s">
        <v>2537</v>
      </c>
      <c r="K808" s="2" t="s">
        <v>1855</v>
      </c>
      <c r="L808" s="2" t="s">
        <v>1188</v>
      </c>
      <c r="M808" s="2" t="str">
        <f t="shared" si="15"/>
        <v>10</v>
      </c>
      <c r="N808" s="2" t="s">
        <v>1286</v>
      </c>
      <c r="O808" s="2" t="s">
        <v>4373</v>
      </c>
      <c r="P808" s="2" t="s">
        <v>4379</v>
      </c>
    </row>
    <row r="809" spans="1:16">
      <c r="A809" s="4">
        <v>46248.287962962961</v>
      </c>
      <c r="B809" s="2" t="s">
        <v>2091</v>
      </c>
      <c r="C809" s="2" t="s">
        <v>512</v>
      </c>
      <c r="D809" s="2" t="s">
        <v>292</v>
      </c>
      <c r="E809" s="2">
        <v>36</v>
      </c>
      <c r="F809" s="2"/>
      <c r="G809" s="2">
        <v>36</v>
      </c>
      <c r="H809" s="2" t="s">
        <v>1796</v>
      </c>
      <c r="I809" s="2" t="s">
        <v>695</v>
      </c>
      <c r="J809" s="2" t="s">
        <v>2537</v>
      </c>
      <c r="K809" s="2" t="s">
        <v>1855</v>
      </c>
      <c r="L809" s="2" t="s">
        <v>1188</v>
      </c>
      <c r="M809" s="2" t="str">
        <f t="shared" si="15"/>
        <v>10</v>
      </c>
      <c r="N809" s="2" t="s">
        <v>3425</v>
      </c>
      <c r="O809" s="2" t="s">
        <v>4373</v>
      </c>
      <c r="P809" s="2" t="s">
        <v>4379</v>
      </c>
    </row>
    <row r="810" spans="1:16">
      <c r="A810" s="4">
        <v>46248.287893518522</v>
      </c>
      <c r="B810" s="2" t="s">
        <v>3466</v>
      </c>
      <c r="C810" s="2" t="s">
        <v>512</v>
      </c>
      <c r="D810" s="2" t="s">
        <v>292</v>
      </c>
      <c r="E810" s="2">
        <v>36</v>
      </c>
      <c r="F810" s="2"/>
      <c r="G810" s="2">
        <v>36</v>
      </c>
      <c r="H810" s="2" t="s">
        <v>1796</v>
      </c>
      <c r="I810" s="2" t="s">
        <v>695</v>
      </c>
      <c r="J810" s="2" t="s">
        <v>2537</v>
      </c>
      <c r="K810" s="2" t="s">
        <v>1855</v>
      </c>
      <c r="L810" s="2" t="s">
        <v>1188</v>
      </c>
      <c r="M810" s="2" t="str">
        <f t="shared" si="15"/>
        <v>10</v>
      </c>
      <c r="N810" s="2" t="s">
        <v>3836</v>
      </c>
      <c r="O810" s="2" t="s">
        <v>4373</v>
      </c>
      <c r="P810" s="2" t="s">
        <v>4379</v>
      </c>
    </row>
    <row r="811" spans="1:16">
      <c r="A811" s="4">
        <v>46248.287893518522</v>
      </c>
      <c r="B811" s="2" t="s">
        <v>3135</v>
      </c>
      <c r="C811" s="2" t="s">
        <v>512</v>
      </c>
      <c r="D811" s="2" t="s">
        <v>292</v>
      </c>
      <c r="E811" s="2">
        <v>36</v>
      </c>
      <c r="F811" s="2"/>
      <c r="G811" s="2">
        <v>36</v>
      </c>
      <c r="H811" s="2" t="s">
        <v>1796</v>
      </c>
      <c r="I811" s="2" t="s">
        <v>695</v>
      </c>
      <c r="J811" s="2" t="s">
        <v>2537</v>
      </c>
      <c r="K811" s="2" t="s">
        <v>1855</v>
      </c>
      <c r="L811" s="2" t="s">
        <v>1188</v>
      </c>
      <c r="M811" s="2" t="str">
        <f t="shared" si="15"/>
        <v>10</v>
      </c>
      <c r="N811" s="2" t="s">
        <v>2014</v>
      </c>
      <c r="O811" s="2" t="s">
        <v>4373</v>
      </c>
      <c r="P811" s="2" t="s">
        <v>4379</v>
      </c>
    </row>
    <row r="812" spans="1:16">
      <c r="A812" s="4">
        <v>46248.285729166666</v>
      </c>
      <c r="B812" s="2" t="s">
        <v>2365</v>
      </c>
      <c r="C812" s="2" t="s">
        <v>512</v>
      </c>
      <c r="D812" s="2" t="s">
        <v>292</v>
      </c>
      <c r="E812" s="2">
        <v>36</v>
      </c>
      <c r="F812" s="2"/>
      <c r="G812" s="2">
        <v>36</v>
      </c>
      <c r="H812" s="2" t="s">
        <v>1796</v>
      </c>
      <c r="I812" s="2" t="s">
        <v>695</v>
      </c>
      <c r="J812" s="2" t="s">
        <v>2537</v>
      </c>
      <c r="K812" s="2" t="s">
        <v>1855</v>
      </c>
      <c r="L812" s="2" t="s">
        <v>1188</v>
      </c>
      <c r="M812" s="2" t="str">
        <f t="shared" si="15"/>
        <v>10</v>
      </c>
      <c r="N812" s="2" t="s">
        <v>3008</v>
      </c>
      <c r="O812" s="2" t="s">
        <v>4373</v>
      </c>
      <c r="P812" s="2" t="s">
        <v>4379</v>
      </c>
    </row>
    <row r="813" spans="1:16">
      <c r="A813" s="4">
        <v>46248.285694444443</v>
      </c>
      <c r="B813" s="2" t="s">
        <v>2226</v>
      </c>
      <c r="C813" s="2" t="s">
        <v>512</v>
      </c>
      <c r="D813" s="2" t="s">
        <v>292</v>
      </c>
      <c r="E813" s="2">
        <v>36</v>
      </c>
      <c r="F813" s="2"/>
      <c r="G813" s="2">
        <v>36</v>
      </c>
      <c r="H813" s="2" t="s">
        <v>1796</v>
      </c>
      <c r="I813" s="2" t="s">
        <v>695</v>
      </c>
      <c r="J813" s="2" t="s">
        <v>2537</v>
      </c>
      <c r="K813" s="2" t="s">
        <v>1855</v>
      </c>
      <c r="L813" s="2" t="s">
        <v>1188</v>
      </c>
      <c r="M813" s="2" t="str">
        <f t="shared" si="15"/>
        <v>10</v>
      </c>
      <c r="N813" s="2" t="s">
        <v>3788</v>
      </c>
      <c r="O813" s="2" t="s">
        <v>4373</v>
      </c>
      <c r="P813" s="2" t="s">
        <v>4379</v>
      </c>
    </row>
    <row r="814" spans="1:16">
      <c r="A814" s="4">
        <v>46248.285624999997</v>
      </c>
      <c r="B814" s="2" t="s">
        <v>2570</v>
      </c>
      <c r="C814" s="2" t="s">
        <v>512</v>
      </c>
      <c r="D814" s="2" t="s">
        <v>292</v>
      </c>
      <c r="E814" s="2">
        <v>36</v>
      </c>
      <c r="F814" s="2"/>
      <c r="G814" s="2">
        <v>36</v>
      </c>
      <c r="H814" s="2" t="s">
        <v>1796</v>
      </c>
      <c r="I814" s="2" t="s">
        <v>695</v>
      </c>
      <c r="J814" s="2" t="s">
        <v>2537</v>
      </c>
      <c r="K814" s="2" t="s">
        <v>1855</v>
      </c>
      <c r="L814" s="2" t="s">
        <v>1188</v>
      </c>
      <c r="M814" s="2" t="str">
        <f t="shared" si="15"/>
        <v>10</v>
      </c>
      <c r="N814" s="2" t="s">
        <v>521</v>
      </c>
      <c r="O814" s="2" t="s">
        <v>4373</v>
      </c>
      <c r="P814" s="2" t="s">
        <v>4379</v>
      </c>
    </row>
    <row r="815" spans="1:16">
      <c r="A815" s="4">
        <v>46248.284062500003</v>
      </c>
      <c r="B815" s="2" t="s">
        <v>2487</v>
      </c>
      <c r="C815" s="2" t="s">
        <v>512</v>
      </c>
      <c r="D815" s="2" t="s">
        <v>292</v>
      </c>
      <c r="E815" s="2">
        <v>36</v>
      </c>
      <c r="F815" s="2"/>
      <c r="G815" s="2">
        <v>36</v>
      </c>
      <c r="H815" s="2" t="s">
        <v>1796</v>
      </c>
      <c r="I815" s="2" t="s">
        <v>695</v>
      </c>
      <c r="J815" s="2" t="s">
        <v>2537</v>
      </c>
      <c r="K815" s="2" t="s">
        <v>1855</v>
      </c>
      <c r="L815" s="2" t="s">
        <v>1188</v>
      </c>
      <c r="M815" s="2" t="str">
        <f t="shared" si="15"/>
        <v>10</v>
      </c>
      <c r="N815" s="2" t="s">
        <v>3542</v>
      </c>
      <c r="O815" s="2" t="s">
        <v>4373</v>
      </c>
      <c r="P815" s="2" t="s">
        <v>4379</v>
      </c>
    </row>
    <row r="816" spans="1:16">
      <c r="A816" s="4">
        <v>46248.283993055556</v>
      </c>
      <c r="B816" s="2" t="s">
        <v>95</v>
      </c>
      <c r="C816" s="2" t="s">
        <v>512</v>
      </c>
      <c r="D816" s="2" t="s">
        <v>292</v>
      </c>
      <c r="E816" s="2">
        <v>36</v>
      </c>
      <c r="F816" s="2"/>
      <c r="G816" s="2">
        <v>36</v>
      </c>
      <c r="H816" s="2" t="s">
        <v>1796</v>
      </c>
      <c r="I816" s="2" t="s">
        <v>695</v>
      </c>
      <c r="J816" s="2" t="s">
        <v>2537</v>
      </c>
      <c r="K816" s="2" t="s">
        <v>1855</v>
      </c>
      <c r="L816" s="2" t="s">
        <v>1188</v>
      </c>
      <c r="M816" s="2" t="str">
        <f t="shared" si="15"/>
        <v>10</v>
      </c>
      <c r="N816" s="2" t="s">
        <v>1253</v>
      </c>
      <c r="O816" s="2" t="s">
        <v>4373</v>
      </c>
      <c r="P816" s="2" t="s">
        <v>4379</v>
      </c>
    </row>
    <row r="817" spans="1:16">
      <c r="A817" s="4">
        <v>46248.283900462964</v>
      </c>
      <c r="B817" s="2" t="s">
        <v>2233</v>
      </c>
      <c r="C817" s="2" t="s">
        <v>512</v>
      </c>
      <c r="D817" s="2" t="s">
        <v>292</v>
      </c>
      <c r="E817" s="2">
        <v>36</v>
      </c>
      <c r="F817" s="2"/>
      <c r="G817" s="2">
        <v>36</v>
      </c>
      <c r="H817" s="2" t="s">
        <v>1796</v>
      </c>
      <c r="I817" s="2" t="s">
        <v>695</v>
      </c>
      <c r="J817" s="2" t="s">
        <v>2537</v>
      </c>
      <c r="K817" s="2" t="s">
        <v>1855</v>
      </c>
      <c r="L817" s="2" t="s">
        <v>1188</v>
      </c>
      <c r="M817" s="2" t="str">
        <f t="shared" si="15"/>
        <v>10</v>
      </c>
      <c r="N817" s="2" t="s">
        <v>1262</v>
      </c>
      <c r="O817" s="2" t="s">
        <v>4373</v>
      </c>
      <c r="P817" s="2" t="s">
        <v>4379</v>
      </c>
    </row>
    <row r="818" spans="1:16">
      <c r="A818" s="4">
        <v>46248.282650462963</v>
      </c>
      <c r="B818" s="2" t="s">
        <v>3094</v>
      </c>
      <c r="C818" s="2" t="s">
        <v>512</v>
      </c>
      <c r="D818" s="2" t="s">
        <v>292</v>
      </c>
      <c r="E818" s="2">
        <v>36</v>
      </c>
      <c r="F818" s="2"/>
      <c r="G818" s="2">
        <v>36</v>
      </c>
      <c r="H818" s="2" t="s">
        <v>1796</v>
      </c>
      <c r="I818" s="2" t="s">
        <v>695</v>
      </c>
      <c r="J818" s="2" t="s">
        <v>2537</v>
      </c>
      <c r="K818" s="2" t="s">
        <v>1855</v>
      </c>
      <c r="L818" s="2" t="s">
        <v>1188</v>
      </c>
      <c r="M818" s="2" t="str">
        <f t="shared" si="15"/>
        <v>10</v>
      </c>
      <c r="N818" s="2" t="s">
        <v>3820</v>
      </c>
      <c r="O818" s="2" t="s">
        <v>4373</v>
      </c>
      <c r="P818" s="2" t="s">
        <v>4379</v>
      </c>
    </row>
    <row r="819" spans="1:16">
      <c r="A819" s="4">
        <v>46248.282604166663</v>
      </c>
      <c r="B819" s="2" t="s">
        <v>2471</v>
      </c>
      <c r="C819" s="2" t="s">
        <v>512</v>
      </c>
      <c r="D819" s="2" t="s">
        <v>292</v>
      </c>
      <c r="E819" s="2">
        <v>36</v>
      </c>
      <c r="F819" s="2"/>
      <c r="G819" s="2">
        <v>36</v>
      </c>
      <c r="H819" s="2" t="s">
        <v>1796</v>
      </c>
      <c r="I819" s="2" t="s">
        <v>695</v>
      </c>
      <c r="J819" s="2" t="s">
        <v>2537</v>
      </c>
      <c r="K819" s="2" t="s">
        <v>1855</v>
      </c>
      <c r="L819" s="2" t="s">
        <v>1188</v>
      </c>
      <c r="M819" s="2" t="str">
        <f t="shared" si="15"/>
        <v>10</v>
      </c>
      <c r="N819" s="2" t="s">
        <v>856</v>
      </c>
      <c r="O819" s="2" t="s">
        <v>4373</v>
      </c>
      <c r="P819" s="2" t="s">
        <v>4379</v>
      </c>
    </row>
    <row r="820" spans="1:16">
      <c r="A820" s="4">
        <v>46246.785821759258</v>
      </c>
      <c r="B820" s="2" t="s">
        <v>1790</v>
      </c>
      <c r="C820" s="2" t="s">
        <v>512</v>
      </c>
      <c r="D820" s="2" t="s">
        <v>292</v>
      </c>
      <c r="E820" s="2">
        <v>36</v>
      </c>
      <c r="F820" s="2"/>
      <c r="G820" s="2">
        <v>36</v>
      </c>
      <c r="H820" s="2" t="s">
        <v>1539</v>
      </c>
      <c r="I820" s="2" t="s">
        <v>695</v>
      </c>
      <c r="J820" s="2" t="s">
        <v>2537</v>
      </c>
      <c r="K820" s="2" t="s">
        <v>1855</v>
      </c>
      <c r="L820" s="2" t="s">
        <v>2399</v>
      </c>
      <c r="M820" s="2" t="str">
        <f t="shared" si="15"/>
        <v>05</v>
      </c>
      <c r="N820" s="2" t="s">
        <v>666</v>
      </c>
      <c r="O820" s="2" t="s">
        <v>4373</v>
      </c>
      <c r="P820" s="2" t="s">
        <v>4381</v>
      </c>
    </row>
    <row r="821" spans="1:16">
      <c r="A821" s="4">
        <v>46246.785636574074</v>
      </c>
      <c r="B821" s="2" t="s">
        <v>35</v>
      </c>
      <c r="C821" s="2" t="s">
        <v>512</v>
      </c>
      <c r="D821" s="2" t="s">
        <v>292</v>
      </c>
      <c r="E821" s="2">
        <v>36</v>
      </c>
      <c r="F821" s="2"/>
      <c r="G821" s="2">
        <v>36</v>
      </c>
      <c r="H821" s="2" t="s">
        <v>1539</v>
      </c>
      <c r="I821" s="2" t="s">
        <v>695</v>
      </c>
      <c r="J821" s="2" t="s">
        <v>2537</v>
      </c>
      <c r="K821" s="2" t="s">
        <v>1855</v>
      </c>
      <c r="L821" s="2" t="s">
        <v>2399</v>
      </c>
      <c r="M821" s="2" t="str">
        <f t="shared" si="15"/>
        <v>05</v>
      </c>
      <c r="N821" s="2" t="s">
        <v>1199</v>
      </c>
      <c r="O821" s="2" t="s">
        <v>4373</v>
      </c>
      <c r="P821" s="2" t="s">
        <v>4381</v>
      </c>
    </row>
    <row r="822" spans="1:16">
      <c r="A822" s="4">
        <v>46246.785208333335</v>
      </c>
      <c r="B822" s="2" t="s">
        <v>3738</v>
      </c>
      <c r="C822" s="2" t="s">
        <v>512</v>
      </c>
      <c r="D822" s="2" t="s">
        <v>292</v>
      </c>
      <c r="E822" s="2">
        <v>36</v>
      </c>
      <c r="F822" s="2"/>
      <c r="G822" s="2">
        <v>36</v>
      </c>
      <c r="H822" s="2" t="s">
        <v>1539</v>
      </c>
      <c r="I822" s="2" t="s">
        <v>695</v>
      </c>
      <c r="J822" s="2" t="s">
        <v>2537</v>
      </c>
      <c r="K822" s="2" t="s">
        <v>1855</v>
      </c>
      <c r="L822" s="2" t="s">
        <v>2399</v>
      </c>
      <c r="M822" s="2" t="str">
        <f t="shared" si="15"/>
        <v>05</v>
      </c>
      <c r="N822" s="2" t="s">
        <v>3292</v>
      </c>
      <c r="O822" s="2" t="s">
        <v>4373</v>
      </c>
      <c r="P822" s="2" t="s">
        <v>4381</v>
      </c>
    </row>
    <row r="823" spans="1:16">
      <c r="A823" s="4">
        <v>46246.785092592596</v>
      </c>
      <c r="B823" s="2" t="s">
        <v>2600</v>
      </c>
      <c r="C823" s="2" t="s">
        <v>512</v>
      </c>
      <c r="D823" s="2" t="s">
        <v>292</v>
      </c>
      <c r="E823" s="2">
        <v>36</v>
      </c>
      <c r="F823" s="2"/>
      <c r="G823" s="2">
        <v>36</v>
      </c>
      <c r="H823" s="2" t="s">
        <v>1539</v>
      </c>
      <c r="I823" s="2" t="s">
        <v>695</v>
      </c>
      <c r="J823" s="2" t="s">
        <v>2537</v>
      </c>
      <c r="K823" s="2" t="s">
        <v>1855</v>
      </c>
      <c r="L823" s="2" t="s">
        <v>2399</v>
      </c>
      <c r="M823" s="2" t="str">
        <f t="shared" si="15"/>
        <v>05</v>
      </c>
      <c r="N823" s="2" t="s">
        <v>2191</v>
      </c>
      <c r="O823" s="2" t="s">
        <v>4373</v>
      </c>
      <c r="P823" s="2" t="s">
        <v>4381</v>
      </c>
    </row>
    <row r="824" spans="1:16">
      <c r="A824" s="4">
        <v>46246.784618055557</v>
      </c>
      <c r="B824" s="2" t="s">
        <v>3110</v>
      </c>
      <c r="C824" s="2" t="s">
        <v>512</v>
      </c>
      <c r="D824" s="2" t="s">
        <v>292</v>
      </c>
      <c r="E824" s="2">
        <v>36</v>
      </c>
      <c r="F824" s="2"/>
      <c r="G824" s="2">
        <v>36</v>
      </c>
      <c r="H824" s="2" t="s">
        <v>1539</v>
      </c>
      <c r="I824" s="2" t="s">
        <v>695</v>
      </c>
      <c r="J824" s="2" t="s">
        <v>2537</v>
      </c>
      <c r="K824" s="2" t="s">
        <v>1855</v>
      </c>
      <c r="L824" s="2" t="s">
        <v>2399</v>
      </c>
      <c r="M824" s="2" t="str">
        <f t="shared" si="15"/>
        <v>05</v>
      </c>
      <c r="N824" s="2" t="s">
        <v>2947</v>
      </c>
      <c r="O824" s="2" t="s">
        <v>4373</v>
      </c>
      <c r="P824" s="2" t="s">
        <v>4381</v>
      </c>
    </row>
    <row r="825" spans="1:16">
      <c r="A825" s="4">
        <v>46246.784363425926</v>
      </c>
      <c r="B825" s="2" t="s">
        <v>3679</v>
      </c>
      <c r="C825" s="2" t="s">
        <v>512</v>
      </c>
      <c r="D825" s="2" t="s">
        <v>292</v>
      </c>
      <c r="E825" s="2">
        <v>36</v>
      </c>
      <c r="F825" s="2"/>
      <c r="G825" s="2">
        <v>36</v>
      </c>
      <c r="H825" s="2" t="s">
        <v>1539</v>
      </c>
      <c r="I825" s="2" t="s">
        <v>695</v>
      </c>
      <c r="J825" s="2" t="s">
        <v>2537</v>
      </c>
      <c r="K825" s="2" t="s">
        <v>1855</v>
      </c>
      <c r="L825" s="2" t="s">
        <v>2399</v>
      </c>
      <c r="M825" s="2" t="str">
        <f t="shared" si="15"/>
        <v>05</v>
      </c>
      <c r="N825" s="2" t="s">
        <v>3052</v>
      </c>
      <c r="O825" s="2" t="s">
        <v>4373</v>
      </c>
      <c r="P825" s="2" t="s">
        <v>4381</v>
      </c>
    </row>
    <row r="826" spans="1:16">
      <c r="A826" s="4">
        <v>46246.78329861111</v>
      </c>
      <c r="B826" s="2" t="s">
        <v>2625</v>
      </c>
      <c r="C826" s="2" t="s">
        <v>512</v>
      </c>
      <c r="D826" s="2" t="s">
        <v>292</v>
      </c>
      <c r="E826" s="2">
        <v>36</v>
      </c>
      <c r="F826" s="2"/>
      <c r="G826" s="2">
        <v>36</v>
      </c>
      <c r="H826" s="2" t="s">
        <v>1539</v>
      </c>
      <c r="I826" s="2" t="s">
        <v>695</v>
      </c>
      <c r="J826" s="2" t="s">
        <v>2537</v>
      </c>
      <c r="K826" s="2" t="s">
        <v>1855</v>
      </c>
      <c r="L826" s="2" t="s">
        <v>2399</v>
      </c>
      <c r="M826" s="2" t="str">
        <f t="shared" si="15"/>
        <v>05</v>
      </c>
      <c r="N826" s="2" t="s">
        <v>4053</v>
      </c>
      <c r="O826" s="2" t="s">
        <v>4373</v>
      </c>
      <c r="P826" s="2" t="s">
        <v>4381</v>
      </c>
    </row>
    <row r="827" spans="1:16">
      <c r="A827" s="4">
        <v>46246.783171296294</v>
      </c>
      <c r="B827" s="2" t="s">
        <v>1267</v>
      </c>
      <c r="C827" s="2" t="s">
        <v>512</v>
      </c>
      <c r="D827" s="2" t="s">
        <v>292</v>
      </c>
      <c r="E827" s="2">
        <v>36</v>
      </c>
      <c r="F827" s="2"/>
      <c r="G827" s="2">
        <v>36</v>
      </c>
      <c r="H827" s="2" t="s">
        <v>1539</v>
      </c>
      <c r="I827" s="2" t="s">
        <v>695</v>
      </c>
      <c r="J827" s="2" t="s">
        <v>2537</v>
      </c>
      <c r="K827" s="2" t="s">
        <v>1855</v>
      </c>
      <c r="L827" s="2" t="s">
        <v>2399</v>
      </c>
      <c r="M827" s="2" t="str">
        <f t="shared" si="15"/>
        <v>05</v>
      </c>
      <c r="N827" s="2" t="s">
        <v>1357</v>
      </c>
      <c r="O827" s="2" t="s">
        <v>4373</v>
      </c>
      <c r="P827" s="2" t="s">
        <v>4381</v>
      </c>
    </row>
    <row r="828" spans="1:16">
      <c r="A828" s="4">
        <v>46246.782060185185</v>
      </c>
      <c r="B828" s="2" t="s">
        <v>1215</v>
      </c>
      <c r="C828" s="2" t="s">
        <v>512</v>
      </c>
      <c r="D828" s="2" t="s">
        <v>292</v>
      </c>
      <c r="E828" s="2">
        <v>36</v>
      </c>
      <c r="F828" s="2"/>
      <c r="G828" s="2">
        <v>36</v>
      </c>
      <c r="H828" s="2" t="s">
        <v>1539</v>
      </c>
      <c r="I828" s="2" t="s">
        <v>695</v>
      </c>
      <c r="J828" s="2" t="s">
        <v>2537</v>
      </c>
      <c r="K828" s="2" t="s">
        <v>1855</v>
      </c>
      <c r="L828" s="2" t="s">
        <v>2399</v>
      </c>
      <c r="M828" s="2" t="str">
        <f t="shared" si="15"/>
        <v>05</v>
      </c>
      <c r="N828" s="2" t="s">
        <v>4056</v>
      </c>
      <c r="O828" s="2" t="s">
        <v>4373</v>
      </c>
      <c r="P828" s="2" t="s">
        <v>4381</v>
      </c>
    </row>
    <row r="829" spans="1:16">
      <c r="A829" s="4">
        <v>46246.781909722224</v>
      </c>
      <c r="B829" s="2" t="s">
        <v>2510</v>
      </c>
      <c r="C829" s="2" t="s">
        <v>512</v>
      </c>
      <c r="D829" s="2" t="s">
        <v>292</v>
      </c>
      <c r="E829" s="2">
        <v>36</v>
      </c>
      <c r="F829" s="2"/>
      <c r="G829" s="2">
        <v>36</v>
      </c>
      <c r="H829" s="2" t="s">
        <v>1539</v>
      </c>
      <c r="I829" s="2" t="s">
        <v>695</v>
      </c>
      <c r="J829" s="2" t="s">
        <v>2537</v>
      </c>
      <c r="K829" s="2" t="s">
        <v>1855</v>
      </c>
      <c r="L829" s="2" t="s">
        <v>2399</v>
      </c>
      <c r="M829" s="2" t="str">
        <f t="shared" si="15"/>
        <v>05</v>
      </c>
      <c r="N829" s="2" t="s">
        <v>3599</v>
      </c>
      <c r="O829" s="2" t="s">
        <v>4373</v>
      </c>
      <c r="P829" s="2" t="s">
        <v>4381</v>
      </c>
    </row>
    <row r="830" spans="1:16">
      <c r="A830" s="4">
        <v>46246.781828703701</v>
      </c>
      <c r="B830" s="2" t="s">
        <v>202</v>
      </c>
      <c r="C830" s="2" t="s">
        <v>512</v>
      </c>
      <c r="D830" s="2" t="s">
        <v>292</v>
      </c>
      <c r="E830" s="2">
        <v>36</v>
      </c>
      <c r="F830" s="2"/>
      <c r="G830" s="2">
        <v>36</v>
      </c>
      <c r="H830" s="2" t="s">
        <v>1539</v>
      </c>
      <c r="I830" s="2" t="s">
        <v>695</v>
      </c>
      <c r="J830" s="2" t="s">
        <v>2537</v>
      </c>
      <c r="K830" s="2" t="s">
        <v>1855</v>
      </c>
      <c r="L830" s="2" t="s">
        <v>2399</v>
      </c>
      <c r="M830" s="2" t="str">
        <f t="shared" si="15"/>
        <v>05</v>
      </c>
      <c r="N830" s="2" t="s">
        <v>1860</v>
      </c>
      <c r="O830" s="2" t="s">
        <v>4373</v>
      </c>
      <c r="P830" s="2" t="s">
        <v>4381</v>
      </c>
    </row>
    <row r="831" spans="1:16">
      <c r="A831" s="4">
        <v>46246.780393518522</v>
      </c>
      <c r="B831" s="2" t="s">
        <v>1327</v>
      </c>
      <c r="C831" s="2" t="s">
        <v>512</v>
      </c>
      <c r="D831" s="2" t="s">
        <v>292</v>
      </c>
      <c r="E831" s="2">
        <v>36</v>
      </c>
      <c r="F831" s="2"/>
      <c r="G831" s="2">
        <v>36</v>
      </c>
      <c r="H831" s="2" t="s">
        <v>1539</v>
      </c>
      <c r="I831" s="2" t="s">
        <v>695</v>
      </c>
      <c r="J831" s="2" t="s">
        <v>2537</v>
      </c>
      <c r="K831" s="2" t="s">
        <v>1855</v>
      </c>
      <c r="L831" s="2" t="s">
        <v>2399</v>
      </c>
      <c r="M831" s="2" t="str">
        <f t="shared" si="15"/>
        <v>05</v>
      </c>
      <c r="N831" s="2" t="s">
        <v>838</v>
      </c>
      <c r="O831" s="2" t="s">
        <v>4373</v>
      </c>
      <c r="P831" s="2" t="s">
        <v>4381</v>
      </c>
    </row>
    <row r="832" spans="1:16">
      <c r="A832" s="4">
        <v>46246.780300925922</v>
      </c>
      <c r="B832" s="2" t="s">
        <v>1144</v>
      </c>
      <c r="C832" s="2" t="s">
        <v>512</v>
      </c>
      <c r="D832" s="2" t="s">
        <v>292</v>
      </c>
      <c r="E832" s="2">
        <v>36</v>
      </c>
      <c r="F832" s="2"/>
      <c r="G832" s="2">
        <v>36</v>
      </c>
      <c r="H832" s="2" t="s">
        <v>1539</v>
      </c>
      <c r="I832" s="2" t="s">
        <v>695</v>
      </c>
      <c r="J832" s="2" t="s">
        <v>2537</v>
      </c>
      <c r="K832" s="2" t="s">
        <v>1855</v>
      </c>
      <c r="L832" s="2" t="s">
        <v>2399</v>
      </c>
      <c r="M832" s="2" t="str">
        <f t="shared" si="15"/>
        <v>05</v>
      </c>
      <c r="N832" s="2" t="s">
        <v>2884</v>
      </c>
      <c r="O832" s="2" t="s">
        <v>4373</v>
      </c>
      <c r="P832" s="2" t="s">
        <v>4381</v>
      </c>
    </row>
    <row r="833" spans="1:16">
      <c r="A833" s="4">
        <v>46246.780150462961</v>
      </c>
      <c r="B833" s="2" t="s">
        <v>1994</v>
      </c>
      <c r="C833" s="2" t="s">
        <v>512</v>
      </c>
      <c r="D833" s="2" t="s">
        <v>292</v>
      </c>
      <c r="E833" s="2">
        <v>36</v>
      </c>
      <c r="F833" s="2"/>
      <c r="G833" s="2">
        <v>36</v>
      </c>
      <c r="H833" s="2" t="s">
        <v>1539</v>
      </c>
      <c r="I833" s="2" t="s">
        <v>695</v>
      </c>
      <c r="J833" s="2" t="s">
        <v>2537</v>
      </c>
      <c r="K833" s="2" t="s">
        <v>1855</v>
      </c>
      <c r="L833" s="2" t="s">
        <v>2399</v>
      </c>
      <c r="M833" s="2" t="str">
        <f t="shared" si="15"/>
        <v>05</v>
      </c>
      <c r="N833" s="2" t="s">
        <v>8</v>
      </c>
      <c r="O833" s="2" t="s">
        <v>4373</v>
      </c>
      <c r="P833" s="2" t="s">
        <v>4381</v>
      </c>
    </row>
    <row r="834" spans="1:16">
      <c r="A834" s="4">
        <v>46246.779861111114</v>
      </c>
      <c r="B834" s="2" t="s">
        <v>965</v>
      </c>
      <c r="C834" s="2" t="s">
        <v>512</v>
      </c>
      <c r="D834" s="2" t="s">
        <v>292</v>
      </c>
      <c r="E834" s="2">
        <v>36</v>
      </c>
      <c r="F834" s="2"/>
      <c r="G834" s="2">
        <v>36</v>
      </c>
      <c r="H834" s="2" t="s">
        <v>1539</v>
      </c>
      <c r="I834" s="2" t="s">
        <v>695</v>
      </c>
      <c r="J834" s="2" t="s">
        <v>2537</v>
      </c>
      <c r="K834" s="2" t="s">
        <v>1855</v>
      </c>
      <c r="L834" s="2" t="s">
        <v>2399</v>
      </c>
      <c r="M834" s="2" t="str">
        <f t="shared" ref="M834:M897" si="16">RIGHT(L834,2)</f>
        <v>05</v>
      </c>
      <c r="N834" s="2" t="s">
        <v>4271</v>
      </c>
      <c r="O834" s="2" t="s">
        <v>4373</v>
      </c>
      <c r="P834" s="2" t="s">
        <v>4381</v>
      </c>
    </row>
    <row r="835" spans="1:16">
      <c r="A835" s="4">
        <v>46246.779687499999</v>
      </c>
      <c r="B835" s="2" t="s">
        <v>3955</v>
      </c>
      <c r="C835" s="2" t="s">
        <v>512</v>
      </c>
      <c r="D835" s="2" t="s">
        <v>292</v>
      </c>
      <c r="E835" s="2">
        <v>36</v>
      </c>
      <c r="F835" s="2"/>
      <c r="G835" s="2">
        <v>36</v>
      </c>
      <c r="H835" s="2" t="s">
        <v>1539</v>
      </c>
      <c r="I835" s="2" t="s">
        <v>695</v>
      </c>
      <c r="J835" s="2" t="s">
        <v>2537</v>
      </c>
      <c r="K835" s="2" t="s">
        <v>1855</v>
      </c>
      <c r="L835" s="2" t="s">
        <v>2399</v>
      </c>
      <c r="M835" s="2" t="str">
        <f t="shared" si="16"/>
        <v>05</v>
      </c>
      <c r="N835" s="2" t="s">
        <v>376</v>
      </c>
      <c r="O835" s="2" t="s">
        <v>4373</v>
      </c>
      <c r="P835" s="2" t="s">
        <v>4381</v>
      </c>
    </row>
    <row r="836" spans="1:16">
      <c r="A836" s="4">
        <v>46246.779398148145</v>
      </c>
      <c r="B836" s="2" t="s">
        <v>703</v>
      </c>
      <c r="C836" s="2" t="s">
        <v>512</v>
      </c>
      <c r="D836" s="2" t="s">
        <v>292</v>
      </c>
      <c r="E836" s="2">
        <v>36</v>
      </c>
      <c r="F836" s="2"/>
      <c r="G836" s="2">
        <v>36</v>
      </c>
      <c r="H836" s="2" t="s">
        <v>1539</v>
      </c>
      <c r="I836" s="2" t="s">
        <v>695</v>
      </c>
      <c r="J836" s="2" t="s">
        <v>2537</v>
      </c>
      <c r="K836" s="2" t="s">
        <v>1855</v>
      </c>
      <c r="L836" s="2" t="s">
        <v>2399</v>
      </c>
      <c r="M836" s="2" t="str">
        <f t="shared" si="16"/>
        <v>05</v>
      </c>
      <c r="N836" s="2" t="s">
        <v>3978</v>
      </c>
      <c r="O836" s="2" t="s">
        <v>4373</v>
      </c>
      <c r="P836" s="2" t="s">
        <v>4381</v>
      </c>
    </row>
    <row r="837" spans="1:16">
      <c r="A837" s="4">
        <v>46246.777604166666</v>
      </c>
      <c r="B837" s="2" t="s">
        <v>1568</v>
      </c>
      <c r="C837" s="2" t="s">
        <v>512</v>
      </c>
      <c r="D837" s="2" t="s">
        <v>292</v>
      </c>
      <c r="E837" s="2">
        <v>36</v>
      </c>
      <c r="F837" s="2"/>
      <c r="G837" s="2">
        <v>36</v>
      </c>
      <c r="H837" s="2" t="s">
        <v>1539</v>
      </c>
      <c r="I837" s="2" t="s">
        <v>695</v>
      </c>
      <c r="J837" s="2" t="s">
        <v>2537</v>
      </c>
      <c r="K837" s="2" t="s">
        <v>1855</v>
      </c>
      <c r="L837" s="2" t="s">
        <v>2399</v>
      </c>
      <c r="M837" s="2" t="str">
        <f t="shared" si="16"/>
        <v>05</v>
      </c>
      <c r="N837" s="2" t="s">
        <v>90</v>
      </c>
      <c r="O837" s="2" t="s">
        <v>4373</v>
      </c>
      <c r="P837" s="2" t="s">
        <v>4381</v>
      </c>
    </row>
    <row r="838" spans="1:16">
      <c r="A838" s="4">
        <v>46246.777557870373</v>
      </c>
      <c r="B838" s="2" t="s">
        <v>2614</v>
      </c>
      <c r="C838" s="2" t="s">
        <v>512</v>
      </c>
      <c r="D838" s="2" t="s">
        <v>292</v>
      </c>
      <c r="E838" s="2">
        <v>36</v>
      </c>
      <c r="F838" s="2"/>
      <c r="G838" s="2">
        <v>36</v>
      </c>
      <c r="H838" s="2" t="s">
        <v>1539</v>
      </c>
      <c r="I838" s="2" t="s">
        <v>695</v>
      </c>
      <c r="J838" s="2" t="s">
        <v>2537</v>
      </c>
      <c r="K838" s="2" t="s">
        <v>1855</v>
      </c>
      <c r="L838" s="2" t="s">
        <v>2399</v>
      </c>
      <c r="M838" s="2" t="str">
        <f t="shared" si="16"/>
        <v>05</v>
      </c>
      <c r="N838" s="2" t="s">
        <v>612</v>
      </c>
      <c r="O838" s="2" t="s">
        <v>4373</v>
      </c>
      <c r="P838" s="2" t="s">
        <v>4381</v>
      </c>
    </row>
    <row r="839" spans="1:16">
      <c r="A839" s="4">
        <v>46246.777361111112</v>
      </c>
      <c r="B839" s="2" t="s">
        <v>2432</v>
      </c>
      <c r="C839" s="2" t="s">
        <v>512</v>
      </c>
      <c r="D839" s="2" t="s">
        <v>292</v>
      </c>
      <c r="E839" s="2">
        <v>36</v>
      </c>
      <c r="F839" s="2"/>
      <c r="G839" s="2">
        <v>36</v>
      </c>
      <c r="H839" s="2" t="s">
        <v>1539</v>
      </c>
      <c r="I839" s="2" t="s">
        <v>695</v>
      </c>
      <c r="J839" s="2" t="s">
        <v>2537</v>
      </c>
      <c r="K839" s="2" t="s">
        <v>1855</v>
      </c>
      <c r="L839" s="2" t="s">
        <v>2399</v>
      </c>
      <c r="M839" s="2" t="str">
        <f t="shared" si="16"/>
        <v>05</v>
      </c>
      <c r="N839" s="2" t="s">
        <v>1917</v>
      </c>
      <c r="O839" s="2" t="s">
        <v>4373</v>
      </c>
      <c r="P839" s="2" t="s">
        <v>4381</v>
      </c>
    </row>
    <row r="840" spans="1:16">
      <c r="A840" s="4">
        <v>46246.776539351849</v>
      </c>
      <c r="B840" s="2" t="s">
        <v>1678</v>
      </c>
      <c r="C840" s="2" t="s">
        <v>512</v>
      </c>
      <c r="D840" s="2" t="s">
        <v>292</v>
      </c>
      <c r="E840" s="2">
        <v>36</v>
      </c>
      <c r="F840" s="2"/>
      <c r="G840" s="2">
        <v>36</v>
      </c>
      <c r="H840" s="2" t="s">
        <v>1539</v>
      </c>
      <c r="I840" s="2" t="s">
        <v>695</v>
      </c>
      <c r="J840" s="2" t="s">
        <v>2537</v>
      </c>
      <c r="K840" s="2" t="s">
        <v>1855</v>
      </c>
      <c r="L840" s="2" t="s">
        <v>2399</v>
      </c>
      <c r="M840" s="2" t="str">
        <f t="shared" si="16"/>
        <v>05</v>
      </c>
      <c r="N840" s="2" t="s">
        <v>621</v>
      </c>
      <c r="O840" s="2" t="s">
        <v>4373</v>
      </c>
      <c r="P840" s="2" t="s">
        <v>4381</v>
      </c>
    </row>
    <row r="841" spans="1:16">
      <c r="A841" s="4">
        <v>46246.776412037034</v>
      </c>
      <c r="B841" s="2" t="s">
        <v>2285</v>
      </c>
      <c r="C841" s="2" t="s">
        <v>512</v>
      </c>
      <c r="D841" s="2" t="s">
        <v>292</v>
      </c>
      <c r="E841" s="2">
        <v>36</v>
      </c>
      <c r="F841" s="2"/>
      <c r="G841" s="2">
        <v>36</v>
      </c>
      <c r="H841" s="2" t="s">
        <v>1539</v>
      </c>
      <c r="I841" s="2" t="s">
        <v>695</v>
      </c>
      <c r="J841" s="2" t="s">
        <v>2537</v>
      </c>
      <c r="K841" s="2" t="s">
        <v>1855</v>
      </c>
      <c r="L841" s="2" t="s">
        <v>2399</v>
      </c>
      <c r="M841" s="2" t="str">
        <f t="shared" si="16"/>
        <v>05</v>
      </c>
      <c r="N841" s="2" t="s">
        <v>2583</v>
      </c>
      <c r="O841" s="2" t="s">
        <v>4373</v>
      </c>
      <c r="P841" s="2" t="s">
        <v>4381</v>
      </c>
    </row>
    <row r="842" spans="1:16">
      <c r="A842" s="4">
        <v>46246.776226851849</v>
      </c>
      <c r="B842" s="2" t="s">
        <v>1103</v>
      </c>
      <c r="C842" s="2" t="s">
        <v>512</v>
      </c>
      <c r="D842" s="2" t="s">
        <v>292</v>
      </c>
      <c r="E842" s="2">
        <v>36</v>
      </c>
      <c r="F842" s="2"/>
      <c r="G842" s="2">
        <v>36</v>
      </c>
      <c r="H842" s="2" t="s">
        <v>1539</v>
      </c>
      <c r="I842" s="2" t="s">
        <v>695</v>
      </c>
      <c r="J842" s="2" t="s">
        <v>2537</v>
      </c>
      <c r="K842" s="2" t="s">
        <v>1855</v>
      </c>
      <c r="L842" s="2" t="s">
        <v>2399</v>
      </c>
      <c r="M842" s="2" t="str">
        <f t="shared" si="16"/>
        <v>05</v>
      </c>
      <c r="N842" s="2" t="s">
        <v>3084</v>
      </c>
      <c r="O842" s="2" t="s">
        <v>4373</v>
      </c>
      <c r="P842" s="2" t="s">
        <v>4381</v>
      </c>
    </row>
    <row r="843" spans="1:16">
      <c r="A843" s="4">
        <v>46246.775173611109</v>
      </c>
      <c r="B843" s="2" t="s">
        <v>2980</v>
      </c>
      <c r="C843" s="2" t="s">
        <v>512</v>
      </c>
      <c r="D843" s="2" t="s">
        <v>292</v>
      </c>
      <c r="E843" s="2">
        <v>36</v>
      </c>
      <c r="F843" s="2"/>
      <c r="G843" s="2">
        <v>36</v>
      </c>
      <c r="H843" s="2" t="s">
        <v>1539</v>
      </c>
      <c r="I843" s="2" t="s">
        <v>695</v>
      </c>
      <c r="J843" s="2" t="s">
        <v>2537</v>
      </c>
      <c r="K843" s="2" t="s">
        <v>1855</v>
      </c>
      <c r="L843" s="2" t="s">
        <v>2399</v>
      </c>
      <c r="M843" s="2" t="str">
        <f t="shared" si="16"/>
        <v>05</v>
      </c>
      <c r="N843" s="2" t="s">
        <v>2019</v>
      </c>
      <c r="O843" s="2" t="s">
        <v>4373</v>
      </c>
      <c r="P843" s="2" t="s">
        <v>4381</v>
      </c>
    </row>
    <row r="844" spans="1:16">
      <c r="A844" s="4">
        <v>46246.774907407409</v>
      </c>
      <c r="B844" s="2" t="s">
        <v>240</v>
      </c>
      <c r="C844" s="2" t="s">
        <v>512</v>
      </c>
      <c r="D844" s="2" t="s">
        <v>292</v>
      </c>
      <c r="E844" s="2">
        <v>36</v>
      </c>
      <c r="F844" s="2"/>
      <c r="G844" s="2">
        <v>36</v>
      </c>
      <c r="H844" s="2" t="s">
        <v>1539</v>
      </c>
      <c r="I844" s="2" t="s">
        <v>695</v>
      </c>
      <c r="J844" s="2" t="s">
        <v>2537</v>
      </c>
      <c r="K844" s="2" t="s">
        <v>1855</v>
      </c>
      <c r="L844" s="2" t="s">
        <v>2399</v>
      </c>
      <c r="M844" s="2" t="str">
        <f t="shared" si="16"/>
        <v>05</v>
      </c>
      <c r="N844" s="2" t="s">
        <v>3167</v>
      </c>
      <c r="O844" s="2" t="s">
        <v>4373</v>
      </c>
      <c r="P844" s="2" t="s">
        <v>4381</v>
      </c>
    </row>
    <row r="845" spans="1:16">
      <c r="A845" s="4">
        <v>46246.774710648147</v>
      </c>
      <c r="B845" s="2" t="s">
        <v>3459</v>
      </c>
      <c r="C845" s="2" t="s">
        <v>512</v>
      </c>
      <c r="D845" s="2" t="s">
        <v>292</v>
      </c>
      <c r="E845" s="2">
        <v>36</v>
      </c>
      <c r="F845" s="2"/>
      <c r="G845" s="2">
        <v>36</v>
      </c>
      <c r="H845" s="2" t="s">
        <v>1539</v>
      </c>
      <c r="I845" s="2" t="s">
        <v>695</v>
      </c>
      <c r="J845" s="2" t="s">
        <v>2537</v>
      </c>
      <c r="K845" s="2" t="s">
        <v>1855</v>
      </c>
      <c r="L845" s="2" t="s">
        <v>2399</v>
      </c>
      <c r="M845" s="2" t="str">
        <f t="shared" si="16"/>
        <v>05</v>
      </c>
      <c r="N845" s="2" t="s">
        <v>3516</v>
      </c>
      <c r="O845" s="2" t="s">
        <v>4373</v>
      </c>
      <c r="P845" s="2" t="s">
        <v>4381</v>
      </c>
    </row>
    <row r="846" spans="1:16">
      <c r="A846" s="4">
        <v>46246.773692129631</v>
      </c>
      <c r="B846" s="2" t="s">
        <v>2454</v>
      </c>
      <c r="C846" s="2" t="s">
        <v>512</v>
      </c>
      <c r="D846" s="2" t="s">
        <v>292</v>
      </c>
      <c r="E846" s="2">
        <v>36</v>
      </c>
      <c r="F846" s="2"/>
      <c r="G846" s="2">
        <v>36</v>
      </c>
      <c r="H846" s="2" t="s">
        <v>1539</v>
      </c>
      <c r="I846" s="2" t="s">
        <v>695</v>
      </c>
      <c r="J846" s="2" t="s">
        <v>2537</v>
      </c>
      <c r="K846" s="2" t="s">
        <v>1855</v>
      </c>
      <c r="L846" s="2" t="s">
        <v>2399</v>
      </c>
      <c r="M846" s="2" t="str">
        <f t="shared" si="16"/>
        <v>05</v>
      </c>
      <c r="N846" s="2" t="s">
        <v>907</v>
      </c>
      <c r="O846" s="2" t="s">
        <v>4373</v>
      </c>
      <c r="P846" s="2" t="s">
        <v>4381</v>
      </c>
    </row>
    <row r="847" spans="1:16">
      <c r="A847" s="4">
        <v>46246.773530092592</v>
      </c>
      <c r="B847" s="2" t="s">
        <v>3686</v>
      </c>
      <c r="C847" s="2" t="s">
        <v>512</v>
      </c>
      <c r="D847" s="2" t="s">
        <v>292</v>
      </c>
      <c r="E847" s="2">
        <v>36</v>
      </c>
      <c r="F847" s="2"/>
      <c r="G847" s="2">
        <v>36</v>
      </c>
      <c r="H847" s="2" t="s">
        <v>1539</v>
      </c>
      <c r="I847" s="2" t="s">
        <v>695</v>
      </c>
      <c r="J847" s="2" t="s">
        <v>2537</v>
      </c>
      <c r="K847" s="2" t="s">
        <v>1855</v>
      </c>
      <c r="L847" s="2" t="s">
        <v>2399</v>
      </c>
      <c r="M847" s="2" t="str">
        <f t="shared" si="16"/>
        <v>05</v>
      </c>
      <c r="N847" s="2" t="s">
        <v>425</v>
      </c>
      <c r="O847" s="2" t="s">
        <v>4373</v>
      </c>
      <c r="P847" s="2" t="s">
        <v>4381</v>
      </c>
    </row>
    <row r="848" spans="1:16">
      <c r="A848" s="4">
        <v>46246.773368055554</v>
      </c>
      <c r="B848" s="2" t="s">
        <v>2006</v>
      </c>
      <c r="C848" s="2" t="s">
        <v>512</v>
      </c>
      <c r="D848" s="2" t="s">
        <v>292</v>
      </c>
      <c r="E848" s="2">
        <v>36</v>
      </c>
      <c r="F848" s="2"/>
      <c r="G848" s="2">
        <v>36</v>
      </c>
      <c r="H848" s="2" t="s">
        <v>1539</v>
      </c>
      <c r="I848" s="2" t="s">
        <v>695</v>
      </c>
      <c r="J848" s="2" t="s">
        <v>2537</v>
      </c>
      <c r="K848" s="2" t="s">
        <v>1855</v>
      </c>
      <c r="L848" s="2" t="s">
        <v>2399</v>
      </c>
      <c r="M848" s="2" t="str">
        <f t="shared" si="16"/>
        <v>05</v>
      </c>
      <c r="N848" s="2" t="s">
        <v>1725</v>
      </c>
      <c r="O848" s="2" t="s">
        <v>4373</v>
      </c>
      <c r="P848" s="2" t="s">
        <v>4381</v>
      </c>
    </row>
    <row r="849" spans="1:16">
      <c r="A849" s="4">
        <v>46246.772361111114</v>
      </c>
      <c r="B849" s="2" t="s">
        <v>797</v>
      </c>
      <c r="C849" s="2" t="s">
        <v>512</v>
      </c>
      <c r="D849" s="2" t="s">
        <v>292</v>
      </c>
      <c r="E849" s="2">
        <v>36</v>
      </c>
      <c r="F849" s="2"/>
      <c r="G849" s="2">
        <v>36</v>
      </c>
      <c r="H849" s="2" t="s">
        <v>1539</v>
      </c>
      <c r="I849" s="2" t="s">
        <v>695</v>
      </c>
      <c r="J849" s="2" t="s">
        <v>2537</v>
      </c>
      <c r="K849" s="2" t="s">
        <v>1855</v>
      </c>
      <c r="L849" s="2" t="s">
        <v>2399</v>
      </c>
      <c r="M849" s="2" t="str">
        <f t="shared" si="16"/>
        <v>05</v>
      </c>
      <c r="N849" s="2" t="s">
        <v>3604</v>
      </c>
      <c r="O849" s="2" t="s">
        <v>4373</v>
      </c>
      <c r="P849" s="2" t="s">
        <v>4381</v>
      </c>
    </row>
    <row r="850" spans="1:16">
      <c r="A850" s="4">
        <v>46246.772129629629</v>
      </c>
      <c r="B850" s="2" t="s">
        <v>540</v>
      </c>
      <c r="C850" s="2" t="s">
        <v>512</v>
      </c>
      <c r="D850" s="2" t="s">
        <v>292</v>
      </c>
      <c r="E850" s="2">
        <v>36</v>
      </c>
      <c r="F850" s="2"/>
      <c r="G850" s="2">
        <v>36</v>
      </c>
      <c r="H850" s="2" t="s">
        <v>1539</v>
      </c>
      <c r="I850" s="2" t="s">
        <v>695</v>
      </c>
      <c r="J850" s="2" t="s">
        <v>2537</v>
      </c>
      <c r="K850" s="2" t="s">
        <v>1855</v>
      </c>
      <c r="L850" s="2" t="s">
        <v>2399</v>
      </c>
      <c r="M850" s="2" t="str">
        <f t="shared" si="16"/>
        <v>05</v>
      </c>
      <c r="N850" s="2" t="s">
        <v>3554</v>
      </c>
      <c r="O850" s="2" t="s">
        <v>4373</v>
      </c>
      <c r="P850" s="2" t="s">
        <v>4381</v>
      </c>
    </row>
    <row r="851" spans="1:16">
      <c r="A851" s="4">
        <v>46246.771770833337</v>
      </c>
      <c r="B851" s="2" t="s">
        <v>1747</v>
      </c>
      <c r="C851" s="2" t="s">
        <v>512</v>
      </c>
      <c r="D851" s="2" t="s">
        <v>292</v>
      </c>
      <c r="E851" s="2">
        <v>36</v>
      </c>
      <c r="F851" s="2"/>
      <c r="G851" s="2">
        <v>36</v>
      </c>
      <c r="H851" s="2" t="s">
        <v>1539</v>
      </c>
      <c r="I851" s="2" t="s">
        <v>695</v>
      </c>
      <c r="J851" s="2" t="s">
        <v>2537</v>
      </c>
      <c r="K851" s="2" t="s">
        <v>1855</v>
      </c>
      <c r="L851" s="2" t="s">
        <v>2399</v>
      </c>
      <c r="M851" s="2" t="str">
        <f t="shared" si="16"/>
        <v>05</v>
      </c>
      <c r="N851" s="2" t="s">
        <v>3092</v>
      </c>
      <c r="O851" s="2" t="s">
        <v>4373</v>
      </c>
      <c r="P851" s="2" t="s">
        <v>4381</v>
      </c>
    </row>
    <row r="852" spans="1:16">
      <c r="A852" s="4">
        <v>46246.771608796298</v>
      </c>
      <c r="B852" s="2" t="s">
        <v>4330</v>
      </c>
      <c r="C852" s="2" t="s">
        <v>512</v>
      </c>
      <c r="D852" s="2" t="s">
        <v>292</v>
      </c>
      <c r="E852" s="2">
        <v>36</v>
      </c>
      <c r="F852" s="2"/>
      <c r="G852" s="2">
        <v>36</v>
      </c>
      <c r="H852" s="2" t="s">
        <v>1539</v>
      </c>
      <c r="I852" s="2" t="s">
        <v>695</v>
      </c>
      <c r="J852" s="2" t="s">
        <v>2537</v>
      </c>
      <c r="K852" s="2" t="s">
        <v>1855</v>
      </c>
      <c r="L852" s="2" t="s">
        <v>2399</v>
      </c>
      <c r="M852" s="2" t="str">
        <f t="shared" si="16"/>
        <v>05</v>
      </c>
      <c r="N852" s="2" t="s">
        <v>851</v>
      </c>
      <c r="O852" s="2" t="s">
        <v>4373</v>
      </c>
      <c r="P852" s="2" t="s">
        <v>4381</v>
      </c>
    </row>
    <row r="853" spans="1:16">
      <c r="A853" s="4">
        <v>46246.771307870367</v>
      </c>
      <c r="B853" s="2" t="s">
        <v>1577</v>
      </c>
      <c r="C853" s="2" t="s">
        <v>512</v>
      </c>
      <c r="D853" s="2" t="s">
        <v>292</v>
      </c>
      <c r="E853" s="2">
        <v>36</v>
      </c>
      <c r="F853" s="2"/>
      <c r="G853" s="2">
        <v>36</v>
      </c>
      <c r="H853" s="2" t="s">
        <v>1539</v>
      </c>
      <c r="I853" s="2" t="s">
        <v>695</v>
      </c>
      <c r="J853" s="2" t="s">
        <v>2537</v>
      </c>
      <c r="K853" s="2" t="s">
        <v>1855</v>
      </c>
      <c r="L853" s="2" t="s">
        <v>2399</v>
      </c>
      <c r="M853" s="2" t="str">
        <f t="shared" si="16"/>
        <v>05</v>
      </c>
      <c r="N853" s="2" t="s">
        <v>3804</v>
      </c>
      <c r="O853" s="2" t="s">
        <v>4373</v>
      </c>
      <c r="P853" s="2" t="s">
        <v>4381</v>
      </c>
    </row>
    <row r="854" spans="1:16">
      <c r="A854" s="4">
        <v>46246.770983796298</v>
      </c>
      <c r="B854" s="2" t="s">
        <v>2831</v>
      </c>
      <c r="C854" s="2" t="s">
        <v>512</v>
      </c>
      <c r="D854" s="2" t="s">
        <v>292</v>
      </c>
      <c r="E854" s="2">
        <v>36</v>
      </c>
      <c r="F854" s="2"/>
      <c r="G854" s="2">
        <v>36</v>
      </c>
      <c r="H854" s="2" t="s">
        <v>1539</v>
      </c>
      <c r="I854" s="2" t="s">
        <v>695</v>
      </c>
      <c r="J854" s="2" t="s">
        <v>2537</v>
      </c>
      <c r="K854" s="2" t="s">
        <v>1855</v>
      </c>
      <c r="L854" s="2" t="s">
        <v>2399</v>
      </c>
      <c r="M854" s="2" t="str">
        <f t="shared" si="16"/>
        <v>05</v>
      </c>
      <c r="N854" s="2" t="s">
        <v>2623</v>
      </c>
      <c r="O854" s="2" t="s">
        <v>4373</v>
      </c>
      <c r="P854" s="2" t="s">
        <v>4381</v>
      </c>
    </row>
    <row r="855" spans="1:16">
      <c r="A855" s="4">
        <v>46246.769583333335</v>
      </c>
      <c r="B855" s="2" t="s">
        <v>7</v>
      </c>
      <c r="C855" s="2" t="s">
        <v>512</v>
      </c>
      <c r="D855" s="2" t="s">
        <v>292</v>
      </c>
      <c r="E855" s="2">
        <v>36</v>
      </c>
      <c r="F855" s="2"/>
      <c r="G855" s="2">
        <v>36</v>
      </c>
      <c r="H855" s="2" t="s">
        <v>1539</v>
      </c>
      <c r="I855" s="2" t="s">
        <v>695</v>
      </c>
      <c r="J855" s="2" t="s">
        <v>2537</v>
      </c>
      <c r="K855" s="2" t="s">
        <v>1855</v>
      </c>
      <c r="L855" s="2" t="s">
        <v>2399</v>
      </c>
      <c r="M855" s="2" t="str">
        <f t="shared" si="16"/>
        <v>05</v>
      </c>
      <c r="N855" s="2" t="s">
        <v>173</v>
      </c>
      <c r="O855" s="2" t="s">
        <v>4373</v>
      </c>
      <c r="P855" s="2" t="s">
        <v>4381</v>
      </c>
    </row>
    <row r="856" spans="1:16">
      <c r="A856" s="4">
        <v>46246.76934027778</v>
      </c>
      <c r="B856" s="2" t="s">
        <v>1474</v>
      </c>
      <c r="C856" s="2" t="s">
        <v>512</v>
      </c>
      <c r="D856" s="2" t="s">
        <v>292</v>
      </c>
      <c r="E856" s="2">
        <v>36</v>
      </c>
      <c r="F856" s="2"/>
      <c r="G856" s="2">
        <v>36</v>
      </c>
      <c r="H856" s="2" t="s">
        <v>1539</v>
      </c>
      <c r="I856" s="2" t="s">
        <v>695</v>
      </c>
      <c r="J856" s="2" t="s">
        <v>2537</v>
      </c>
      <c r="K856" s="2" t="s">
        <v>1855</v>
      </c>
      <c r="L856" s="2" t="s">
        <v>2399</v>
      </c>
      <c r="M856" s="2" t="str">
        <f t="shared" si="16"/>
        <v>05</v>
      </c>
      <c r="N856" s="2" t="s">
        <v>3511</v>
      </c>
      <c r="O856" s="2" t="s">
        <v>4373</v>
      </c>
      <c r="P856" s="2" t="s">
        <v>4381</v>
      </c>
    </row>
    <row r="857" spans="1:16">
      <c r="A857" s="4">
        <v>46246.769131944442</v>
      </c>
      <c r="B857" s="2" t="s">
        <v>1914</v>
      </c>
      <c r="C857" s="2" t="s">
        <v>512</v>
      </c>
      <c r="D857" s="2" t="s">
        <v>292</v>
      </c>
      <c r="E857" s="2">
        <v>36</v>
      </c>
      <c r="F857" s="2"/>
      <c r="G857" s="2">
        <v>36</v>
      </c>
      <c r="H857" s="2" t="s">
        <v>1539</v>
      </c>
      <c r="I857" s="2" t="s">
        <v>695</v>
      </c>
      <c r="J857" s="2" t="s">
        <v>2537</v>
      </c>
      <c r="K857" s="2" t="s">
        <v>1855</v>
      </c>
      <c r="L857" s="2" t="s">
        <v>2399</v>
      </c>
      <c r="M857" s="2" t="str">
        <f t="shared" si="16"/>
        <v>05</v>
      </c>
      <c r="N857" s="2" t="s">
        <v>2516</v>
      </c>
      <c r="O857" s="2" t="s">
        <v>4373</v>
      </c>
      <c r="P857" s="2" t="s">
        <v>4381</v>
      </c>
    </row>
    <row r="858" spans="1:16">
      <c r="A858" s="4">
        <v>46246.767870370371</v>
      </c>
      <c r="B858" s="2" t="s">
        <v>2078</v>
      </c>
      <c r="C858" s="2" t="s">
        <v>512</v>
      </c>
      <c r="D858" s="2" t="s">
        <v>292</v>
      </c>
      <c r="E858" s="2">
        <v>36</v>
      </c>
      <c r="F858" s="2"/>
      <c r="G858" s="2">
        <v>36</v>
      </c>
      <c r="H858" s="2" t="s">
        <v>1539</v>
      </c>
      <c r="I858" s="2" t="s">
        <v>695</v>
      </c>
      <c r="J858" s="2" t="s">
        <v>2537</v>
      </c>
      <c r="K858" s="2" t="s">
        <v>1855</v>
      </c>
      <c r="L858" s="2" t="s">
        <v>2399</v>
      </c>
      <c r="M858" s="2" t="str">
        <f t="shared" si="16"/>
        <v>05</v>
      </c>
      <c r="N858" s="2" t="s">
        <v>59</v>
      </c>
      <c r="O858" s="2" t="s">
        <v>4373</v>
      </c>
      <c r="P858" s="2" t="s">
        <v>4381</v>
      </c>
    </row>
    <row r="859" spans="1:16">
      <c r="A859" s="4">
        <v>46246.767754629633</v>
      </c>
      <c r="B859" s="2" t="s">
        <v>420</v>
      </c>
      <c r="C859" s="2" t="s">
        <v>512</v>
      </c>
      <c r="D859" s="2" t="s">
        <v>292</v>
      </c>
      <c r="E859" s="2">
        <v>36</v>
      </c>
      <c r="F859" s="2"/>
      <c r="G859" s="2">
        <v>36</v>
      </c>
      <c r="H859" s="2" t="s">
        <v>1539</v>
      </c>
      <c r="I859" s="2" t="s">
        <v>695</v>
      </c>
      <c r="J859" s="2" t="s">
        <v>2537</v>
      </c>
      <c r="K859" s="2" t="s">
        <v>1855</v>
      </c>
      <c r="L859" s="2" t="s">
        <v>2399</v>
      </c>
      <c r="M859" s="2" t="str">
        <f t="shared" si="16"/>
        <v>05</v>
      </c>
      <c r="N859" s="2" t="s">
        <v>3476</v>
      </c>
      <c r="O859" s="2" t="s">
        <v>4373</v>
      </c>
      <c r="P859" s="2" t="s">
        <v>4381</v>
      </c>
    </row>
    <row r="860" spans="1:16">
      <c r="A860" s="4">
        <v>46246.628148148149</v>
      </c>
      <c r="B860" s="2" t="s">
        <v>3218</v>
      </c>
      <c r="C860" s="2" t="s">
        <v>512</v>
      </c>
      <c r="D860" s="2" t="s">
        <v>292</v>
      </c>
      <c r="E860" s="2">
        <v>36</v>
      </c>
      <c r="F860" s="2"/>
      <c r="G860" s="2">
        <v>36</v>
      </c>
      <c r="H860" s="2" t="s">
        <v>1539</v>
      </c>
      <c r="I860" s="2" t="s">
        <v>695</v>
      </c>
      <c r="J860" s="2" t="s">
        <v>2537</v>
      </c>
      <c r="K860" s="2" t="s">
        <v>1855</v>
      </c>
      <c r="L860" s="2" t="s">
        <v>4243</v>
      </c>
      <c r="M860" s="2" t="str">
        <f t="shared" si="16"/>
        <v>12</v>
      </c>
      <c r="N860" s="2" t="s">
        <v>2056</v>
      </c>
      <c r="O860" s="2" t="s">
        <v>4373</v>
      </c>
      <c r="P860" s="2" t="s">
        <v>4381</v>
      </c>
    </row>
    <row r="861" spans="1:16">
      <c r="A861" s="4">
        <v>46246.578009259261</v>
      </c>
      <c r="B861" s="2" t="s">
        <v>3491</v>
      </c>
      <c r="C861" s="2" t="s">
        <v>512</v>
      </c>
      <c r="D861" s="2" t="s">
        <v>292</v>
      </c>
      <c r="E861" s="2">
        <v>36</v>
      </c>
      <c r="F861" s="2"/>
      <c r="G861" s="2">
        <v>36</v>
      </c>
      <c r="H861" s="2" t="s">
        <v>1539</v>
      </c>
      <c r="I861" s="2" t="s">
        <v>695</v>
      </c>
      <c r="J861" s="2" t="s">
        <v>2537</v>
      </c>
      <c r="K861" s="2" t="s">
        <v>1855</v>
      </c>
      <c r="L861" s="2" t="s">
        <v>4243</v>
      </c>
      <c r="M861" s="2" t="str">
        <f t="shared" si="16"/>
        <v>12</v>
      </c>
      <c r="N861" s="2" t="s">
        <v>811</v>
      </c>
      <c r="O861" s="2" t="s">
        <v>4373</v>
      </c>
      <c r="P861" s="2" t="s">
        <v>4381</v>
      </c>
    </row>
    <row r="862" spans="1:16">
      <c r="A862" s="4">
        <v>46246.573807870373</v>
      </c>
      <c r="B862" s="2" t="s">
        <v>2271</v>
      </c>
      <c r="C862" s="2" t="s">
        <v>512</v>
      </c>
      <c r="D862" s="2" t="s">
        <v>292</v>
      </c>
      <c r="E862" s="2">
        <v>36</v>
      </c>
      <c r="F862" s="2"/>
      <c r="G862" s="2">
        <v>36</v>
      </c>
      <c r="H862" s="2" t="s">
        <v>1539</v>
      </c>
      <c r="I862" s="2" t="s">
        <v>695</v>
      </c>
      <c r="J862" s="2" t="s">
        <v>2537</v>
      </c>
      <c r="K862" s="2" t="s">
        <v>1855</v>
      </c>
      <c r="L862" s="2" t="s">
        <v>4243</v>
      </c>
      <c r="M862" s="2" t="str">
        <f t="shared" si="16"/>
        <v>12</v>
      </c>
      <c r="N862" s="2" t="s">
        <v>2029</v>
      </c>
      <c r="O862" s="2" t="s">
        <v>4373</v>
      </c>
      <c r="P862" s="2" t="s">
        <v>4381</v>
      </c>
    </row>
    <row r="863" spans="1:16">
      <c r="A863" s="4">
        <v>46246.573611111111</v>
      </c>
      <c r="B863" s="2" t="s">
        <v>4059</v>
      </c>
      <c r="C863" s="2" t="s">
        <v>512</v>
      </c>
      <c r="D863" s="2" t="s">
        <v>292</v>
      </c>
      <c r="E863" s="2">
        <v>36</v>
      </c>
      <c r="F863" s="2"/>
      <c r="G863" s="2">
        <v>36</v>
      </c>
      <c r="H863" s="2" t="s">
        <v>1539</v>
      </c>
      <c r="I863" s="2" t="s">
        <v>695</v>
      </c>
      <c r="J863" s="2" t="s">
        <v>2537</v>
      </c>
      <c r="K863" s="2" t="s">
        <v>1855</v>
      </c>
      <c r="L863" s="2" t="s">
        <v>4243</v>
      </c>
      <c r="M863" s="2" t="str">
        <f t="shared" si="16"/>
        <v>12</v>
      </c>
      <c r="N863" s="2" t="s">
        <v>1536</v>
      </c>
      <c r="O863" s="2" t="s">
        <v>4373</v>
      </c>
      <c r="P863" s="2" t="s">
        <v>4381</v>
      </c>
    </row>
    <row r="864" spans="1:16">
      <c r="A864" s="4">
        <v>46246.573472222219</v>
      </c>
      <c r="B864" s="2" t="s">
        <v>1736</v>
      </c>
      <c r="C864" s="2" t="s">
        <v>512</v>
      </c>
      <c r="D864" s="2" t="s">
        <v>292</v>
      </c>
      <c r="E864" s="2">
        <v>36</v>
      </c>
      <c r="F864" s="2"/>
      <c r="G864" s="2">
        <v>36</v>
      </c>
      <c r="H864" s="2" t="s">
        <v>1539</v>
      </c>
      <c r="I864" s="2" t="s">
        <v>695</v>
      </c>
      <c r="J864" s="2" t="s">
        <v>2537</v>
      </c>
      <c r="K864" s="2" t="s">
        <v>1855</v>
      </c>
      <c r="L864" s="2" t="s">
        <v>4243</v>
      </c>
      <c r="M864" s="2" t="str">
        <f t="shared" si="16"/>
        <v>12</v>
      </c>
      <c r="N864" s="2" t="s">
        <v>1505</v>
      </c>
      <c r="O864" s="2" t="s">
        <v>4373</v>
      </c>
      <c r="P864" s="2" t="s">
        <v>4381</v>
      </c>
    </row>
    <row r="865" spans="1:16">
      <c r="A865" s="4">
        <v>46246.572835648149</v>
      </c>
      <c r="B865" s="2" t="s">
        <v>2703</v>
      </c>
      <c r="C865" s="2" t="s">
        <v>512</v>
      </c>
      <c r="D865" s="2" t="s">
        <v>292</v>
      </c>
      <c r="E865" s="2">
        <v>36</v>
      </c>
      <c r="F865" s="2"/>
      <c r="G865" s="2">
        <v>36</v>
      </c>
      <c r="H865" s="2" t="s">
        <v>1539</v>
      </c>
      <c r="I865" s="2" t="s">
        <v>695</v>
      </c>
      <c r="J865" s="2" t="s">
        <v>2537</v>
      </c>
      <c r="K865" s="2" t="s">
        <v>1855</v>
      </c>
      <c r="L865" s="2" t="s">
        <v>4243</v>
      </c>
      <c r="M865" s="2" t="str">
        <f t="shared" si="16"/>
        <v>12</v>
      </c>
      <c r="N865" s="2" t="s">
        <v>414</v>
      </c>
      <c r="O865" s="2" t="s">
        <v>4373</v>
      </c>
      <c r="P865" s="2" t="s">
        <v>4381</v>
      </c>
    </row>
    <row r="866" spans="1:16">
      <c r="A866" s="4">
        <v>46246.572002314817</v>
      </c>
      <c r="B866" s="2" t="s">
        <v>21</v>
      </c>
      <c r="C866" s="2" t="s">
        <v>512</v>
      </c>
      <c r="D866" s="2" t="s">
        <v>292</v>
      </c>
      <c r="E866" s="2">
        <v>36</v>
      </c>
      <c r="F866" s="2"/>
      <c r="G866" s="2">
        <v>36</v>
      </c>
      <c r="H866" s="2" t="s">
        <v>1539</v>
      </c>
      <c r="I866" s="2" t="s">
        <v>695</v>
      </c>
      <c r="J866" s="2" t="s">
        <v>2537</v>
      </c>
      <c r="K866" s="2" t="s">
        <v>1855</v>
      </c>
      <c r="L866" s="2" t="s">
        <v>4243</v>
      </c>
      <c r="M866" s="2" t="str">
        <f t="shared" si="16"/>
        <v>12</v>
      </c>
      <c r="N866" s="2" t="s">
        <v>633</v>
      </c>
      <c r="O866" s="2" t="s">
        <v>4373</v>
      </c>
      <c r="P866" s="2" t="s">
        <v>4381</v>
      </c>
    </row>
    <row r="867" spans="1:16">
      <c r="A867" s="4">
        <v>46246.571956018517</v>
      </c>
      <c r="B867" s="2" t="s">
        <v>2227</v>
      </c>
      <c r="C867" s="2" t="s">
        <v>512</v>
      </c>
      <c r="D867" s="2" t="s">
        <v>292</v>
      </c>
      <c r="E867" s="2">
        <v>36</v>
      </c>
      <c r="F867" s="2"/>
      <c r="G867" s="2">
        <v>36</v>
      </c>
      <c r="H867" s="2" t="s">
        <v>1539</v>
      </c>
      <c r="I867" s="2" t="s">
        <v>695</v>
      </c>
      <c r="J867" s="2" t="s">
        <v>2537</v>
      </c>
      <c r="K867" s="2" t="s">
        <v>1855</v>
      </c>
      <c r="L867" s="2" t="s">
        <v>4243</v>
      </c>
      <c r="M867" s="2" t="str">
        <f t="shared" si="16"/>
        <v>12</v>
      </c>
      <c r="N867" s="2" t="s">
        <v>1553</v>
      </c>
      <c r="O867" s="2" t="s">
        <v>4373</v>
      </c>
      <c r="P867" s="2" t="s">
        <v>4381</v>
      </c>
    </row>
    <row r="868" spans="1:16">
      <c r="A868" s="4">
        <v>46246.571921296294</v>
      </c>
      <c r="B868" s="2" t="s">
        <v>221</v>
      </c>
      <c r="C868" s="2" t="s">
        <v>512</v>
      </c>
      <c r="D868" s="2" t="s">
        <v>292</v>
      </c>
      <c r="E868" s="2">
        <v>36</v>
      </c>
      <c r="F868" s="2"/>
      <c r="G868" s="2">
        <v>36</v>
      </c>
      <c r="H868" s="2" t="s">
        <v>1539</v>
      </c>
      <c r="I868" s="2" t="s">
        <v>695</v>
      </c>
      <c r="J868" s="2" t="s">
        <v>2537</v>
      </c>
      <c r="K868" s="2" t="s">
        <v>1855</v>
      </c>
      <c r="L868" s="2" t="s">
        <v>4243</v>
      </c>
      <c r="M868" s="2" t="str">
        <f t="shared" si="16"/>
        <v>12</v>
      </c>
      <c r="N868" s="2" t="s">
        <v>1496</v>
      </c>
      <c r="O868" s="2" t="s">
        <v>4373</v>
      </c>
      <c r="P868" s="2" t="s">
        <v>4381</v>
      </c>
    </row>
    <row r="869" spans="1:16">
      <c r="A869" s="4">
        <v>46246.571631944447</v>
      </c>
      <c r="B869" s="2" t="s">
        <v>293</v>
      </c>
      <c r="C869" s="2" t="s">
        <v>512</v>
      </c>
      <c r="D869" s="2" t="s">
        <v>292</v>
      </c>
      <c r="E869" s="2">
        <v>36</v>
      </c>
      <c r="F869" s="2"/>
      <c r="G869" s="2">
        <v>36</v>
      </c>
      <c r="H869" s="2" t="s">
        <v>1539</v>
      </c>
      <c r="I869" s="2" t="s">
        <v>695</v>
      </c>
      <c r="J869" s="2" t="s">
        <v>2537</v>
      </c>
      <c r="K869" s="2" t="s">
        <v>1855</v>
      </c>
      <c r="L869" s="2" t="s">
        <v>4243</v>
      </c>
      <c r="M869" s="2" t="str">
        <f t="shared" si="16"/>
        <v>12</v>
      </c>
      <c r="N869" s="2" t="s">
        <v>3726</v>
      </c>
      <c r="O869" s="2" t="s">
        <v>4373</v>
      </c>
      <c r="P869" s="2" t="s">
        <v>4381</v>
      </c>
    </row>
    <row r="870" spans="1:16">
      <c r="A870" s="4">
        <v>46246.571631944447</v>
      </c>
      <c r="B870" s="2" t="s">
        <v>1060</v>
      </c>
      <c r="C870" s="2" t="s">
        <v>512</v>
      </c>
      <c r="D870" s="2" t="s">
        <v>292</v>
      </c>
      <c r="E870" s="2">
        <v>36</v>
      </c>
      <c r="F870" s="2"/>
      <c r="G870" s="2">
        <v>36</v>
      </c>
      <c r="H870" s="2" t="s">
        <v>1539</v>
      </c>
      <c r="I870" s="2" t="s">
        <v>695</v>
      </c>
      <c r="J870" s="2" t="s">
        <v>2537</v>
      </c>
      <c r="K870" s="2" t="s">
        <v>1855</v>
      </c>
      <c r="L870" s="2" t="s">
        <v>4243</v>
      </c>
      <c r="M870" s="2" t="str">
        <f t="shared" si="16"/>
        <v>12</v>
      </c>
      <c r="N870" s="2" t="s">
        <v>3165</v>
      </c>
      <c r="O870" s="2" t="s">
        <v>4373</v>
      </c>
      <c r="P870" s="2" t="s">
        <v>4381</v>
      </c>
    </row>
    <row r="871" spans="1:16">
      <c r="A871" s="4">
        <v>46246.571458333332</v>
      </c>
      <c r="B871" s="2" t="s">
        <v>736</v>
      </c>
      <c r="C871" s="2" t="s">
        <v>512</v>
      </c>
      <c r="D871" s="2" t="s">
        <v>292</v>
      </c>
      <c r="E871" s="2">
        <v>36</v>
      </c>
      <c r="F871" s="2"/>
      <c r="G871" s="2">
        <v>36</v>
      </c>
      <c r="H871" s="2" t="s">
        <v>1539</v>
      </c>
      <c r="I871" s="2" t="s">
        <v>695</v>
      </c>
      <c r="J871" s="2" t="s">
        <v>2537</v>
      </c>
      <c r="K871" s="2" t="s">
        <v>1855</v>
      </c>
      <c r="L871" s="2" t="s">
        <v>4243</v>
      </c>
      <c r="M871" s="2" t="str">
        <f t="shared" si="16"/>
        <v>12</v>
      </c>
      <c r="N871" s="2" t="s">
        <v>3267</v>
      </c>
      <c r="O871" s="2" t="s">
        <v>4373</v>
      </c>
      <c r="P871" s="2" t="s">
        <v>4381</v>
      </c>
    </row>
    <row r="872" spans="1:16">
      <c r="A872" s="4">
        <v>46246.571435185186</v>
      </c>
      <c r="B872" s="2" t="s">
        <v>4300</v>
      </c>
      <c r="C872" s="2" t="s">
        <v>512</v>
      </c>
      <c r="D872" s="2" t="s">
        <v>292</v>
      </c>
      <c r="E872" s="2">
        <v>36</v>
      </c>
      <c r="F872" s="2"/>
      <c r="G872" s="2">
        <v>36</v>
      </c>
      <c r="H872" s="2" t="s">
        <v>1539</v>
      </c>
      <c r="I872" s="2" t="s">
        <v>695</v>
      </c>
      <c r="J872" s="2" t="s">
        <v>2537</v>
      </c>
      <c r="K872" s="2" t="s">
        <v>1855</v>
      </c>
      <c r="L872" s="2" t="s">
        <v>4243</v>
      </c>
      <c r="M872" s="2" t="str">
        <f t="shared" si="16"/>
        <v>12</v>
      </c>
      <c r="N872" s="2" t="s">
        <v>3941</v>
      </c>
      <c r="O872" s="2" t="s">
        <v>4373</v>
      </c>
      <c r="P872" s="2" t="s">
        <v>4381</v>
      </c>
    </row>
    <row r="873" spans="1:16">
      <c r="A873" s="4">
        <v>46246.571111111109</v>
      </c>
      <c r="B873" s="2" t="s">
        <v>3320</v>
      </c>
      <c r="C873" s="2" t="s">
        <v>512</v>
      </c>
      <c r="D873" s="2" t="s">
        <v>292</v>
      </c>
      <c r="E873" s="2">
        <v>36</v>
      </c>
      <c r="F873" s="2"/>
      <c r="G873" s="2">
        <v>36</v>
      </c>
      <c r="H873" s="2" t="s">
        <v>1539</v>
      </c>
      <c r="I873" s="2" t="s">
        <v>695</v>
      </c>
      <c r="J873" s="2" t="s">
        <v>2537</v>
      </c>
      <c r="K873" s="2" t="s">
        <v>1855</v>
      </c>
      <c r="L873" s="2" t="s">
        <v>4243</v>
      </c>
      <c r="M873" s="2" t="str">
        <f t="shared" si="16"/>
        <v>12</v>
      </c>
      <c r="N873" s="2" t="s">
        <v>4361</v>
      </c>
      <c r="O873" s="2" t="s">
        <v>4373</v>
      </c>
      <c r="P873" s="2" t="s">
        <v>4381</v>
      </c>
    </row>
    <row r="874" spans="1:16">
      <c r="A874" s="4">
        <v>46246.569618055553</v>
      </c>
      <c r="B874" s="2" t="s">
        <v>3036</v>
      </c>
      <c r="C874" s="2" t="s">
        <v>512</v>
      </c>
      <c r="D874" s="2" t="s">
        <v>292</v>
      </c>
      <c r="E874" s="2">
        <v>36</v>
      </c>
      <c r="F874" s="2"/>
      <c r="G874" s="2">
        <v>36</v>
      </c>
      <c r="H874" s="2" t="s">
        <v>1539</v>
      </c>
      <c r="I874" s="2" t="s">
        <v>695</v>
      </c>
      <c r="J874" s="2" t="s">
        <v>2537</v>
      </c>
      <c r="K874" s="2" t="s">
        <v>1855</v>
      </c>
      <c r="L874" s="2" t="s">
        <v>4243</v>
      </c>
      <c r="M874" s="2" t="str">
        <f t="shared" si="16"/>
        <v>12</v>
      </c>
      <c r="N874" s="2" t="s">
        <v>2325</v>
      </c>
      <c r="O874" s="2" t="s">
        <v>4373</v>
      </c>
      <c r="P874" s="2" t="s">
        <v>4381</v>
      </c>
    </row>
    <row r="875" spans="1:16">
      <c r="A875" s="4">
        <v>46246.569594907407</v>
      </c>
      <c r="B875" s="2" t="s">
        <v>3115</v>
      </c>
      <c r="C875" s="2" t="s">
        <v>512</v>
      </c>
      <c r="D875" s="2" t="s">
        <v>292</v>
      </c>
      <c r="E875" s="2">
        <v>36</v>
      </c>
      <c r="F875" s="2"/>
      <c r="G875" s="2">
        <v>36</v>
      </c>
      <c r="H875" s="2" t="s">
        <v>1539</v>
      </c>
      <c r="I875" s="2" t="s">
        <v>695</v>
      </c>
      <c r="J875" s="2" t="s">
        <v>2537</v>
      </c>
      <c r="K875" s="2" t="s">
        <v>1855</v>
      </c>
      <c r="L875" s="2" t="s">
        <v>4243</v>
      </c>
      <c r="M875" s="2" t="str">
        <f t="shared" si="16"/>
        <v>12</v>
      </c>
      <c r="N875" s="2" t="s">
        <v>4222</v>
      </c>
      <c r="O875" s="2" t="s">
        <v>4373</v>
      </c>
      <c r="P875" s="2" t="s">
        <v>4381</v>
      </c>
    </row>
    <row r="876" spans="1:16">
      <c r="A876" s="4">
        <v>46246.569513888891</v>
      </c>
      <c r="B876" s="2" t="s">
        <v>3829</v>
      </c>
      <c r="C876" s="2" t="s">
        <v>512</v>
      </c>
      <c r="D876" s="2" t="s">
        <v>292</v>
      </c>
      <c r="E876" s="2">
        <v>36</v>
      </c>
      <c r="F876" s="2"/>
      <c r="G876" s="2">
        <v>36</v>
      </c>
      <c r="H876" s="2" t="s">
        <v>1539</v>
      </c>
      <c r="I876" s="2" t="s">
        <v>695</v>
      </c>
      <c r="J876" s="2" t="s">
        <v>2537</v>
      </c>
      <c r="K876" s="2" t="s">
        <v>1855</v>
      </c>
      <c r="L876" s="2" t="s">
        <v>4243</v>
      </c>
      <c r="M876" s="2" t="str">
        <f t="shared" si="16"/>
        <v>12</v>
      </c>
      <c r="N876" s="2" t="s">
        <v>1869</v>
      </c>
      <c r="O876" s="2" t="s">
        <v>4373</v>
      </c>
      <c r="P876" s="2" t="s">
        <v>4381</v>
      </c>
    </row>
    <row r="877" spans="1:16">
      <c r="A877" s="4">
        <v>46246.56925925926</v>
      </c>
      <c r="B877" s="2" t="s">
        <v>879</v>
      </c>
      <c r="C877" s="2" t="s">
        <v>512</v>
      </c>
      <c r="D877" s="2" t="s">
        <v>292</v>
      </c>
      <c r="E877" s="2">
        <v>36</v>
      </c>
      <c r="F877" s="2"/>
      <c r="G877" s="2">
        <v>36</v>
      </c>
      <c r="H877" s="2" t="s">
        <v>1539</v>
      </c>
      <c r="I877" s="2" t="s">
        <v>695</v>
      </c>
      <c r="J877" s="2" t="s">
        <v>2537</v>
      </c>
      <c r="K877" s="2" t="s">
        <v>1855</v>
      </c>
      <c r="L877" s="2" t="s">
        <v>4243</v>
      </c>
      <c r="M877" s="2" t="str">
        <f t="shared" si="16"/>
        <v>12</v>
      </c>
      <c r="N877" s="2" t="s">
        <v>2395</v>
      </c>
      <c r="O877" s="2" t="s">
        <v>4373</v>
      </c>
      <c r="P877" s="2" t="s">
        <v>4381</v>
      </c>
    </row>
    <row r="878" spans="1:16">
      <c r="A878" s="4">
        <v>46246.568923611114</v>
      </c>
      <c r="B878" s="2" t="s">
        <v>1866</v>
      </c>
      <c r="C878" s="2" t="s">
        <v>512</v>
      </c>
      <c r="D878" s="2" t="s">
        <v>292</v>
      </c>
      <c r="E878" s="2">
        <v>36</v>
      </c>
      <c r="F878" s="2"/>
      <c r="G878" s="2">
        <v>36</v>
      </c>
      <c r="H878" s="2" t="s">
        <v>1539</v>
      </c>
      <c r="I878" s="2" t="s">
        <v>695</v>
      </c>
      <c r="J878" s="2" t="s">
        <v>2537</v>
      </c>
      <c r="K878" s="2" t="s">
        <v>1855</v>
      </c>
      <c r="L878" s="2" t="s">
        <v>4243</v>
      </c>
      <c r="M878" s="2" t="str">
        <f t="shared" si="16"/>
        <v>12</v>
      </c>
      <c r="N878" s="2" t="s">
        <v>3407</v>
      </c>
      <c r="O878" s="2" t="s">
        <v>4373</v>
      </c>
      <c r="P878" s="2" t="s">
        <v>4381</v>
      </c>
    </row>
    <row r="879" spans="1:16">
      <c r="A879" s="4">
        <v>46246.568761574075</v>
      </c>
      <c r="B879" s="2" t="s">
        <v>248</v>
      </c>
      <c r="C879" s="2" t="s">
        <v>512</v>
      </c>
      <c r="D879" s="2" t="s">
        <v>292</v>
      </c>
      <c r="E879" s="2">
        <v>36</v>
      </c>
      <c r="F879" s="2"/>
      <c r="G879" s="2">
        <v>36</v>
      </c>
      <c r="H879" s="2" t="s">
        <v>1539</v>
      </c>
      <c r="I879" s="2" t="s">
        <v>695</v>
      </c>
      <c r="J879" s="2" t="s">
        <v>2537</v>
      </c>
      <c r="K879" s="2" t="s">
        <v>1855</v>
      </c>
      <c r="L879" s="2" t="s">
        <v>4243</v>
      </c>
      <c r="M879" s="2" t="str">
        <f t="shared" si="16"/>
        <v>12</v>
      </c>
      <c r="N879" s="2" t="s">
        <v>1376</v>
      </c>
      <c r="O879" s="2" t="s">
        <v>4373</v>
      </c>
      <c r="P879" s="2" t="s">
        <v>4381</v>
      </c>
    </row>
    <row r="880" spans="1:16">
      <c r="A880" s="4">
        <v>46246.568726851852</v>
      </c>
      <c r="B880" s="2" t="s">
        <v>1782</v>
      </c>
      <c r="C880" s="2" t="s">
        <v>512</v>
      </c>
      <c r="D880" s="2" t="s">
        <v>292</v>
      </c>
      <c r="E880" s="2">
        <v>36</v>
      </c>
      <c r="F880" s="2"/>
      <c r="G880" s="2">
        <v>36</v>
      </c>
      <c r="H880" s="2" t="s">
        <v>1539</v>
      </c>
      <c r="I880" s="2" t="s">
        <v>695</v>
      </c>
      <c r="J880" s="2" t="s">
        <v>2537</v>
      </c>
      <c r="K880" s="2" t="s">
        <v>1855</v>
      </c>
      <c r="L880" s="2" t="s">
        <v>4243</v>
      </c>
      <c r="M880" s="2" t="str">
        <f t="shared" si="16"/>
        <v>12</v>
      </c>
      <c r="N880" s="2" t="s">
        <v>3758</v>
      </c>
      <c r="O880" s="2" t="s">
        <v>4373</v>
      </c>
      <c r="P880" s="2" t="s">
        <v>4381</v>
      </c>
    </row>
    <row r="881" spans="1:16">
      <c r="A881" s="4">
        <v>46246.568287037036</v>
      </c>
      <c r="B881" s="2" t="s">
        <v>848</v>
      </c>
      <c r="C881" s="2" t="s">
        <v>512</v>
      </c>
      <c r="D881" s="2" t="s">
        <v>292</v>
      </c>
      <c r="E881" s="2">
        <v>36</v>
      </c>
      <c r="F881" s="2"/>
      <c r="G881" s="2">
        <v>36</v>
      </c>
      <c r="H881" s="2" t="s">
        <v>1539</v>
      </c>
      <c r="I881" s="2" t="s">
        <v>695</v>
      </c>
      <c r="J881" s="2" t="s">
        <v>2537</v>
      </c>
      <c r="K881" s="2" t="s">
        <v>1855</v>
      </c>
      <c r="L881" s="2" t="s">
        <v>4243</v>
      </c>
      <c r="M881" s="2" t="str">
        <f t="shared" si="16"/>
        <v>12</v>
      </c>
      <c r="N881" s="2" t="s">
        <v>1080</v>
      </c>
      <c r="O881" s="2" t="s">
        <v>4373</v>
      </c>
      <c r="P881" s="2" t="s">
        <v>4381</v>
      </c>
    </row>
    <row r="882" spans="1:16">
      <c r="A882" s="4">
        <v>46246.568078703705</v>
      </c>
      <c r="B882" s="2" t="s">
        <v>205</v>
      </c>
      <c r="C882" s="2" t="s">
        <v>512</v>
      </c>
      <c r="D882" s="2" t="s">
        <v>292</v>
      </c>
      <c r="E882" s="2">
        <v>36</v>
      </c>
      <c r="F882" s="2"/>
      <c r="G882" s="2">
        <v>36</v>
      </c>
      <c r="H882" s="2" t="s">
        <v>1539</v>
      </c>
      <c r="I882" s="2" t="s">
        <v>695</v>
      </c>
      <c r="J882" s="2" t="s">
        <v>2537</v>
      </c>
      <c r="K882" s="2" t="s">
        <v>1855</v>
      </c>
      <c r="L882" s="2" t="s">
        <v>4243</v>
      </c>
      <c r="M882" s="2" t="str">
        <f t="shared" si="16"/>
        <v>12</v>
      </c>
      <c r="N882" s="2" t="s">
        <v>3816</v>
      </c>
      <c r="O882" s="2" t="s">
        <v>4373</v>
      </c>
      <c r="P882" s="2" t="s">
        <v>4381</v>
      </c>
    </row>
    <row r="883" spans="1:16">
      <c r="A883" s="4">
        <v>46246.568078703705</v>
      </c>
      <c r="B883" s="2" t="s">
        <v>840</v>
      </c>
      <c r="C883" s="2" t="s">
        <v>512</v>
      </c>
      <c r="D883" s="2" t="s">
        <v>292</v>
      </c>
      <c r="E883" s="2">
        <v>36</v>
      </c>
      <c r="F883" s="2"/>
      <c r="G883" s="2">
        <v>36</v>
      </c>
      <c r="H883" s="2" t="s">
        <v>1539</v>
      </c>
      <c r="I883" s="2" t="s">
        <v>695</v>
      </c>
      <c r="J883" s="2" t="s">
        <v>2537</v>
      </c>
      <c r="K883" s="2" t="s">
        <v>1855</v>
      </c>
      <c r="L883" s="2" t="s">
        <v>4243</v>
      </c>
      <c r="M883" s="2" t="str">
        <f t="shared" si="16"/>
        <v>12</v>
      </c>
      <c r="N883" s="2" t="s">
        <v>1136</v>
      </c>
      <c r="O883" s="2" t="s">
        <v>4373</v>
      </c>
      <c r="P883" s="2" t="s">
        <v>4381</v>
      </c>
    </row>
    <row r="884" spans="1:16">
      <c r="A884" s="4">
        <v>46246.567870370367</v>
      </c>
      <c r="B884" s="2" t="s">
        <v>4217</v>
      </c>
      <c r="C884" s="2" t="s">
        <v>512</v>
      </c>
      <c r="D884" s="2" t="s">
        <v>292</v>
      </c>
      <c r="E884" s="2">
        <v>36</v>
      </c>
      <c r="F884" s="2"/>
      <c r="G884" s="2">
        <v>36</v>
      </c>
      <c r="H884" s="2" t="s">
        <v>1539</v>
      </c>
      <c r="I884" s="2" t="s">
        <v>695</v>
      </c>
      <c r="J884" s="2" t="s">
        <v>2537</v>
      </c>
      <c r="K884" s="2" t="s">
        <v>1855</v>
      </c>
      <c r="L884" s="2" t="s">
        <v>4243</v>
      </c>
      <c r="M884" s="2" t="str">
        <f t="shared" si="16"/>
        <v>12</v>
      </c>
      <c r="N884" s="2" t="s">
        <v>2903</v>
      </c>
      <c r="O884" s="2" t="s">
        <v>4373</v>
      </c>
      <c r="P884" s="2" t="s">
        <v>4381</v>
      </c>
    </row>
    <row r="885" spans="1:16">
      <c r="A885" s="4">
        <v>46246.567685185182</v>
      </c>
      <c r="B885" s="2" t="s">
        <v>89</v>
      </c>
      <c r="C885" s="2" t="s">
        <v>512</v>
      </c>
      <c r="D885" s="2" t="s">
        <v>292</v>
      </c>
      <c r="E885" s="2">
        <v>36</v>
      </c>
      <c r="F885" s="2"/>
      <c r="G885" s="2">
        <v>36</v>
      </c>
      <c r="H885" s="2" t="s">
        <v>1539</v>
      </c>
      <c r="I885" s="2" t="s">
        <v>695</v>
      </c>
      <c r="J885" s="2" t="s">
        <v>2537</v>
      </c>
      <c r="K885" s="2" t="s">
        <v>1855</v>
      </c>
      <c r="L885" s="2" t="s">
        <v>4243</v>
      </c>
      <c r="M885" s="2" t="str">
        <f t="shared" si="16"/>
        <v>12</v>
      </c>
      <c r="N885" s="2" t="s">
        <v>216</v>
      </c>
      <c r="O885" s="2" t="s">
        <v>4373</v>
      </c>
      <c r="P885" s="2" t="s">
        <v>4381</v>
      </c>
    </row>
    <row r="886" spans="1:16">
      <c r="A886" s="4">
        <v>46246.567627314813</v>
      </c>
      <c r="B886" s="2" t="s">
        <v>3953</v>
      </c>
      <c r="C886" s="2" t="s">
        <v>512</v>
      </c>
      <c r="D886" s="2" t="s">
        <v>292</v>
      </c>
      <c r="E886" s="2">
        <v>36</v>
      </c>
      <c r="F886" s="2"/>
      <c r="G886" s="2">
        <v>36</v>
      </c>
      <c r="H886" s="2" t="s">
        <v>1539</v>
      </c>
      <c r="I886" s="2" t="s">
        <v>695</v>
      </c>
      <c r="J886" s="2" t="s">
        <v>2537</v>
      </c>
      <c r="K886" s="2" t="s">
        <v>1855</v>
      </c>
      <c r="L886" s="2" t="s">
        <v>4243</v>
      </c>
      <c r="M886" s="2" t="str">
        <f t="shared" si="16"/>
        <v>12</v>
      </c>
      <c r="N886" s="2" t="s">
        <v>3256</v>
      </c>
      <c r="O886" s="2" t="s">
        <v>4373</v>
      </c>
      <c r="P886" s="2" t="s">
        <v>4381</v>
      </c>
    </row>
    <row r="887" spans="1:16">
      <c r="A887" s="4">
        <v>46246.567303240743</v>
      </c>
      <c r="B887" s="2" t="s">
        <v>2950</v>
      </c>
      <c r="C887" s="2" t="s">
        <v>512</v>
      </c>
      <c r="D887" s="2" t="s">
        <v>292</v>
      </c>
      <c r="E887" s="2">
        <v>36</v>
      </c>
      <c r="F887" s="2"/>
      <c r="G887" s="2">
        <v>36</v>
      </c>
      <c r="H887" s="2" t="s">
        <v>1539</v>
      </c>
      <c r="I887" s="2" t="s">
        <v>695</v>
      </c>
      <c r="J887" s="2" t="s">
        <v>2537</v>
      </c>
      <c r="K887" s="2" t="s">
        <v>1855</v>
      </c>
      <c r="L887" s="2" t="s">
        <v>4243</v>
      </c>
      <c r="M887" s="2" t="str">
        <f t="shared" si="16"/>
        <v>12</v>
      </c>
      <c r="N887" s="2" t="s">
        <v>2189</v>
      </c>
      <c r="O887" s="2" t="s">
        <v>4373</v>
      </c>
      <c r="P887" s="2" t="s">
        <v>4381</v>
      </c>
    </row>
    <row r="888" spans="1:16">
      <c r="A888" s="4">
        <v>46246.56726851852</v>
      </c>
      <c r="B888" s="2" t="s">
        <v>575</v>
      </c>
      <c r="C888" s="2" t="s">
        <v>512</v>
      </c>
      <c r="D888" s="2" t="s">
        <v>292</v>
      </c>
      <c r="E888" s="2">
        <v>36</v>
      </c>
      <c r="F888" s="2"/>
      <c r="G888" s="2">
        <v>36</v>
      </c>
      <c r="H888" s="2" t="s">
        <v>1539</v>
      </c>
      <c r="I888" s="2" t="s">
        <v>695</v>
      </c>
      <c r="J888" s="2" t="s">
        <v>2537</v>
      </c>
      <c r="K888" s="2" t="s">
        <v>1855</v>
      </c>
      <c r="L888" s="2" t="s">
        <v>4243</v>
      </c>
      <c r="M888" s="2" t="str">
        <f t="shared" si="16"/>
        <v>12</v>
      </c>
      <c r="N888" s="2" t="s">
        <v>2324</v>
      </c>
      <c r="O888" s="2" t="s">
        <v>4373</v>
      </c>
      <c r="P888" s="2" t="s">
        <v>4381</v>
      </c>
    </row>
    <row r="889" spans="1:16">
      <c r="A889" s="4">
        <v>46246.566574074073</v>
      </c>
      <c r="B889" s="2" t="s">
        <v>2569</v>
      </c>
      <c r="C889" s="2" t="s">
        <v>512</v>
      </c>
      <c r="D889" s="2" t="s">
        <v>292</v>
      </c>
      <c r="E889" s="2">
        <v>36</v>
      </c>
      <c r="F889" s="2"/>
      <c r="G889" s="2">
        <v>36</v>
      </c>
      <c r="H889" s="2" t="s">
        <v>1539</v>
      </c>
      <c r="I889" s="2" t="s">
        <v>695</v>
      </c>
      <c r="J889" s="2" t="s">
        <v>2537</v>
      </c>
      <c r="K889" s="2" t="s">
        <v>1855</v>
      </c>
      <c r="L889" s="2" t="s">
        <v>4243</v>
      </c>
      <c r="M889" s="2" t="str">
        <f t="shared" si="16"/>
        <v>12</v>
      </c>
      <c r="N889" s="2" t="s">
        <v>1289</v>
      </c>
      <c r="O889" s="2" t="s">
        <v>4373</v>
      </c>
      <c r="P889" s="2" t="s">
        <v>4381</v>
      </c>
    </row>
    <row r="890" spans="1:16">
      <c r="A890" s="4">
        <v>46246.566076388888</v>
      </c>
      <c r="B890" s="2" t="s">
        <v>1915</v>
      </c>
      <c r="C890" s="2" t="s">
        <v>512</v>
      </c>
      <c r="D890" s="2" t="s">
        <v>292</v>
      </c>
      <c r="E890" s="2">
        <v>36</v>
      </c>
      <c r="F890" s="2"/>
      <c r="G890" s="2">
        <v>36</v>
      </c>
      <c r="H890" s="2" t="s">
        <v>1539</v>
      </c>
      <c r="I890" s="2" t="s">
        <v>695</v>
      </c>
      <c r="J890" s="2" t="s">
        <v>2537</v>
      </c>
      <c r="K890" s="2" t="s">
        <v>1855</v>
      </c>
      <c r="L890" s="2" t="s">
        <v>4243</v>
      </c>
      <c r="M890" s="2" t="str">
        <f t="shared" si="16"/>
        <v>12</v>
      </c>
      <c r="N890" s="2" t="s">
        <v>1625</v>
      </c>
      <c r="O890" s="2" t="s">
        <v>4373</v>
      </c>
      <c r="P890" s="2" t="s">
        <v>4381</v>
      </c>
    </row>
    <row r="891" spans="1:16">
      <c r="A891" s="4">
        <v>46246.565682870372</v>
      </c>
      <c r="B891" s="2" t="s">
        <v>2389</v>
      </c>
      <c r="C891" s="2" t="s">
        <v>512</v>
      </c>
      <c r="D891" s="2" t="s">
        <v>292</v>
      </c>
      <c r="E891" s="2">
        <v>36</v>
      </c>
      <c r="F891" s="2"/>
      <c r="G891" s="2">
        <v>36</v>
      </c>
      <c r="H891" s="2" t="s">
        <v>1539</v>
      </c>
      <c r="I891" s="2" t="s">
        <v>695</v>
      </c>
      <c r="J891" s="2" t="s">
        <v>2537</v>
      </c>
      <c r="K891" s="2" t="s">
        <v>1855</v>
      </c>
      <c r="L891" s="2" t="s">
        <v>4243</v>
      </c>
      <c r="M891" s="2" t="str">
        <f t="shared" si="16"/>
        <v>12</v>
      </c>
      <c r="N891" s="2" t="s">
        <v>2024</v>
      </c>
      <c r="O891" s="2" t="s">
        <v>4373</v>
      </c>
      <c r="P891" s="2" t="s">
        <v>4381</v>
      </c>
    </row>
    <row r="892" spans="1:16">
      <c r="A892" s="4">
        <v>46246.56486111111</v>
      </c>
      <c r="B892" s="2" t="s">
        <v>4044</v>
      </c>
      <c r="C892" s="2" t="s">
        <v>512</v>
      </c>
      <c r="D892" s="2" t="s">
        <v>292</v>
      </c>
      <c r="E892" s="2">
        <v>36</v>
      </c>
      <c r="F892" s="2"/>
      <c r="G892" s="2">
        <v>36</v>
      </c>
      <c r="H892" s="2" t="s">
        <v>1539</v>
      </c>
      <c r="I892" s="2" t="s">
        <v>695</v>
      </c>
      <c r="J892" s="2" t="s">
        <v>2537</v>
      </c>
      <c r="K892" s="2" t="s">
        <v>1855</v>
      </c>
      <c r="L892" s="2" t="s">
        <v>4243</v>
      </c>
      <c r="M892" s="2" t="str">
        <f t="shared" si="16"/>
        <v>12</v>
      </c>
      <c r="N892" s="2" t="s">
        <v>2818</v>
      </c>
      <c r="O892" s="2" t="s">
        <v>4373</v>
      </c>
      <c r="P892" s="2" t="s">
        <v>4381</v>
      </c>
    </row>
    <row r="893" spans="1:16">
      <c r="A893" s="4">
        <v>46246.564664351848</v>
      </c>
      <c r="B893" s="2" t="s">
        <v>3594</v>
      </c>
      <c r="C893" s="2" t="s">
        <v>512</v>
      </c>
      <c r="D893" s="2" t="s">
        <v>292</v>
      </c>
      <c r="E893" s="2">
        <v>36</v>
      </c>
      <c r="F893" s="2"/>
      <c r="G893" s="2">
        <v>36</v>
      </c>
      <c r="H893" s="2" t="s">
        <v>1539</v>
      </c>
      <c r="I893" s="2" t="s">
        <v>695</v>
      </c>
      <c r="J893" s="2" t="s">
        <v>2537</v>
      </c>
      <c r="K893" s="2" t="s">
        <v>1855</v>
      </c>
      <c r="L893" s="2" t="s">
        <v>4243</v>
      </c>
      <c r="M893" s="2" t="str">
        <f t="shared" si="16"/>
        <v>12</v>
      </c>
      <c r="N893" s="2" t="s">
        <v>1560</v>
      </c>
      <c r="O893" s="2" t="s">
        <v>4373</v>
      </c>
      <c r="P893" s="2" t="s">
        <v>4381</v>
      </c>
    </row>
    <row r="894" spans="1:16">
      <c r="A894" s="4">
        <v>46246.564629629633</v>
      </c>
      <c r="B894" s="2" t="s">
        <v>503</v>
      </c>
      <c r="C894" s="2" t="s">
        <v>512</v>
      </c>
      <c r="D894" s="2" t="s">
        <v>292</v>
      </c>
      <c r="E894" s="2">
        <v>36</v>
      </c>
      <c r="F894" s="2"/>
      <c r="G894" s="2">
        <v>36</v>
      </c>
      <c r="H894" s="2" t="s">
        <v>1539</v>
      </c>
      <c r="I894" s="2" t="s">
        <v>695</v>
      </c>
      <c r="J894" s="2" t="s">
        <v>2537</v>
      </c>
      <c r="K894" s="2" t="s">
        <v>1855</v>
      </c>
      <c r="L894" s="2" t="s">
        <v>4243</v>
      </c>
      <c r="M894" s="2" t="str">
        <f t="shared" si="16"/>
        <v>12</v>
      </c>
      <c r="N894" s="2" t="s">
        <v>4346</v>
      </c>
      <c r="O894" s="2" t="s">
        <v>4373</v>
      </c>
      <c r="P894" s="2" t="s">
        <v>4381</v>
      </c>
    </row>
    <row r="895" spans="1:16">
      <c r="A895" s="4">
        <v>46246.563969907409</v>
      </c>
      <c r="B895" s="2" t="s">
        <v>3615</v>
      </c>
      <c r="C895" s="2" t="s">
        <v>512</v>
      </c>
      <c r="D895" s="2" t="s">
        <v>292</v>
      </c>
      <c r="E895" s="2">
        <v>36</v>
      </c>
      <c r="F895" s="2"/>
      <c r="G895" s="2">
        <v>36</v>
      </c>
      <c r="H895" s="2" t="s">
        <v>1539</v>
      </c>
      <c r="I895" s="2" t="s">
        <v>695</v>
      </c>
      <c r="J895" s="2" t="s">
        <v>2537</v>
      </c>
      <c r="K895" s="2" t="s">
        <v>1855</v>
      </c>
      <c r="L895" s="2" t="s">
        <v>4243</v>
      </c>
      <c r="M895" s="2" t="str">
        <f t="shared" si="16"/>
        <v>12</v>
      </c>
      <c r="N895" s="2" t="s">
        <v>2898</v>
      </c>
      <c r="O895" s="2" t="s">
        <v>4373</v>
      </c>
      <c r="P895" s="2" t="s">
        <v>4381</v>
      </c>
    </row>
    <row r="896" spans="1:16">
      <c r="A896" s="4">
        <v>46246.563923611109</v>
      </c>
      <c r="B896" s="2" t="s">
        <v>1105</v>
      </c>
      <c r="C896" s="2" t="s">
        <v>512</v>
      </c>
      <c r="D896" s="2" t="s">
        <v>292</v>
      </c>
      <c r="E896" s="2">
        <v>36</v>
      </c>
      <c r="F896" s="2"/>
      <c r="G896" s="2">
        <v>36</v>
      </c>
      <c r="H896" s="2" t="s">
        <v>1539</v>
      </c>
      <c r="I896" s="2" t="s">
        <v>695</v>
      </c>
      <c r="J896" s="2" t="s">
        <v>2537</v>
      </c>
      <c r="K896" s="2" t="s">
        <v>1855</v>
      </c>
      <c r="L896" s="2" t="s">
        <v>4243</v>
      </c>
      <c r="M896" s="2" t="str">
        <f t="shared" si="16"/>
        <v>12</v>
      </c>
      <c r="N896" s="2" t="s">
        <v>2880</v>
      </c>
      <c r="O896" s="2" t="s">
        <v>4373</v>
      </c>
      <c r="P896" s="2" t="s">
        <v>4381</v>
      </c>
    </row>
    <row r="897" spans="1:16">
      <c r="A897" s="4">
        <v>46246.56386574074</v>
      </c>
      <c r="B897" s="2" t="s">
        <v>1974</v>
      </c>
      <c r="C897" s="2" t="s">
        <v>512</v>
      </c>
      <c r="D897" s="2" t="s">
        <v>292</v>
      </c>
      <c r="E897" s="2">
        <v>36</v>
      </c>
      <c r="F897" s="2"/>
      <c r="G897" s="2">
        <v>36</v>
      </c>
      <c r="H897" s="2" t="s">
        <v>1539</v>
      </c>
      <c r="I897" s="2" t="s">
        <v>695</v>
      </c>
      <c r="J897" s="2" t="s">
        <v>2537</v>
      </c>
      <c r="K897" s="2" t="s">
        <v>1855</v>
      </c>
      <c r="L897" s="2" t="s">
        <v>1847</v>
      </c>
      <c r="M897" s="2" t="str">
        <f t="shared" si="16"/>
        <v>14</v>
      </c>
      <c r="N897" s="2" t="s">
        <v>694</v>
      </c>
      <c r="O897" s="2" t="s">
        <v>4373</v>
      </c>
      <c r="P897" s="2" t="s">
        <v>4381</v>
      </c>
    </row>
    <row r="898" spans="1:16">
      <c r="A898" s="4">
        <v>46246.563715277778</v>
      </c>
      <c r="B898" s="2" t="s">
        <v>1247</v>
      </c>
      <c r="C898" s="2" t="s">
        <v>512</v>
      </c>
      <c r="D898" s="2" t="s">
        <v>292</v>
      </c>
      <c r="E898" s="2">
        <v>36</v>
      </c>
      <c r="F898" s="2"/>
      <c r="G898" s="2">
        <v>36</v>
      </c>
      <c r="H898" s="2" t="s">
        <v>1539</v>
      </c>
      <c r="I898" s="2" t="s">
        <v>695</v>
      </c>
      <c r="J898" s="2" t="s">
        <v>2537</v>
      </c>
      <c r="K898" s="2" t="s">
        <v>1855</v>
      </c>
      <c r="L898" s="2" t="s">
        <v>4243</v>
      </c>
      <c r="M898" s="2" t="str">
        <f t="shared" ref="M898:M961" si="17">RIGHT(L898,2)</f>
        <v>12</v>
      </c>
      <c r="N898" s="2" t="s">
        <v>2765</v>
      </c>
      <c r="O898" s="2" t="s">
        <v>4373</v>
      </c>
      <c r="P898" s="2" t="s">
        <v>4381</v>
      </c>
    </row>
    <row r="899" spans="1:16">
      <c r="A899" s="4">
        <v>46246.563402777778</v>
      </c>
      <c r="B899" s="2" t="s">
        <v>2857</v>
      </c>
      <c r="C899" s="2" t="s">
        <v>512</v>
      </c>
      <c r="D899" s="2" t="s">
        <v>292</v>
      </c>
      <c r="E899" s="2">
        <v>36</v>
      </c>
      <c r="F899" s="2"/>
      <c r="G899" s="2">
        <v>36</v>
      </c>
      <c r="H899" s="2" t="s">
        <v>1539</v>
      </c>
      <c r="I899" s="2" t="s">
        <v>695</v>
      </c>
      <c r="J899" s="2" t="s">
        <v>2537</v>
      </c>
      <c r="K899" s="2" t="s">
        <v>1855</v>
      </c>
      <c r="L899" s="2" t="s">
        <v>4243</v>
      </c>
      <c r="M899" s="2" t="str">
        <f t="shared" si="17"/>
        <v>12</v>
      </c>
      <c r="N899" s="2" t="s">
        <v>2992</v>
      </c>
      <c r="O899" s="2" t="s">
        <v>4373</v>
      </c>
      <c r="P899" s="2" t="s">
        <v>4381</v>
      </c>
    </row>
    <row r="900" spans="1:16">
      <c r="A900" s="4">
        <v>46246.563171296293</v>
      </c>
      <c r="B900" s="2" t="s">
        <v>723</v>
      </c>
      <c r="C900" s="2" t="s">
        <v>512</v>
      </c>
      <c r="D900" s="2" t="s">
        <v>292</v>
      </c>
      <c r="E900" s="2">
        <v>36</v>
      </c>
      <c r="F900" s="2"/>
      <c r="G900" s="2">
        <v>36</v>
      </c>
      <c r="H900" s="2" t="s">
        <v>1539</v>
      </c>
      <c r="I900" s="2" t="s">
        <v>695</v>
      </c>
      <c r="J900" s="2" t="s">
        <v>2537</v>
      </c>
      <c r="K900" s="2" t="s">
        <v>1855</v>
      </c>
      <c r="L900" s="2" t="s">
        <v>1847</v>
      </c>
      <c r="M900" s="2" t="str">
        <f t="shared" si="17"/>
        <v>14</v>
      </c>
      <c r="N900" s="2" t="s">
        <v>4321</v>
      </c>
      <c r="O900" s="2" t="s">
        <v>4373</v>
      </c>
      <c r="P900" s="2" t="s">
        <v>4381</v>
      </c>
    </row>
    <row r="901" spans="1:16">
      <c r="A901" s="4">
        <v>46246.563101851854</v>
      </c>
      <c r="B901" s="2" t="s">
        <v>476</v>
      </c>
      <c r="C901" s="2" t="s">
        <v>512</v>
      </c>
      <c r="D901" s="2" t="s">
        <v>292</v>
      </c>
      <c r="E901" s="2">
        <v>36</v>
      </c>
      <c r="F901" s="2"/>
      <c r="G901" s="2">
        <v>36</v>
      </c>
      <c r="H901" s="2" t="s">
        <v>1539</v>
      </c>
      <c r="I901" s="2" t="s">
        <v>695</v>
      </c>
      <c r="J901" s="2" t="s">
        <v>2537</v>
      </c>
      <c r="K901" s="2" t="s">
        <v>1855</v>
      </c>
      <c r="L901" s="2" t="s">
        <v>1847</v>
      </c>
      <c r="M901" s="2" t="str">
        <f t="shared" si="17"/>
        <v>14</v>
      </c>
      <c r="N901" s="2" t="s">
        <v>1018</v>
      </c>
      <c r="O901" s="2" t="s">
        <v>4373</v>
      </c>
      <c r="P901" s="2" t="s">
        <v>4381</v>
      </c>
    </row>
    <row r="902" spans="1:16">
      <c r="A902" s="4">
        <v>46246.562777777777</v>
      </c>
      <c r="B902" s="2" t="s">
        <v>1872</v>
      </c>
      <c r="C902" s="2" t="s">
        <v>512</v>
      </c>
      <c r="D902" s="2" t="s">
        <v>292</v>
      </c>
      <c r="E902" s="2">
        <v>36</v>
      </c>
      <c r="F902" s="2"/>
      <c r="G902" s="2">
        <v>36</v>
      </c>
      <c r="H902" s="2" t="s">
        <v>1539</v>
      </c>
      <c r="I902" s="2" t="s">
        <v>695</v>
      </c>
      <c r="J902" s="2" t="s">
        <v>2537</v>
      </c>
      <c r="K902" s="2" t="s">
        <v>1855</v>
      </c>
      <c r="L902" s="2" t="s">
        <v>4243</v>
      </c>
      <c r="M902" s="2" t="str">
        <f t="shared" si="17"/>
        <v>12</v>
      </c>
      <c r="N902" s="2" t="s">
        <v>898</v>
      </c>
      <c r="O902" s="2" t="s">
        <v>4373</v>
      </c>
      <c r="P902" s="2" t="s">
        <v>4381</v>
      </c>
    </row>
    <row r="903" spans="1:16">
      <c r="A903" s="4">
        <v>46246.562361111108</v>
      </c>
      <c r="B903" s="2" t="s">
        <v>212</v>
      </c>
      <c r="C903" s="2" t="s">
        <v>512</v>
      </c>
      <c r="D903" s="2" t="s">
        <v>292</v>
      </c>
      <c r="E903" s="2">
        <v>36</v>
      </c>
      <c r="F903" s="2"/>
      <c r="G903" s="2">
        <v>36</v>
      </c>
      <c r="H903" s="2" t="s">
        <v>1539</v>
      </c>
      <c r="I903" s="2" t="s">
        <v>695</v>
      </c>
      <c r="J903" s="2" t="s">
        <v>2537</v>
      </c>
      <c r="K903" s="2" t="s">
        <v>1855</v>
      </c>
      <c r="L903" s="2" t="s">
        <v>1847</v>
      </c>
      <c r="M903" s="2" t="str">
        <f t="shared" si="17"/>
        <v>14</v>
      </c>
      <c r="N903" s="2" t="s">
        <v>2230</v>
      </c>
      <c r="O903" s="2" t="s">
        <v>4373</v>
      </c>
      <c r="P903" s="2" t="s">
        <v>4381</v>
      </c>
    </row>
    <row r="904" spans="1:16">
      <c r="A904" s="4">
        <v>46246.562326388892</v>
      </c>
      <c r="B904" s="2" t="s">
        <v>2528</v>
      </c>
      <c r="C904" s="2" t="s">
        <v>512</v>
      </c>
      <c r="D904" s="2" t="s">
        <v>292</v>
      </c>
      <c r="E904" s="2">
        <v>36</v>
      </c>
      <c r="F904" s="2"/>
      <c r="G904" s="2">
        <v>36</v>
      </c>
      <c r="H904" s="2" t="s">
        <v>1539</v>
      </c>
      <c r="I904" s="2" t="s">
        <v>695</v>
      </c>
      <c r="J904" s="2" t="s">
        <v>2537</v>
      </c>
      <c r="K904" s="2" t="s">
        <v>1855</v>
      </c>
      <c r="L904" s="2" t="s">
        <v>1847</v>
      </c>
      <c r="M904" s="2" t="str">
        <f t="shared" si="17"/>
        <v>14</v>
      </c>
      <c r="N904" s="2" t="s">
        <v>2429</v>
      </c>
      <c r="O904" s="2" t="s">
        <v>4373</v>
      </c>
      <c r="P904" s="2" t="s">
        <v>4381</v>
      </c>
    </row>
    <row r="905" spans="1:16">
      <c r="A905" s="4">
        <v>46246.562256944446</v>
      </c>
      <c r="B905" s="2" t="s">
        <v>168</v>
      </c>
      <c r="C905" s="2" t="s">
        <v>512</v>
      </c>
      <c r="D905" s="2" t="s">
        <v>292</v>
      </c>
      <c r="E905" s="2">
        <v>36</v>
      </c>
      <c r="F905" s="2"/>
      <c r="G905" s="2">
        <v>36</v>
      </c>
      <c r="H905" s="2" t="s">
        <v>1539</v>
      </c>
      <c r="I905" s="2" t="s">
        <v>695</v>
      </c>
      <c r="J905" s="2" t="s">
        <v>2537</v>
      </c>
      <c r="K905" s="2" t="s">
        <v>1855</v>
      </c>
      <c r="L905" s="2" t="s">
        <v>1847</v>
      </c>
      <c r="M905" s="2" t="str">
        <f t="shared" si="17"/>
        <v>14</v>
      </c>
      <c r="N905" s="2" t="s">
        <v>3815</v>
      </c>
      <c r="O905" s="2" t="s">
        <v>4373</v>
      </c>
      <c r="P905" s="2" t="s">
        <v>4381</v>
      </c>
    </row>
    <row r="906" spans="1:16">
      <c r="A906" s="4">
        <v>46246.56113425926</v>
      </c>
      <c r="B906" s="2" t="s">
        <v>334</v>
      </c>
      <c r="C906" s="2" t="s">
        <v>512</v>
      </c>
      <c r="D906" s="2" t="s">
        <v>292</v>
      </c>
      <c r="E906" s="2">
        <v>36</v>
      </c>
      <c r="F906" s="2"/>
      <c r="G906" s="2">
        <v>36</v>
      </c>
      <c r="H906" s="2" t="s">
        <v>1539</v>
      </c>
      <c r="I906" s="2" t="s">
        <v>695</v>
      </c>
      <c r="J906" s="2" t="s">
        <v>2537</v>
      </c>
      <c r="K906" s="2" t="s">
        <v>1855</v>
      </c>
      <c r="L906" s="2" t="s">
        <v>1847</v>
      </c>
      <c r="M906" s="2" t="str">
        <f t="shared" si="17"/>
        <v>14</v>
      </c>
      <c r="N906" s="2" t="s">
        <v>1826</v>
      </c>
      <c r="O906" s="2" t="s">
        <v>4373</v>
      </c>
      <c r="P906" s="2" t="s">
        <v>4381</v>
      </c>
    </row>
    <row r="907" spans="1:16">
      <c r="A907" s="4">
        <v>46246.56108796296</v>
      </c>
      <c r="B907" s="2" t="s">
        <v>578</v>
      </c>
      <c r="C907" s="2" t="s">
        <v>512</v>
      </c>
      <c r="D907" s="2" t="s">
        <v>292</v>
      </c>
      <c r="E907" s="2">
        <v>36</v>
      </c>
      <c r="F907" s="2"/>
      <c r="G907" s="2">
        <v>36</v>
      </c>
      <c r="H907" s="2" t="s">
        <v>1539</v>
      </c>
      <c r="I907" s="2" t="s">
        <v>695</v>
      </c>
      <c r="J907" s="2" t="s">
        <v>2537</v>
      </c>
      <c r="K907" s="2" t="s">
        <v>1855</v>
      </c>
      <c r="L907" s="2" t="s">
        <v>1847</v>
      </c>
      <c r="M907" s="2" t="str">
        <f t="shared" si="17"/>
        <v>14</v>
      </c>
      <c r="N907" s="2" t="s">
        <v>3581</v>
      </c>
      <c r="O907" s="2" t="s">
        <v>4373</v>
      </c>
      <c r="P907" s="2" t="s">
        <v>4381</v>
      </c>
    </row>
    <row r="908" spans="1:16">
      <c r="A908" s="4">
        <v>46246.560740740744</v>
      </c>
      <c r="B908" s="2" t="s">
        <v>162</v>
      </c>
      <c r="C908" s="2" t="s">
        <v>512</v>
      </c>
      <c r="D908" s="2" t="s">
        <v>292</v>
      </c>
      <c r="E908" s="2">
        <v>36</v>
      </c>
      <c r="F908" s="2"/>
      <c r="G908" s="2">
        <v>36</v>
      </c>
      <c r="H908" s="2" t="s">
        <v>1539</v>
      </c>
      <c r="I908" s="2" t="s">
        <v>695</v>
      </c>
      <c r="J908" s="2" t="s">
        <v>2537</v>
      </c>
      <c r="K908" s="2" t="s">
        <v>1855</v>
      </c>
      <c r="L908" s="2" t="s">
        <v>1847</v>
      </c>
      <c r="M908" s="2" t="str">
        <f t="shared" si="17"/>
        <v>14</v>
      </c>
      <c r="N908" s="2" t="s">
        <v>1113</v>
      </c>
      <c r="O908" s="2" t="s">
        <v>4373</v>
      </c>
      <c r="P908" s="2" t="s">
        <v>4381</v>
      </c>
    </row>
    <row r="909" spans="1:16">
      <c r="A909" s="4">
        <v>46246.559351851851</v>
      </c>
      <c r="B909" s="2" t="s">
        <v>3821</v>
      </c>
      <c r="C909" s="2" t="s">
        <v>512</v>
      </c>
      <c r="D909" s="2" t="s">
        <v>292</v>
      </c>
      <c r="E909" s="2">
        <v>36</v>
      </c>
      <c r="F909" s="2"/>
      <c r="G909" s="2">
        <v>36</v>
      </c>
      <c r="H909" s="2" t="s">
        <v>1539</v>
      </c>
      <c r="I909" s="2" t="s">
        <v>695</v>
      </c>
      <c r="J909" s="2" t="s">
        <v>2537</v>
      </c>
      <c r="K909" s="2" t="s">
        <v>1855</v>
      </c>
      <c r="L909" s="2" t="s">
        <v>1847</v>
      </c>
      <c r="M909" s="2" t="str">
        <f t="shared" si="17"/>
        <v>14</v>
      </c>
      <c r="N909" s="2" t="s">
        <v>1498</v>
      </c>
      <c r="O909" s="2" t="s">
        <v>4373</v>
      </c>
      <c r="P909" s="2" t="s">
        <v>4381</v>
      </c>
    </row>
    <row r="910" spans="1:16">
      <c r="A910" s="4">
        <v>46246.559259259258</v>
      </c>
      <c r="B910" s="2" t="s">
        <v>524</v>
      </c>
      <c r="C910" s="2" t="s">
        <v>512</v>
      </c>
      <c r="D910" s="2" t="s">
        <v>292</v>
      </c>
      <c r="E910" s="2">
        <v>36</v>
      </c>
      <c r="F910" s="2"/>
      <c r="G910" s="2">
        <v>36</v>
      </c>
      <c r="H910" s="2" t="s">
        <v>1539</v>
      </c>
      <c r="I910" s="2" t="s">
        <v>695</v>
      </c>
      <c r="J910" s="2" t="s">
        <v>2537</v>
      </c>
      <c r="K910" s="2" t="s">
        <v>1855</v>
      </c>
      <c r="L910" s="2" t="s">
        <v>1847</v>
      </c>
      <c r="M910" s="2" t="str">
        <f t="shared" si="17"/>
        <v>14</v>
      </c>
      <c r="N910" s="2" t="s">
        <v>3557</v>
      </c>
      <c r="O910" s="2" t="s">
        <v>4373</v>
      </c>
      <c r="P910" s="2" t="s">
        <v>4381</v>
      </c>
    </row>
    <row r="911" spans="1:16">
      <c r="A911" s="4">
        <v>46246.559247685182</v>
      </c>
      <c r="B911" s="2" t="s">
        <v>1631</v>
      </c>
      <c r="C911" s="2" t="s">
        <v>512</v>
      </c>
      <c r="D911" s="2" t="s">
        <v>292</v>
      </c>
      <c r="E911" s="2">
        <v>36</v>
      </c>
      <c r="F911" s="2"/>
      <c r="G911" s="2">
        <v>36</v>
      </c>
      <c r="H911" s="2" t="s">
        <v>1539</v>
      </c>
      <c r="I911" s="2" t="s">
        <v>695</v>
      </c>
      <c r="J911" s="2" t="s">
        <v>2537</v>
      </c>
      <c r="K911" s="2" t="s">
        <v>1855</v>
      </c>
      <c r="L911" s="2" t="s">
        <v>1847</v>
      </c>
      <c r="M911" s="2" t="str">
        <f t="shared" si="17"/>
        <v>14</v>
      </c>
      <c r="N911" s="2" t="s">
        <v>1600</v>
      </c>
      <c r="O911" s="2" t="s">
        <v>4373</v>
      </c>
      <c r="P911" s="2" t="s">
        <v>4381</v>
      </c>
    </row>
    <row r="912" spans="1:16">
      <c r="A912" s="4">
        <v>46246.558159722219</v>
      </c>
      <c r="B912" s="2" t="s">
        <v>4016</v>
      </c>
      <c r="C912" s="2" t="s">
        <v>512</v>
      </c>
      <c r="D912" s="2" t="s">
        <v>292</v>
      </c>
      <c r="E912" s="2">
        <v>36</v>
      </c>
      <c r="F912" s="2"/>
      <c r="G912" s="2">
        <v>36</v>
      </c>
      <c r="H912" s="2" t="s">
        <v>1539</v>
      </c>
      <c r="I912" s="2" t="s">
        <v>695</v>
      </c>
      <c r="J912" s="2" t="s">
        <v>2537</v>
      </c>
      <c r="K912" s="2" t="s">
        <v>1855</v>
      </c>
      <c r="L912" s="2" t="s">
        <v>1847</v>
      </c>
      <c r="M912" s="2" t="str">
        <f t="shared" si="17"/>
        <v>14</v>
      </c>
      <c r="N912" s="2" t="s">
        <v>1225</v>
      </c>
      <c r="O912" s="2" t="s">
        <v>4373</v>
      </c>
      <c r="P912" s="2" t="s">
        <v>4381</v>
      </c>
    </row>
    <row r="913" spans="1:16">
      <c r="A913" s="4">
        <v>46246.557766203703</v>
      </c>
      <c r="B913" s="2" t="s">
        <v>2925</v>
      </c>
      <c r="C913" s="2" t="s">
        <v>512</v>
      </c>
      <c r="D913" s="2" t="s">
        <v>292</v>
      </c>
      <c r="E913" s="2">
        <v>36</v>
      </c>
      <c r="F913" s="2"/>
      <c r="G913" s="2">
        <v>36</v>
      </c>
      <c r="H913" s="2" t="s">
        <v>1539</v>
      </c>
      <c r="I913" s="2" t="s">
        <v>695</v>
      </c>
      <c r="J913" s="2" t="s">
        <v>2537</v>
      </c>
      <c r="K913" s="2" t="s">
        <v>1855</v>
      </c>
      <c r="L913" s="2" t="s">
        <v>1847</v>
      </c>
      <c r="M913" s="2" t="str">
        <f t="shared" si="17"/>
        <v>14</v>
      </c>
      <c r="N913" s="2" t="s">
        <v>2650</v>
      </c>
      <c r="O913" s="2" t="s">
        <v>4373</v>
      </c>
      <c r="P913" s="2" t="s">
        <v>4381</v>
      </c>
    </row>
    <row r="914" spans="1:16">
      <c r="A914" s="4">
        <v>46246.557581018518</v>
      </c>
      <c r="B914" s="2" t="s">
        <v>1678</v>
      </c>
      <c r="C914" s="2" t="s">
        <v>512</v>
      </c>
      <c r="D914" s="2" t="s">
        <v>292</v>
      </c>
      <c r="E914" s="2">
        <v>36</v>
      </c>
      <c r="F914" s="2"/>
      <c r="G914" s="2">
        <v>36</v>
      </c>
      <c r="H914" s="2" t="s">
        <v>1539</v>
      </c>
      <c r="I914" s="2" t="s">
        <v>695</v>
      </c>
      <c r="J914" s="2" t="s">
        <v>2537</v>
      </c>
      <c r="K914" s="2" t="s">
        <v>1855</v>
      </c>
      <c r="L914" s="2" t="s">
        <v>1847</v>
      </c>
      <c r="M914" s="2" t="str">
        <f t="shared" si="17"/>
        <v>14</v>
      </c>
      <c r="N914" s="2" t="s">
        <v>853</v>
      </c>
      <c r="O914" s="2" t="s">
        <v>4373</v>
      </c>
      <c r="P914" s="2" t="s">
        <v>4381</v>
      </c>
    </row>
    <row r="915" spans="1:16">
      <c r="A915" s="4">
        <v>46246.556273148148</v>
      </c>
      <c r="B915" s="2" t="s">
        <v>2467</v>
      </c>
      <c r="C915" s="2" t="s">
        <v>512</v>
      </c>
      <c r="D915" s="2" t="s">
        <v>292</v>
      </c>
      <c r="E915" s="2">
        <v>36</v>
      </c>
      <c r="F915" s="2"/>
      <c r="G915" s="2">
        <v>36</v>
      </c>
      <c r="H915" s="2" t="s">
        <v>1539</v>
      </c>
      <c r="I915" s="2" t="s">
        <v>695</v>
      </c>
      <c r="J915" s="2" t="s">
        <v>2537</v>
      </c>
      <c r="K915" s="2" t="s">
        <v>1855</v>
      </c>
      <c r="L915" s="2" t="s">
        <v>1847</v>
      </c>
      <c r="M915" s="2" t="str">
        <f t="shared" si="17"/>
        <v>14</v>
      </c>
      <c r="N915" s="2" t="s">
        <v>1972</v>
      </c>
      <c r="O915" s="2" t="s">
        <v>4373</v>
      </c>
      <c r="P915" s="2" t="s">
        <v>4381</v>
      </c>
    </row>
    <row r="916" spans="1:16">
      <c r="A916" s="4">
        <v>46246.556192129632</v>
      </c>
      <c r="B916" s="2" t="s">
        <v>948</v>
      </c>
      <c r="C916" s="2" t="s">
        <v>512</v>
      </c>
      <c r="D916" s="2" t="s">
        <v>292</v>
      </c>
      <c r="E916" s="2">
        <v>36</v>
      </c>
      <c r="F916" s="2"/>
      <c r="G916" s="2">
        <v>36</v>
      </c>
      <c r="H916" s="2" t="s">
        <v>1539</v>
      </c>
      <c r="I916" s="2" t="s">
        <v>695</v>
      </c>
      <c r="J916" s="2" t="s">
        <v>2537</v>
      </c>
      <c r="K916" s="2" t="s">
        <v>1855</v>
      </c>
      <c r="L916" s="2" t="s">
        <v>1847</v>
      </c>
      <c r="M916" s="2" t="str">
        <f t="shared" si="17"/>
        <v>14</v>
      </c>
      <c r="N916" s="2" t="s">
        <v>2135</v>
      </c>
      <c r="O916" s="2" t="s">
        <v>4373</v>
      </c>
      <c r="P916" s="2" t="s">
        <v>4381</v>
      </c>
    </row>
    <row r="917" spans="1:16">
      <c r="A917" s="4">
        <v>46246.556168981479</v>
      </c>
      <c r="B917" s="2" t="s">
        <v>3040</v>
      </c>
      <c r="C917" s="2" t="s">
        <v>512</v>
      </c>
      <c r="D917" s="2" t="s">
        <v>292</v>
      </c>
      <c r="E917" s="2">
        <v>36</v>
      </c>
      <c r="F917" s="2"/>
      <c r="G917" s="2">
        <v>36</v>
      </c>
      <c r="H917" s="2" t="s">
        <v>1539</v>
      </c>
      <c r="I917" s="2" t="s">
        <v>695</v>
      </c>
      <c r="J917" s="2" t="s">
        <v>2537</v>
      </c>
      <c r="K917" s="2" t="s">
        <v>1855</v>
      </c>
      <c r="L917" s="2" t="s">
        <v>1847</v>
      </c>
      <c r="M917" s="2" t="str">
        <f t="shared" si="17"/>
        <v>14</v>
      </c>
      <c r="N917" s="2" t="s">
        <v>379</v>
      </c>
      <c r="O917" s="2" t="s">
        <v>4373</v>
      </c>
      <c r="P917" s="2" t="s">
        <v>4381</v>
      </c>
    </row>
    <row r="918" spans="1:16">
      <c r="A918" s="4">
        <v>46246.555428240739</v>
      </c>
      <c r="B918" s="2" t="s">
        <v>2980</v>
      </c>
      <c r="C918" s="2" t="s">
        <v>512</v>
      </c>
      <c r="D918" s="2" t="s">
        <v>292</v>
      </c>
      <c r="E918" s="2">
        <v>36</v>
      </c>
      <c r="F918" s="2"/>
      <c r="G918" s="2">
        <v>36</v>
      </c>
      <c r="H918" s="2" t="s">
        <v>1539</v>
      </c>
      <c r="I918" s="2" t="s">
        <v>695</v>
      </c>
      <c r="J918" s="2" t="s">
        <v>2537</v>
      </c>
      <c r="K918" s="2" t="s">
        <v>1855</v>
      </c>
      <c r="L918" s="2" t="s">
        <v>1847</v>
      </c>
      <c r="M918" s="2" t="str">
        <f t="shared" si="17"/>
        <v>14</v>
      </c>
      <c r="N918" s="2" t="s">
        <v>1280</v>
      </c>
      <c r="O918" s="2" t="s">
        <v>4373</v>
      </c>
      <c r="P918" s="2" t="s">
        <v>4381</v>
      </c>
    </row>
    <row r="919" spans="1:16">
      <c r="A919" s="4">
        <v>46246.555069444446</v>
      </c>
      <c r="B919" s="2" t="s">
        <v>242</v>
      </c>
      <c r="C919" s="2" t="s">
        <v>512</v>
      </c>
      <c r="D919" s="2" t="s">
        <v>292</v>
      </c>
      <c r="E919" s="2">
        <v>36</v>
      </c>
      <c r="F919" s="2"/>
      <c r="G919" s="2">
        <v>36</v>
      </c>
      <c r="H919" s="2" t="s">
        <v>1539</v>
      </c>
      <c r="I919" s="2" t="s">
        <v>695</v>
      </c>
      <c r="J919" s="2" t="s">
        <v>2537</v>
      </c>
      <c r="K919" s="2" t="s">
        <v>1855</v>
      </c>
      <c r="L919" s="2" t="s">
        <v>1847</v>
      </c>
      <c r="M919" s="2" t="str">
        <f t="shared" si="17"/>
        <v>14</v>
      </c>
      <c r="N919" s="2" t="s">
        <v>1854</v>
      </c>
      <c r="O919" s="2" t="s">
        <v>4373</v>
      </c>
      <c r="P919" s="2" t="s">
        <v>4381</v>
      </c>
    </row>
    <row r="920" spans="1:16">
      <c r="A920" s="4">
        <v>46246.5549537037</v>
      </c>
      <c r="B920" s="2" t="s">
        <v>1232</v>
      </c>
      <c r="C920" s="2" t="s">
        <v>512</v>
      </c>
      <c r="D920" s="2" t="s">
        <v>292</v>
      </c>
      <c r="E920" s="2">
        <v>36</v>
      </c>
      <c r="F920" s="2"/>
      <c r="G920" s="2">
        <v>36</v>
      </c>
      <c r="H920" s="2" t="s">
        <v>1539</v>
      </c>
      <c r="I920" s="2" t="s">
        <v>695</v>
      </c>
      <c r="J920" s="2" t="s">
        <v>2537</v>
      </c>
      <c r="K920" s="2" t="s">
        <v>1855</v>
      </c>
      <c r="L920" s="2" t="s">
        <v>1847</v>
      </c>
      <c r="M920" s="2" t="str">
        <f t="shared" si="17"/>
        <v>14</v>
      </c>
      <c r="N920" s="2" t="s">
        <v>4218</v>
      </c>
      <c r="O920" s="2" t="s">
        <v>4373</v>
      </c>
      <c r="P920" s="2" t="s">
        <v>4381</v>
      </c>
    </row>
    <row r="921" spans="1:16">
      <c r="A921" s="4">
        <v>46246.553773148145</v>
      </c>
      <c r="B921" s="2" t="s">
        <v>3661</v>
      </c>
      <c r="C921" s="2" t="s">
        <v>512</v>
      </c>
      <c r="D921" s="2" t="s">
        <v>292</v>
      </c>
      <c r="E921" s="2">
        <v>36</v>
      </c>
      <c r="F921" s="2"/>
      <c r="G921" s="2">
        <v>36</v>
      </c>
      <c r="H921" s="2" t="s">
        <v>1539</v>
      </c>
      <c r="I921" s="2" t="s">
        <v>695</v>
      </c>
      <c r="J921" s="2" t="s">
        <v>2537</v>
      </c>
      <c r="K921" s="2" t="s">
        <v>1855</v>
      </c>
      <c r="L921" s="2" t="s">
        <v>1847</v>
      </c>
      <c r="M921" s="2" t="str">
        <f t="shared" si="17"/>
        <v>14</v>
      </c>
      <c r="N921" s="2" t="s">
        <v>3300</v>
      </c>
      <c r="O921" s="2" t="s">
        <v>4373</v>
      </c>
      <c r="P921" s="2" t="s">
        <v>4381</v>
      </c>
    </row>
    <row r="922" spans="1:16">
      <c r="A922" s="4">
        <v>46246.553761574076</v>
      </c>
      <c r="B922" s="2" t="s">
        <v>2235</v>
      </c>
      <c r="C922" s="2" t="s">
        <v>512</v>
      </c>
      <c r="D922" s="2" t="s">
        <v>292</v>
      </c>
      <c r="E922" s="2">
        <v>36</v>
      </c>
      <c r="F922" s="2"/>
      <c r="G922" s="2">
        <v>36</v>
      </c>
      <c r="H922" s="2" t="s">
        <v>1539</v>
      </c>
      <c r="I922" s="2" t="s">
        <v>695</v>
      </c>
      <c r="J922" s="2" t="s">
        <v>2537</v>
      </c>
      <c r="K922" s="2" t="s">
        <v>1855</v>
      </c>
      <c r="L922" s="2" t="s">
        <v>1847</v>
      </c>
      <c r="M922" s="2" t="str">
        <f t="shared" si="17"/>
        <v>14</v>
      </c>
      <c r="N922" s="2" t="s">
        <v>3072</v>
      </c>
      <c r="O922" s="2" t="s">
        <v>4373</v>
      </c>
      <c r="P922" s="2" t="s">
        <v>4381</v>
      </c>
    </row>
    <row r="923" spans="1:16">
      <c r="A923" s="4">
        <v>46246.553611111114</v>
      </c>
      <c r="B923" s="2" t="s">
        <v>1146</v>
      </c>
      <c r="C923" s="2" t="s">
        <v>512</v>
      </c>
      <c r="D923" s="2" t="s">
        <v>292</v>
      </c>
      <c r="E923" s="2">
        <v>36</v>
      </c>
      <c r="F923" s="2"/>
      <c r="G923" s="2">
        <v>36</v>
      </c>
      <c r="H923" s="2" t="s">
        <v>1539</v>
      </c>
      <c r="I923" s="2" t="s">
        <v>695</v>
      </c>
      <c r="J923" s="2" t="s">
        <v>2537</v>
      </c>
      <c r="K923" s="2" t="s">
        <v>1855</v>
      </c>
      <c r="L923" s="2" t="s">
        <v>1847</v>
      </c>
      <c r="M923" s="2" t="str">
        <f t="shared" si="17"/>
        <v>14</v>
      </c>
      <c r="N923" s="2" t="s">
        <v>4045</v>
      </c>
      <c r="O923" s="2" t="s">
        <v>4373</v>
      </c>
      <c r="P923" s="2" t="s">
        <v>4381</v>
      </c>
    </row>
    <row r="924" spans="1:16">
      <c r="A924" s="4">
        <v>46246.553217592591</v>
      </c>
      <c r="B924" s="2" t="s">
        <v>2747</v>
      </c>
      <c r="C924" s="2" t="s">
        <v>512</v>
      </c>
      <c r="D924" s="2" t="s">
        <v>292</v>
      </c>
      <c r="E924" s="2">
        <v>36</v>
      </c>
      <c r="F924" s="2"/>
      <c r="G924" s="2">
        <v>36</v>
      </c>
      <c r="H924" s="2" t="s">
        <v>1539</v>
      </c>
      <c r="I924" s="2" t="s">
        <v>695</v>
      </c>
      <c r="J924" s="2" t="s">
        <v>2537</v>
      </c>
      <c r="K924" s="2" t="s">
        <v>1855</v>
      </c>
      <c r="L924" s="2" t="s">
        <v>1847</v>
      </c>
      <c r="M924" s="2" t="str">
        <f t="shared" si="17"/>
        <v>14</v>
      </c>
      <c r="N924" s="2" t="s">
        <v>3653</v>
      </c>
      <c r="O924" s="2" t="s">
        <v>4373</v>
      </c>
      <c r="P924" s="2" t="s">
        <v>4381</v>
      </c>
    </row>
    <row r="925" spans="1:16">
      <c r="A925" s="4">
        <v>46246.552708333336</v>
      </c>
      <c r="B925" s="2" t="s">
        <v>184</v>
      </c>
      <c r="C925" s="2" t="s">
        <v>512</v>
      </c>
      <c r="D925" s="2" t="s">
        <v>292</v>
      </c>
      <c r="E925" s="2">
        <v>36</v>
      </c>
      <c r="F925" s="2"/>
      <c r="G925" s="2">
        <v>36</v>
      </c>
      <c r="H925" s="2" t="s">
        <v>1539</v>
      </c>
      <c r="I925" s="2" t="s">
        <v>695</v>
      </c>
      <c r="J925" s="2" t="s">
        <v>2537</v>
      </c>
      <c r="K925" s="2" t="s">
        <v>1855</v>
      </c>
      <c r="L925" s="2" t="s">
        <v>1847</v>
      </c>
      <c r="M925" s="2" t="str">
        <f t="shared" si="17"/>
        <v>14</v>
      </c>
      <c r="N925" s="2" t="s">
        <v>1569</v>
      </c>
      <c r="O925" s="2" t="s">
        <v>4373</v>
      </c>
      <c r="P925" s="2" t="s">
        <v>4381</v>
      </c>
    </row>
    <row r="926" spans="1:16">
      <c r="A926" s="4">
        <v>46246.55263888889</v>
      </c>
      <c r="B926" s="2" t="s">
        <v>1309</v>
      </c>
      <c r="C926" s="2" t="s">
        <v>512</v>
      </c>
      <c r="D926" s="2" t="s">
        <v>292</v>
      </c>
      <c r="E926" s="2">
        <v>36</v>
      </c>
      <c r="F926" s="2"/>
      <c r="G926" s="2">
        <v>36</v>
      </c>
      <c r="H926" s="2" t="s">
        <v>1539</v>
      </c>
      <c r="I926" s="2" t="s">
        <v>695</v>
      </c>
      <c r="J926" s="2" t="s">
        <v>2537</v>
      </c>
      <c r="K926" s="2" t="s">
        <v>1855</v>
      </c>
      <c r="L926" s="2" t="s">
        <v>1847</v>
      </c>
      <c r="M926" s="2" t="str">
        <f t="shared" si="17"/>
        <v>14</v>
      </c>
      <c r="N926" s="2" t="s">
        <v>1326</v>
      </c>
      <c r="O926" s="2" t="s">
        <v>4373</v>
      </c>
      <c r="P926" s="2" t="s">
        <v>4381</v>
      </c>
    </row>
    <row r="927" spans="1:16">
      <c r="A927" s="4">
        <v>46246.552025462966</v>
      </c>
      <c r="B927" s="2" t="s">
        <v>35</v>
      </c>
      <c r="C927" s="2" t="s">
        <v>512</v>
      </c>
      <c r="D927" s="2" t="s">
        <v>292</v>
      </c>
      <c r="E927" s="2">
        <v>36</v>
      </c>
      <c r="F927" s="2"/>
      <c r="G927" s="2">
        <v>36</v>
      </c>
      <c r="H927" s="2" t="s">
        <v>1539</v>
      </c>
      <c r="I927" s="2" t="s">
        <v>695</v>
      </c>
      <c r="J927" s="2" t="s">
        <v>2537</v>
      </c>
      <c r="K927" s="2" t="s">
        <v>1855</v>
      </c>
      <c r="L927" s="2" t="s">
        <v>1847</v>
      </c>
      <c r="M927" s="2" t="str">
        <f t="shared" si="17"/>
        <v>14</v>
      </c>
      <c r="N927" s="2" t="s">
        <v>4202</v>
      </c>
      <c r="O927" s="2" t="s">
        <v>4373</v>
      </c>
      <c r="P927" s="2" t="s">
        <v>4381</v>
      </c>
    </row>
    <row r="928" spans="1:16">
      <c r="A928" s="4">
        <v>46246.551689814813</v>
      </c>
      <c r="B928" s="2" t="s">
        <v>2016</v>
      </c>
      <c r="C928" s="2" t="s">
        <v>512</v>
      </c>
      <c r="D928" s="2" t="s">
        <v>292</v>
      </c>
      <c r="E928" s="2">
        <v>36</v>
      </c>
      <c r="F928" s="2"/>
      <c r="G928" s="2">
        <v>36</v>
      </c>
      <c r="H928" s="2" t="s">
        <v>1539</v>
      </c>
      <c r="I928" s="2" t="s">
        <v>695</v>
      </c>
      <c r="J928" s="2" t="s">
        <v>2537</v>
      </c>
      <c r="K928" s="2" t="s">
        <v>1855</v>
      </c>
      <c r="L928" s="2" t="s">
        <v>1847</v>
      </c>
      <c r="M928" s="2" t="str">
        <f t="shared" si="17"/>
        <v>14</v>
      </c>
      <c r="N928" s="2" t="s">
        <v>2097</v>
      </c>
      <c r="O928" s="2" t="s">
        <v>4373</v>
      </c>
      <c r="P928" s="2" t="s">
        <v>4381</v>
      </c>
    </row>
    <row r="929" spans="1:16">
      <c r="A929" s="4">
        <v>46246.55164351852</v>
      </c>
      <c r="B929" s="2" t="s">
        <v>1077</v>
      </c>
      <c r="C929" s="2" t="s">
        <v>512</v>
      </c>
      <c r="D929" s="2" t="s">
        <v>292</v>
      </c>
      <c r="E929" s="2">
        <v>36</v>
      </c>
      <c r="F929" s="2"/>
      <c r="G929" s="2">
        <v>36</v>
      </c>
      <c r="H929" s="2" t="s">
        <v>1539</v>
      </c>
      <c r="I929" s="2" t="s">
        <v>695</v>
      </c>
      <c r="J929" s="2" t="s">
        <v>2537</v>
      </c>
      <c r="K929" s="2" t="s">
        <v>1855</v>
      </c>
      <c r="L929" s="2" t="s">
        <v>1847</v>
      </c>
      <c r="M929" s="2" t="str">
        <f t="shared" si="17"/>
        <v>14</v>
      </c>
      <c r="N929" s="2" t="s">
        <v>1983</v>
      </c>
      <c r="O929" s="2" t="s">
        <v>4373</v>
      </c>
      <c r="P929" s="2" t="s">
        <v>4381</v>
      </c>
    </row>
    <row r="930" spans="1:16">
      <c r="A930" s="4">
        <v>46246.550925925927</v>
      </c>
      <c r="B930" s="2" t="s">
        <v>1609</v>
      </c>
      <c r="C930" s="2" t="s">
        <v>512</v>
      </c>
      <c r="D930" s="2" t="s">
        <v>292</v>
      </c>
      <c r="E930" s="2">
        <v>36</v>
      </c>
      <c r="F930" s="2"/>
      <c r="G930" s="2">
        <v>36</v>
      </c>
      <c r="H930" s="2" t="s">
        <v>1539</v>
      </c>
      <c r="I930" s="2" t="s">
        <v>695</v>
      </c>
      <c r="J930" s="2" t="s">
        <v>2537</v>
      </c>
      <c r="K930" s="2" t="s">
        <v>1855</v>
      </c>
      <c r="L930" s="2" t="s">
        <v>1847</v>
      </c>
      <c r="M930" s="2" t="str">
        <f t="shared" si="17"/>
        <v>14</v>
      </c>
      <c r="N930" s="2" t="s">
        <v>3692</v>
      </c>
      <c r="O930" s="2" t="s">
        <v>4373</v>
      </c>
      <c r="P930" s="2" t="s">
        <v>4381</v>
      </c>
    </row>
    <row r="931" spans="1:16">
      <c r="A931" s="4">
        <v>46246.550613425927</v>
      </c>
      <c r="B931" s="2" t="s">
        <v>1911</v>
      </c>
      <c r="C931" s="2" t="s">
        <v>512</v>
      </c>
      <c r="D931" s="2" t="s">
        <v>292</v>
      </c>
      <c r="E931" s="2">
        <v>36</v>
      </c>
      <c r="F931" s="2"/>
      <c r="G931" s="2">
        <v>36</v>
      </c>
      <c r="H931" s="2" t="s">
        <v>1539</v>
      </c>
      <c r="I931" s="2" t="s">
        <v>695</v>
      </c>
      <c r="J931" s="2" t="s">
        <v>2537</v>
      </c>
      <c r="K931" s="2" t="s">
        <v>1855</v>
      </c>
      <c r="L931" s="2" t="s">
        <v>1847</v>
      </c>
      <c r="M931" s="2" t="str">
        <f t="shared" si="17"/>
        <v>14</v>
      </c>
      <c r="N931" s="2" t="s">
        <v>1984</v>
      </c>
      <c r="O931" s="2" t="s">
        <v>4373</v>
      </c>
      <c r="P931" s="2" t="s">
        <v>4381</v>
      </c>
    </row>
    <row r="932" spans="1:16">
      <c r="A932" s="4">
        <v>46246.043622685182</v>
      </c>
      <c r="B932" s="2" t="s">
        <v>4281</v>
      </c>
      <c r="C932" s="2" t="s">
        <v>512</v>
      </c>
      <c r="D932" s="2" t="s">
        <v>292</v>
      </c>
      <c r="E932" s="2">
        <v>36</v>
      </c>
      <c r="F932" s="2"/>
      <c r="G932" s="2">
        <v>36</v>
      </c>
      <c r="H932" s="2" t="s">
        <v>4273</v>
      </c>
      <c r="I932" s="2" t="s">
        <v>695</v>
      </c>
      <c r="J932" s="2" t="s">
        <v>2537</v>
      </c>
      <c r="K932" s="2" t="s">
        <v>1855</v>
      </c>
      <c r="L932" s="2" t="s">
        <v>1114</v>
      </c>
      <c r="M932" s="2" t="str">
        <f t="shared" si="17"/>
        <v>02</v>
      </c>
      <c r="N932" s="2" t="s">
        <v>1059</v>
      </c>
      <c r="O932" s="2" t="s">
        <v>4373</v>
      </c>
      <c r="P932" s="2" t="s">
        <v>4382</v>
      </c>
    </row>
    <row r="933" spans="1:16">
      <c r="A933" s="4">
        <v>46246.043368055558</v>
      </c>
      <c r="B933" s="2" t="s">
        <v>4163</v>
      </c>
      <c r="C933" s="2" t="s">
        <v>512</v>
      </c>
      <c r="D933" s="2" t="s">
        <v>292</v>
      </c>
      <c r="E933" s="2">
        <v>36</v>
      </c>
      <c r="F933" s="2"/>
      <c r="G933" s="2">
        <v>36</v>
      </c>
      <c r="H933" s="2" t="s">
        <v>4273</v>
      </c>
      <c r="I933" s="2" t="s">
        <v>695</v>
      </c>
      <c r="J933" s="2" t="s">
        <v>2537</v>
      </c>
      <c r="K933" s="2" t="s">
        <v>1855</v>
      </c>
      <c r="L933" s="2" t="s">
        <v>1114</v>
      </c>
      <c r="M933" s="2" t="str">
        <f t="shared" si="17"/>
        <v>02</v>
      </c>
      <c r="N933" s="2" t="s">
        <v>825</v>
      </c>
      <c r="O933" s="2" t="s">
        <v>4373</v>
      </c>
      <c r="P933" s="2" t="s">
        <v>4382</v>
      </c>
    </row>
    <row r="934" spans="1:16">
      <c r="A934" s="4">
        <v>46246.04247685185</v>
      </c>
      <c r="B934" s="2" t="s">
        <v>345</v>
      </c>
      <c r="C934" s="2" t="s">
        <v>512</v>
      </c>
      <c r="D934" s="2" t="s">
        <v>292</v>
      </c>
      <c r="E934" s="2">
        <v>36</v>
      </c>
      <c r="F934" s="2"/>
      <c r="G934" s="2">
        <v>36</v>
      </c>
      <c r="H934" s="2" t="s">
        <v>4273</v>
      </c>
      <c r="I934" s="2" t="s">
        <v>695</v>
      </c>
      <c r="J934" s="2" t="s">
        <v>2537</v>
      </c>
      <c r="K934" s="2" t="s">
        <v>1855</v>
      </c>
      <c r="L934" s="2" t="s">
        <v>1114</v>
      </c>
      <c r="M934" s="2" t="str">
        <f t="shared" si="17"/>
        <v>02</v>
      </c>
      <c r="N934" s="2" t="s">
        <v>2260</v>
      </c>
      <c r="O934" s="2" t="s">
        <v>4373</v>
      </c>
      <c r="P934" s="2" t="s">
        <v>4382</v>
      </c>
    </row>
    <row r="935" spans="1:16">
      <c r="A935" s="4">
        <v>46246.041979166665</v>
      </c>
      <c r="B935" s="2" t="s">
        <v>128</v>
      </c>
      <c r="C935" s="2" t="s">
        <v>512</v>
      </c>
      <c r="D935" s="2" t="s">
        <v>292</v>
      </c>
      <c r="E935" s="2">
        <v>36</v>
      </c>
      <c r="F935" s="2"/>
      <c r="G935" s="2">
        <v>36</v>
      </c>
      <c r="H935" s="2" t="s">
        <v>4273</v>
      </c>
      <c r="I935" s="2" t="s">
        <v>695</v>
      </c>
      <c r="J935" s="2" t="s">
        <v>2537</v>
      </c>
      <c r="K935" s="2" t="s">
        <v>1855</v>
      </c>
      <c r="L935" s="2" t="s">
        <v>1114</v>
      </c>
      <c r="M935" s="2" t="str">
        <f t="shared" si="17"/>
        <v>02</v>
      </c>
      <c r="N935" s="2" t="s">
        <v>191</v>
      </c>
      <c r="O935" s="2" t="s">
        <v>4373</v>
      </c>
      <c r="P935" s="2" t="s">
        <v>4382</v>
      </c>
    </row>
    <row r="936" spans="1:16">
      <c r="A936" s="4">
        <v>46246.041979166665</v>
      </c>
      <c r="B936" s="2" t="s">
        <v>501</v>
      </c>
      <c r="C936" s="2" t="s">
        <v>512</v>
      </c>
      <c r="D936" s="2" t="s">
        <v>292</v>
      </c>
      <c r="E936" s="2">
        <v>36</v>
      </c>
      <c r="F936" s="2"/>
      <c r="G936" s="2">
        <v>36</v>
      </c>
      <c r="H936" s="2" t="s">
        <v>4273</v>
      </c>
      <c r="I936" s="2" t="s">
        <v>695</v>
      </c>
      <c r="J936" s="2" t="s">
        <v>2537</v>
      </c>
      <c r="K936" s="2" t="s">
        <v>1855</v>
      </c>
      <c r="L936" s="2" t="s">
        <v>1114</v>
      </c>
      <c r="M936" s="2" t="str">
        <f t="shared" si="17"/>
        <v>02</v>
      </c>
      <c r="N936" s="2" t="s">
        <v>130</v>
      </c>
      <c r="O936" s="2" t="s">
        <v>4373</v>
      </c>
      <c r="P936" s="2" t="s">
        <v>4382</v>
      </c>
    </row>
    <row r="937" spans="1:16">
      <c r="A937" s="4">
        <v>46246.041747685187</v>
      </c>
      <c r="B937" s="2" t="s">
        <v>3499</v>
      </c>
      <c r="C937" s="2" t="s">
        <v>512</v>
      </c>
      <c r="D937" s="2" t="s">
        <v>292</v>
      </c>
      <c r="E937" s="2">
        <v>36</v>
      </c>
      <c r="F937" s="2"/>
      <c r="G937" s="2">
        <v>36</v>
      </c>
      <c r="H937" s="2" t="s">
        <v>4273</v>
      </c>
      <c r="I937" s="2" t="s">
        <v>695</v>
      </c>
      <c r="J937" s="2" t="s">
        <v>2537</v>
      </c>
      <c r="K937" s="2" t="s">
        <v>1855</v>
      </c>
      <c r="L937" s="2" t="s">
        <v>1114</v>
      </c>
      <c r="M937" s="2" t="str">
        <f t="shared" si="17"/>
        <v>02</v>
      </c>
      <c r="N937" s="2" t="s">
        <v>3899</v>
      </c>
      <c r="O937" s="2" t="s">
        <v>4373</v>
      </c>
      <c r="P937" s="2" t="s">
        <v>4382</v>
      </c>
    </row>
    <row r="938" spans="1:16">
      <c r="A938" s="4">
        <v>46246.040810185186</v>
      </c>
      <c r="B938" s="2" t="s">
        <v>3263</v>
      </c>
      <c r="C938" s="2" t="s">
        <v>512</v>
      </c>
      <c r="D938" s="2" t="s">
        <v>292</v>
      </c>
      <c r="E938" s="2">
        <v>36</v>
      </c>
      <c r="F938" s="2"/>
      <c r="G938" s="2">
        <v>36</v>
      </c>
      <c r="H938" s="2" t="s">
        <v>4273</v>
      </c>
      <c r="I938" s="2" t="s">
        <v>695</v>
      </c>
      <c r="J938" s="2" t="s">
        <v>2537</v>
      </c>
      <c r="K938" s="2" t="s">
        <v>1855</v>
      </c>
      <c r="L938" s="2" t="s">
        <v>1114</v>
      </c>
      <c r="M938" s="2" t="str">
        <f t="shared" si="17"/>
        <v>02</v>
      </c>
      <c r="N938" s="2" t="s">
        <v>1063</v>
      </c>
      <c r="O938" s="2" t="s">
        <v>4373</v>
      </c>
      <c r="P938" s="2" t="s">
        <v>4382</v>
      </c>
    </row>
    <row r="939" spans="1:16">
      <c r="A939" s="4">
        <v>46246.040671296294</v>
      </c>
      <c r="B939" s="2" t="s">
        <v>2685</v>
      </c>
      <c r="C939" s="2" t="s">
        <v>512</v>
      </c>
      <c r="D939" s="2" t="s">
        <v>292</v>
      </c>
      <c r="E939" s="2">
        <v>36</v>
      </c>
      <c r="F939" s="2"/>
      <c r="G939" s="2">
        <v>36</v>
      </c>
      <c r="H939" s="2" t="s">
        <v>4273</v>
      </c>
      <c r="I939" s="2" t="s">
        <v>695</v>
      </c>
      <c r="J939" s="2" t="s">
        <v>2537</v>
      </c>
      <c r="K939" s="2" t="s">
        <v>1855</v>
      </c>
      <c r="L939" s="2" t="s">
        <v>1114</v>
      </c>
      <c r="M939" s="2" t="str">
        <f t="shared" si="17"/>
        <v>02</v>
      </c>
      <c r="N939" s="2" t="s">
        <v>2028</v>
      </c>
      <c r="O939" s="2" t="s">
        <v>4373</v>
      </c>
      <c r="P939" s="2" t="s">
        <v>4382</v>
      </c>
    </row>
    <row r="940" spans="1:16">
      <c r="A940" s="4">
        <v>46246.037060185183</v>
      </c>
      <c r="B940" s="2" t="s">
        <v>17</v>
      </c>
      <c r="C940" s="2" t="s">
        <v>512</v>
      </c>
      <c r="D940" s="2" t="s">
        <v>292</v>
      </c>
      <c r="E940" s="2">
        <v>36</v>
      </c>
      <c r="F940" s="2"/>
      <c r="G940" s="2">
        <v>36</v>
      </c>
      <c r="H940" s="2" t="s">
        <v>4273</v>
      </c>
      <c r="I940" s="2" t="s">
        <v>695</v>
      </c>
      <c r="J940" s="2" t="s">
        <v>2537</v>
      </c>
      <c r="K940" s="2" t="s">
        <v>1855</v>
      </c>
      <c r="L940" s="2" t="s">
        <v>1114</v>
      </c>
      <c r="M940" s="2" t="str">
        <f t="shared" si="17"/>
        <v>02</v>
      </c>
      <c r="N940" s="2" t="s">
        <v>3870</v>
      </c>
      <c r="O940" s="2" t="s">
        <v>4373</v>
      </c>
      <c r="P940" s="2" t="s">
        <v>4382</v>
      </c>
    </row>
    <row r="941" spans="1:16">
      <c r="A941" s="4">
        <v>46246.036828703705</v>
      </c>
      <c r="B941" s="2" t="s">
        <v>1031</v>
      </c>
      <c r="C941" s="2" t="s">
        <v>512</v>
      </c>
      <c r="D941" s="2" t="s">
        <v>292</v>
      </c>
      <c r="E941" s="2">
        <v>36</v>
      </c>
      <c r="F941" s="2"/>
      <c r="G941" s="2">
        <v>36</v>
      </c>
      <c r="H941" s="2" t="s">
        <v>4273</v>
      </c>
      <c r="I941" s="2" t="s">
        <v>695</v>
      </c>
      <c r="J941" s="2" t="s">
        <v>2537</v>
      </c>
      <c r="K941" s="2" t="s">
        <v>1855</v>
      </c>
      <c r="L941" s="2" t="s">
        <v>1114</v>
      </c>
      <c r="M941" s="2" t="str">
        <f t="shared" si="17"/>
        <v>02</v>
      </c>
      <c r="N941" s="2" t="s">
        <v>3232</v>
      </c>
      <c r="O941" s="2" t="s">
        <v>4373</v>
      </c>
      <c r="P941" s="2" t="s">
        <v>4382</v>
      </c>
    </row>
    <row r="942" spans="1:16">
      <c r="A942" s="4">
        <v>46246.035601851851</v>
      </c>
      <c r="B942" s="2" t="s">
        <v>2275</v>
      </c>
      <c r="C942" s="2" t="s">
        <v>512</v>
      </c>
      <c r="D942" s="2" t="s">
        <v>292</v>
      </c>
      <c r="E942" s="2">
        <v>36</v>
      </c>
      <c r="F942" s="2"/>
      <c r="G942" s="2">
        <v>36</v>
      </c>
      <c r="H942" s="2" t="s">
        <v>4273</v>
      </c>
      <c r="I942" s="2" t="s">
        <v>695</v>
      </c>
      <c r="J942" s="2" t="s">
        <v>2537</v>
      </c>
      <c r="K942" s="2" t="s">
        <v>1855</v>
      </c>
      <c r="L942" s="2" t="s">
        <v>1114</v>
      </c>
      <c r="M942" s="2" t="str">
        <f t="shared" si="17"/>
        <v>02</v>
      </c>
      <c r="N942" s="2" t="s">
        <v>3890</v>
      </c>
      <c r="O942" s="2" t="s">
        <v>4373</v>
      </c>
      <c r="P942" s="2" t="s">
        <v>4382</v>
      </c>
    </row>
    <row r="943" spans="1:16">
      <c r="A943" s="4">
        <v>46246.035474537035</v>
      </c>
      <c r="B943" s="2" t="s">
        <v>1497</v>
      </c>
      <c r="C943" s="2" t="s">
        <v>512</v>
      </c>
      <c r="D943" s="2" t="s">
        <v>292</v>
      </c>
      <c r="E943" s="2">
        <v>36</v>
      </c>
      <c r="F943" s="2"/>
      <c r="G943" s="2">
        <v>36</v>
      </c>
      <c r="H943" s="2" t="s">
        <v>4273</v>
      </c>
      <c r="I943" s="2" t="s">
        <v>695</v>
      </c>
      <c r="J943" s="2" t="s">
        <v>2537</v>
      </c>
      <c r="K943" s="2" t="s">
        <v>1855</v>
      </c>
      <c r="L943" s="2" t="s">
        <v>1114</v>
      </c>
      <c r="M943" s="2" t="str">
        <f t="shared" si="17"/>
        <v>02</v>
      </c>
      <c r="N943" s="2" t="s">
        <v>2218</v>
      </c>
      <c r="O943" s="2" t="s">
        <v>4373</v>
      </c>
      <c r="P943" s="2" t="s">
        <v>4382</v>
      </c>
    </row>
    <row r="944" spans="1:16">
      <c r="A944" s="4">
        <v>46246.035219907404</v>
      </c>
      <c r="B944" s="2" t="s">
        <v>3313</v>
      </c>
      <c r="C944" s="2" t="s">
        <v>512</v>
      </c>
      <c r="D944" s="2" t="s">
        <v>292</v>
      </c>
      <c r="E944" s="2">
        <v>36</v>
      </c>
      <c r="F944" s="2"/>
      <c r="G944" s="2">
        <v>36</v>
      </c>
      <c r="H944" s="2" t="s">
        <v>4273</v>
      </c>
      <c r="I944" s="2" t="s">
        <v>695</v>
      </c>
      <c r="J944" s="2" t="s">
        <v>2537</v>
      </c>
      <c r="K944" s="2" t="s">
        <v>1855</v>
      </c>
      <c r="L944" s="2" t="s">
        <v>1114</v>
      </c>
      <c r="M944" s="2" t="str">
        <f t="shared" si="17"/>
        <v>02</v>
      </c>
      <c r="N944" s="2" t="s">
        <v>2758</v>
      </c>
      <c r="O944" s="2" t="s">
        <v>4373</v>
      </c>
      <c r="P944" s="2" t="s">
        <v>4382</v>
      </c>
    </row>
    <row r="945" spans="1:16">
      <c r="A945" s="4">
        <v>46246.034722222219</v>
      </c>
      <c r="B945" s="2" t="s">
        <v>2957</v>
      </c>
      <c r="C945" s="2" t="s">
        <v>512</v>
      </c>
      <c r="D945" s="2" t="s">
        <v>292</v>
      </c>
      <c r="E945" s="2">
        <v>36</v>
      </c>
      <c r="F945" s="2"/>
      <c r="G945" s="2">
        <v>36</v>
      </c>
      <c r="H945" s="2" t="s">
        <v>4273</v>
      </c>
      <c r="I945" s="2" t="s">
        <v>695</v>
      </c>
      <c r="J945" s="2" t="s">
        <v>2537</v>
      </c>
      <c r="K945" s="2" t="s">
        <v>1855</v>
      </c>
      <c r="L945" s="2" t="s">
        <v>1114</v>
      </c>
      <c r="M945" s="2" t="str">
        <f t="shared" si="17"/>
        <v>02</v>
      </c>
      <c r="N945" s="2" t="s">
        <v>142</v>
      </c>
      <c r="O945" s="2" t="s">
        <v>4373</v>
      </c>
      <c r="P945" s="2" t="s">
        <v>4382</v>
      </c>
    </row>
    <row r="946" spans="1:16">
      <c r="A946" s="4">
        <v>46246.034143518518</v>
      </c>
      <c r="B946" s="2" t="s">
        <v>1518</v>
      </c>
      <c r="C946" s="2" t="s">
        <v>512</v>
      </c>
      <c r="D946" s="2" t="s">
        <v>292</v>
      </c>
      <c r="E946" s="2">
        <v>36</v>
      </c>
      <c r="F946" s="2"/>
      <c r="G946" s="2">
        <v>36</v>
      </c>
      <c r="H946" s="2" t="s">
        <v>4273</v>
      </c>
      <c r="I946" s="2" t="s">
        <v>695</v>
      </c>
      <c r="J946" s="2" t="s">
        <v>2537</v>
      </c>
      <c r="K946" s="2" t="s">
        <v>1855</v>
      </c>
      <c r="L946" s="2" t="s">
        <v>1114</v>
      </c>
      <c r="M946" s="2" t="str">
        <f t="shared" si="17"/>
        <v>02</v>
      </c>
      <c r="N946" s="2" t="s">
        <v>3561</v>
      </c>
      <c r="O946" s="2" t="s">
        <v>4373</v>
      </c>
      <c r="P946" s="2" t="s">
        <v>4382</v>
      </c>
    </row>
    <row r="947" spans="1:16">
      <c r="A947" s="4">
        <v>46246.034131944441</v>
      </c>
      <c r="B947" s="2" t="s">
        <v>2819</v>
      </c>
      <c r="C947" s="2" t="s">
        <v>512</v>
      </c>
      <c r="D947" s="2" t="s">
        <v>292</v>
      </c>
      <c r="E947" s="2">
        <v>36</v>
      </c>
      <c r="F947" s="2"/>
      <c r="G947" s="2">
        <v>36</v>
      </c>
      <c r="H947" s="2" t="s">
        <v>4273</v>
      </c>
      <c r="I947" s="2" t="s">
        <v>695</v>
      </c>
      <c r="J947" s="2" t="s">
        <v>2537</v>
      </c>
      <c r="K947" s="2" t="s">
        <v>1855</v>
      </c>
      <c r="L947" s="2" t="s">
        <v>1114</v>
      </c>
      <c r="M947" s="2" t="str">
        <f t="shared" si="17"/>
        <v>02</v>
      </c>
      <c r="N947" s="2" t="s">
        <v>2146</v>
      </c>
      <c r="O947" s="2" t="s">
        <v>4373</v>
      </c>
      <c r="P947" s="2" t="s">
        <v>4382</v>
      </c>
    </row>
    <row r="948" spans="1:16">
      <c r="A948" s="4">
        <v>46246.03297453704</v>
      </c>
      <c r="B948" s="2" t="s">
        <v>3898</v>
      </c>
      <c r="C948" s="2" t="s">
        <v>512</v>
      </c>
      <c r="D948" s="2" t="s">
        <v>292</v>
      </c>
      <c r="E948" s="2">
        <v>36</v>
      </c>
      <c r="F948" s="2"/>
      <c r="G948" s="2">
        <v>36</v>
      </c>
      <c r="H948" s="2" t="s">
        <v>4273</v>
      </c>
      <c r="I948" s="2" t="s">
        <v>695</v>
      </c>
      <c r="J948" s="2" t="s">
        <v>2537</v>
      </c>
      <c r="K948" s="2" t="s">
        <v>1855</v>
      </c>
      <c r="L948" s="2" t="s">
        <v>1114</v>
      </c>
      <c r="M948" s="2" t="str">
        <f t="shared" si="17"/>
        <v>02</v>
      </c>
      <c r="N948" s="2" t="s">
        <v>3759</v>
      </c>
      <c r="O948" s="2" t="s">
        <v>4373</v>
      </c>
      <c r="P948" s="2" t="s">
        <v>4382</v>
      </c>
    </row>
    <row r="949" spans="1:16">
      <c r="A949" s="4">
        <v>46246.032870370371</v>
      </c>
      <c r="B949" s="2" t="s">
        <v>2580</v>
      </c>
      <c r="C949" s="2" t="s">
        <v>512</v>
      </c>
      <c r="D949" s="2" t="s">
        <v>292</v>
      </c>
      <c r="E949" s="2">
        <v>36</v>
      </c>
      <c r="F949" s="2"/>
      <c r="G949" s="2">
        <v>36</v>
      </c>
      <c r="H949" s="2" t="s">
        <v>4273</v>
      </c>
      <c r="I949" s="2" t="s">
        <v>695</v>
      </c>
      <c r="J949" s="2" t="s">
        <v>2537</v>
      </c>
      <c r="K949" s="2" t="s">
        <v>1855</v>
      </c>
      <c r="L949" s="2" t="s">
        <v>1114</v>
      </c>
      <c r="M949" s="2" t="str">
        <f t="shared" si="17"/>
        <v>02</v>
      </c>
      <c r="N949" s="2" t="s">
        <v>4104</v>
      </c>
      <c r="O949" s="2" t="s">
        <v>4373</v>
      </c>
      <c r="P949" s="2" t="s">
        <v>4382</v>
      </c>
    </row>
    <row r="950" spans="1:16">
      <c r="A950" s="4">
        <v>46246.03266203704</v>
      </c>
      <c r="B950" s="2" t="s">
        <v>927</v>
      </c>
      <c r="C950" s="2" t="s">
        <v>512</v>
      </c>
      <c r="D950" s="2" t="s">
        <v>292</v>
      </c>
      <c r="E950" s="2">
        <v>36</v>
      </c>
      <c r="F950" s="2"/>
      <c r="G950" s="2">
        <v>36</v>
      </c>
      <c r="H950" s="2" t="s">
        <v>4273</v>
      </c>
      <c r="I950" s="2" t="s">
        <v>695</v>
      </c>
      <c r="J950" s="2" t="s">
        <v>2537</v>
      </c>
      <c r="K950" s="2" t="s">
        <v>1855</v>
      </c>
      <c r="L950" s="2" t="s">
        <v>1114</v>
      </c>
      <c r="M950" s="2" t="str">
        <f t="shared" si="17"/>
        <v>02</v>
      </c>
      <c r="N950" s="2" t="s">
        <v>3858</v>
      </c>
      <c r="O950" s="2" t="s">
        <v>4373</v>
      </c>
      <c r="P950" s="2" t="s">
        <v>4382</v>
      </c>
    </row>
    <row r="951" spans="1:16">
      <c r="A951" s="4">
        <v>46246.03224537037</v>
      </c>
      <c r="B951" s="2" t="s">
        <v>1492</v>
      </c>
      <c r="C951" s="2" t="s">
        <v>512</v>
      </c>
      <c r="D951" s="2" t="s">
        <v>292</v>
      </c>
      <c r="E951" s="2">
        <v>36</v>
      </c>
      <c r="F951" s="2"/>
      <c r="G951" s="2">
        <v>36</v>
      </c>
      <c r="H951" s="2" t="s">
        <v>4273</v>
      </c>
      <c r="I951" s="2" t="s">
        <v>695</v>
      </c>
      <c r="J951" s="2" t="s">
        <v>2537</v>
      </c>
      <c r="K951" s="2" t="s">
        <v>1855</v>
      </c>
      <c r="L951" s="2" t="s">
        <v>1114</v>
      </c>
      <c r="M951" s="2" t="str">
        <f t="shared" si="17"/>
        <v>02</v>
      </c>
      <c r="N951" s="2" t="s">
        <v>1506</v>
      </c>
      <c r="O951" s="2" t="s">
        <v>4373</v>
      </c>
      <c r="P951" s="2" t="s">
        <v>4382</v>
      </c>
    </row>
    <row r="952" spans="1:16">
      <c r="A952" s="4">
        <v>46246.031967592593</v>
      </c>
      <c r="B952" s="2" t="s">
        <v>2145</v>
      </c>
      <c r="C952" s="2" t="s">
        <v>512</v>
      </c>
      <c r="D952" s="2" t="s">
        <v>292</v>
      </c>
      <c r="E952" s="2">
        <v>36</v>
      </c>
      <c r="F952" s="2"/>
      <c r="G952" s="2">
        <v>36</v>
      </c>
      <c r="H952" s="2" t="s">
        <v>4273</v>
      </c>
      <c r="I952" s="2" t="s">
        <v>695</v>
      </c>
      <c r="J952" s="2" t="s">
        <v>2537</v>
      </c>
      <c r="K952" s="2" t="s">
        <v>1855</v>
      </c>
      <c r="L952" s="2" t="s">
        <v>1114</v>
      </c>
      <c r="M952" s="2" t="str">
        <f t="shared" si="17"/>
        <v>02</v>
      </c>
      <c r="N952" s="2" t="s">
        <v>3730</v>
      </c>
      <c r="O952" s="2" t="s">
        <v>4373</v>
      </c>
      <c r="P952" s="2" t="s">
        <v>4382</v>
      </c>
    </row>
    <row r="953" spans="1:16">
      <c r="A953" s="4">
        <v>46246.031469907408</v>
      </c>
      <c r="B953" s="2" t="s">
        <v>2989</v>
      </c>
      <c r="C953" s="2" t="s">
        <v>512</v>
      </c>
      <c r="D953" s="2" t="s">
        <v>292</v>
      </c>
      <c r="E953" s="2">
        <v>36</v>
      </c>
      <c r="F953" s="2"/>
      <c r="G953" s="2">
        <v>36</v>
      </c>
      <c r="H953" s="2" t="s">
        <v>4273</v>
      </c>
      <c r="I953" s="2" t="s">
        <v>695</v>
      </c>
      <c r="J953" s="2" t="s">
        <v>2537</v>
      </c>
      <c r="K953" s="2" t="s">
        <v>1855</v>
      </c>
      <c r="L953" s="2" t="s">
        <v>1114</v>
      </c>
      <c r="M953" s="2" t="str">
        <f t="shared" si="17"/>
        <v>02</v>
      </c>
      <c r="N953" s="2" t="s">
        <v>798</v>
      </c>
      <c r="O953" s="2" t="s">
        <v>4373</v>
      </c>
      <c r="P953" s="2" t="s">
        <v>4382</v>
      </c>
    </row>
    <row r="954" spans="1:16">
      <c r="A954" s="4">
        <v>46246.030960648146</v>
      </c>
      <c r="B954" s="2" t="s">
        <v>906</v>
      </c>
      <c r="C954" s="2" t="s">
        <v>512</v>
      </c>
      <c r="D954" s="2" t="s">
        <v>292</v>
      </c>
      <c r="E954" s="2">
        <v>36</v>
      </c>
      <c r="F954" s="2"/>
      <c r="G954" s="2">
        <v>36</v>
      </c>
      <c r="H954" s="2" t="s">
        <v>4273</v>
      </c>
      <c r="I954" s="2" t="s">
        <v>695</v>
      </c>
      <c r="J954" s="2" t="s">
        <v>2537</v>
      </c>
      <c r="K954" s="2" t="s">
        <v>1855</v>
      </c>
      <c r="L954" s="2" t="s">
        <v>1114</v>
      </c>
      <c r="M954" s="2" t="str">
        <f t="shared" si="17"/>
        <v>02</v>
      </c>
      <c r="N954" s="2" t="s">
        <v>66</v>
      </c>
      <c r="O954" s="2" t="s">
        <v>4373</v>
      </c>
      <c r="P954" s="2" t="s">
        <v>4382</v>
      </c>
    </row>
    <row r="955" spans="1:16">
      <c r="A955" s="4">
        <v>46246.030868055554</v>
      </c>
      <c r="B955" s="2" t="s">
        <v>3384</v>
      </c>
      <c r="C955" s="2" t="s">
        <v>512</v>
      </c>
      <c r="D955" s="2" t="s">
        <v>292</v>
      </c>
      <c r="E955" s="2">
        <v>36</v>
      </c>
      <c r="F955" s="2"/>
      <c r="G955" s="2">
        <v>36</v>
      </c>
      <c r="H955" s="2" t="s">
        <v>4273</v>
      </c>
      <c r="I955" s="2" t="s">
        <v>695</v>
      </c>
      <c r="J955" s="2" t="s">
        <v>2537</v>
      </c>
      <c r="K955" s="2" t="s">
        <v>1855</v>
      </c>
      <c r="L955" s="2" t="s">
        <v>1114</v>
      </c>
      <c r="M955" s="2" t="str">
        <f t="shared" si="17"/>
        <v>02</v>
      </c>
      <c r="N955" s="2" t="s">
        <v>4248</v>
      </c>
      <c r="O955" s="2" t="s">
        <v>4373</v>
      </c>
      <c r="P955" s="2" t="s">
        <v>4382</v>
      </c>
    </row>
    <row r="956" spans="1:16">
      <c r="A956" s="4">
        <v>46246.030266203707</v>
      </c>
      <c r="B956" s="2" t="s">
        <v>2943</v>
      </c>
      <c r="C956" s="2" t="s">
        <v>512</v>
      </c>
      <c r="D956" s="2" t="s">
        <v>292</v>
      </c>
      <c r="E956" s="2">
        <v>36</v>
      </c>
      <c r="F956" s="2"/>
      <c r="G956" s="2">
        <v>36</v>
      </c>
      <c r="H956" s="2" t="s">
        <v>4273</v>
      </c>
      <c r="I956" s="2" t="s">
        <v>695</v>
      </c>
      <c r="J956" s="2" t="s">
        <v>2537</v>
      </c>
      <c r="K956" s="2" t="s">
        <v>1855</v>
      </c>
      <c r="L956" s="2" t="s">
        <v>1114</v>
      </c>
      <c r="M956" s="2" t="str">
        <f t="shared" si="17"/>
        <v>02</v>
      </c>
      <c r="N956" s="2" t="s">
        <v>3381</v>
      </c>
      <c r="O956" s="2" t="s">
        <v>4373</v>
      </c>
      <c r="P956" s="2" t="s">
        <v>4382</v>
      </c>
    </row>
    <row r="957" spans="1:16">
      <c r="A957" s="4">
        <v>46246.030243055553</v>
      </c>
      <c r="B957" s="2" t="s">
        <v>1535</v>
      </c>
      <c r="C957" s="2" t="s">
        <v>512</v>
      </c>
      <c r="D957" s="2" t="s">
        <v>292</v>
      </c>
      <c r="E957" s="2">
        <v>36</v>
      </c>
      <c r="F957" s="2"/>
      <c r="G957" s="2">
        <v>36</v>
      </c>
      <c r="H957" s="2" t="s">
        <v>4273</v>
      </c>
      <c r="I957" s="2" t="s">
        <v>695</v>
      </c>
      <c r="J957" s="2" t="s">
        <v>2537</v>
      </c>
      <c r="K957" s="2" t="s">
        <v>1855</v>
      </c>
      <c r="L957" s="2" t="s">
        <v>1114</v>
      </c>
      <c r="M957" s="2" t="str">
        <f t="shared" si="17"/>
        <v>02</v>
      </c>
      <c r="N957" s="2" t="s">
        <v>3857</v>
      </c>
      <c r="O957" s="2" t="s">
        <v>4373</v>
      </c>
      <c r="P957" s="2" t="s">
        <v>4382</v>
      </c>
    </row>
    <row r="958" spans="1:16">
      <c r="A958" s="4">
        <v>46246.029293981483</v>
      </c>
      <c r="B958" s="2" t="s">
        <v>1990</v>
      </c>
      <c r="C958" s="2" t="s">
        <v>512</v>
      </c>
      <c r="D958" s="2" t="s">
        <v>292</v>
      </c>
      <c r="E958" s="2">
        <v>36</v>
      </c>
      <c r="F958" s="2"/>
      <c r="G958" s="2">
        <v>36</v>
      </c>
      <c r="H958" s="2" t="s">
        <v>4273</v>
      </c>
      <c r="I958" s="2" t="s">
        <v>695</v>
      </c>
      <c r="J958" s="2" t="s">
        <v>2537</v>
      </c>
      <c r="K958" s="2" t="s">
        <v>1855</v>
      </c>
      <c r="L958" s="2" t="s">
        <v>1114</v>
      </c>
      <c r="M958" s="2" t="str">
        <f t="shared" si="17"/>
        <v>02</v>
      </c>
      <c r="N958" s="2" t="s">
        <v>3949</v>
      </c>
      <c r="O958" s="2" t="s">
        <v>4373</v>
      </c>
      <c r="P958" s="2" t="s">
        <v>4382</v>
      </c>
    </row>
    <row r="959" spans="1:16">
      <c r="A959" s="4">
        <v>46246.029236111113</v>
      </c>
      <c r="B959" s="2" t="s">
        <v>3973</v>
      </c>
      <c r="C959" s="2" t="s">
        <v>512</v>
      </c>
      <c r="D959" s="2" t="s">
        <v>292</v>
      </c>
      <c r="E959" s="2">
        <v>36</v>
      </c>
      <c r="F959" s="2"/>
      <c r="G959" s="2">
        <v>36</v>
      </c>
      <c r="H959" s="2" t="s">
        <v>4273</v>
      </c>
      <c r="I959" s="2" t="s">
        <v>695</v>
      </c>
      <c r="J959" s="2" t="s">
        <v>2537</v>
      </c>
      <c r="K959" s="2" t="s">
        <v>1855</v>
      </c>
      <c r="L959" s="2" t="s">
        <v>1114</v>
      </c>
      <c r="M959" s="2" t="str">
        <f t="shared" si="17"/>
        <v>02</v>
      </c>
      <c r="N959" s="2" t="s">
        <v>1533</v>
      </c>
      <c r="O959" s="2" t="s">
        <v>4373</v>
      </c>
      <c r="P959" s="2" t="s">
        <v>4382</v>
      </c>
    </row>
    <row r="960" spans="1:16">
      <c r="A960" s="4">
        <v>46246.02884259259</v>
      </c>
      <c r="B960" s="2" t="s">
        <v>2478</v>
      </c>
      <c r="C960" s="2" t="s">
        <v>512</v>
      </c>
      <c r="D960" s="2" t="s">
        <v>292</v>
      </c>
      <c r="E960" s="2">
        <v>36</v>
      </c>
      <c r="F960" s="2"/>
      <c r="G960" s="2">
        <v>36</v>
      </c>
      <c r="H960" s="2" t="s">
        <v>4273</v>
      </c>
      <c r="I960" s="2" t="s">
        <v>695</v>
      </c>
      <c r="J960" s="2" t="s">
        <v>2537</v>
      </c>
      <c r="K960" s="2" t="s">
        <v>1855</v>
      </c>
      <c r="L960" s="2" t="s">
        <v>1114</v>
      </c>
      <c r="M960" s="2" t="str">
        <f t="shared" si="17"/>
        <v>02</v>
      </c>
      <c r="N960" s="2" t="s">
        <v>2295</v>
      </c>
      <c r="O960" s="2" t="s">
        <v>4373</v>
      </c>
      <c r="P960" s="2" t="s">
        <v>4382</v>
      </c>
    </row>
    <row r="961" spans="1:16">
      <c r="A961" s="4">
        <v>46246.028541666667</v>
      </c>
      <c r="B961" s="2" t="s">
        <v>1602</v>
      </c>
      <c r="C961" s="2" t="s">
        <v>512</v>
      </c>
      <c r="D961" s="2" t="s">
        <v>292</v>
      </c>
      <c r="E961" s="2">
        <v>36</v>
      </c>
      <c r="F961" s="2"/>
      <c r="G961" s="2">
        <v>36</v>
      </c>
      <c r="H961" s="2" t="s">
        <v>4273</v>
      </c>
      <c r="I961" s="2" t="s">
        <v>695</v>
      </c>
      <c r="J961" s="2" t="s">
        <v>2537</v>
      </c>
      <c r="K961" s="2" t="s">
        <v>1855</v>
      </c>
      <c r="L961" s="2" t="s">
        <v>1114</v>
      </c>
      <c r="M961" s="2" t="str">
        <f t="shared" si="17"/>
        <v>02</v>
      </c>
      <c r="N961" s="2" t="s">
        <v>1885</v>
      </c>
      <c r="O961" s="2" t="s">
        <v>4373</v>
      </c>
      <c r="P961" s="2" t="s">
        <v>4382</v>
      </c>
    </row>
    <row r="962" spans="1:16">
      <c r="A962" s="4">
        <v>46246.028217592589</v>
      </c>
      <c r="B962" s="2" t="s">
        <v>2264</v>
      </c>
      <c r="C962" s="2" t="s">
        <v>512</v>
      </c>
      <c r="D962" s="2" t="s">
        <v>292</v>
      </c>
      <c r="E962" s="2">
        <v>36</v>
      </c>
      <c r="F962" s="2"/>
      <c r="G962" s="2">
        <v>36</v>
      </c>
      <c r="H962" s="2" t="s">
        <v>4273</v>
      </c>
      <c r="I962" s="2" t="s">
        <v>695</v>
      </c>
      <c r="J962" s="2" t="s">
        <v>2537</v>
      </c>
      <c r="K962" s="2" t="s">
        <v>1855</v>
      </c>
      <c r="L962" s="2" t="s">
        <v>1114</v>
      </c>
      <c r="M962" s="2" t="str">
        <f t="shared" ref="M962:M1025" si="18">RIGHT(L962,2)</f>
        <v>02</v>
      </c>
      <c r="N962" s="2" t="s">
        <v>182</v>
      </c>
      <c r="O962" s="2" t="s">
        <v>4373</v>
      </c>
      <c r="P962" s="2" t="s">
        <v>4382</v>
      </c>
    </row>
    <row r="963" spans="1:16">
      <c r="A963" s="4">
        <v>46246.028055555558</v>
      </c>
      <c r="B963" s="2" t="s">
        <v>2417</v>
      </c>
      <c r="C963" s="2" t="s">
        <v>512</v>
      </c>
      <c r="D963" s="2" t="s">
        <v>292</v>
      </c>
      <c r="E963" s="2">
        <v>36</v>
      </c>
      <c r="F963" s="2"/>
      <c r="G963" s="2">
        <v>36</v>
      </c>
      <c r="H963" s="2" t="s">
        <v>4273</v>
      </c>
      <c r="I963" s="2" t="s">
        <v>695</v>
      </c>
      <c r="J963" s="2" t="s">
        <v>2537</v>
      </c>
      <c r="K963" s="2" t="s">
        <v>1855</v>
      </c>
      <c r="L963" s="2" t="s">
        <v>1114</v>
      </c>
      <c r="M963" s="2" t="str">
        <f t="shared" si="18"/>
        <v>02</v>
      </c>
      <c r="N963" s="2" t="s">
        <v>3087</v>
      </c>
      <c r="O963" s="2" t="s">
        <v>4373</v>
      </c>
      <c r="P963" s="2" t="s">
        <v>4382</v>
      </c>
    </row>
    <row r="964" spans="1:16">
      <c r="A964" s="4">
        <v>46246.027418981481</v>
      </c>
      <c r="B964" s="2" t="s">
        <v>2311</v>
      </c>
      <c r="C964" s="2" t="s">
        <v>512</v>
      </c>
      <c r="D964" s="2" t="s">
        <v>292</v>
      </c>
      <c r="E964" s="2">
        <v>36</v>
      </c>
      <c r="F964" s="2"/>
      <c r="G964" s="2">
        <v>36</v>
      </c>
      <c r="H964" s="2" t="s">
        <v>4273</v>
      </c>
      <c r="I964" s="2" t="s">
        <v>695</v>
      </c>
      <c r="J964" s="2" t="s">
        <v>2537</v>
      </c>
      <c r="K964" s="2" t="s">
        <v>1855</v>
      </c>
      <c r="L964" s="2" t="s">
        <v>1114</v>
      </c>
      <c r="M964" s="2" t="str">
        <f t="shared" si="18"/>
        <v>02</v>
      </c>
      <c r="N964" s="2" t="s">
        <v>225</v>
      </c>
      <c r="O964" s="2" t="s">
        <v>4373</v>
      </c>
      <c r="P964" s="2" t="s">
        <v>4382</v>
      </c>
    </row>
    <row r="965" spans="1:16">
      <c r="A965" s="4">
        <v>46246.027326388888</v>
      </c>
      <c r="B965" s="2" t="s">
        <v>2193</v>
      </c>
      <c r="C965" s="2" t="s">
        <v>512</v>
      </c>
      <c r="D965" s="2" t="s">
        <v>292</v>
      </c>
      <c r="E965" s="2">
        <v>36</v>
      </c>
      <c r="F965" s="2"/>
      <c r="G965" s="2">
        <v>36</v>
      </c>
      <c r="H965" s="2" t="s">
        <v>4273</v>
      </c>
      <c r="I965" s="2" t="s">
        <v>695</v>
      </c>
      <c r="J965" s="2" t="s">
        <v>2537</v>
      </c>
      <c r="K965" s="2" t="s">
        <v>1855</v>
      </c>
      <c r="L965" s="2" t="s">
        <v>1114</v>
      </c>
      <c r="M965" s="2" t="str">
        <f t="shared" si="18"/>
        <v>02</v>
      </c>
      <c r="N965" s="2" t="s">
        <v>1557</v>
      </c>
      <c r="O965" s="2" t="s">
        <v>4373</v>
      </c>
      <c r="P965" s="2" t="s">
        <v>4382</v>
      </c>
    </row>
    <row r="966" spans="1:16">
      <c r="A966" s="4">
        <v>46246.02684027778</v>
      </c>
      <c r="B966" s="2" t="s">
        <v>4260</v>
      </c>
      <c r="C966" s="2" t="s">
        <v>512</v>
      </c>
      <c r="D966" s="2" t="s">
        <v>292</v>
      </c>
      <c r="E966" s="2">
        <v>36</v>
      </c>
      <c r="F966" s="2"/>
      <c r="G966" s="2">
        <v>36</v>
      </c>
      <c r="H966" s="2" t="s">
        <v>4273</v>
      </c>
      <c r="I966" s="2" t="s">
        <v>695</v>
      </c>
      <c r="J966" s="2" t="s">
        <v>2537</v>
      </c>
      <c r="K966" s="2" t="s">
        <v>1855</v>
      </c>
      <c r="L966" s="2" t="s">
        <v>1114</v>
      </c>
      <c r="M966" s="2" t="str">
        <f t="shared" si="18"/>
        <v>02</v>
      </c>
      <c r="N966" s="2" t="s">
        <v>4165</v>
      </c>
      <c r="O966" s="2" t="s">
        <v>4373</v>
      </c>
      <c r="P966" s="2" t="s">
        <v>4382</v>
      </c>
    </row>
    <row r="967" spans="1:16">
      <c r="A967" s="4">
        <v>46246.02684027778</v>
      </c>
      <c r="B967" s="2" t="s">
        <v>1922</v>
      </c>
      <c r="C967" s="2" t="s">
        <v>512</v>
      </c>
      <c r="D967" s="2" t="s">
        <v>292</v>
      </c>
      <c r="E967" s="2">
        <v>36</v>
      </c>
      <c r="F967" s="2"/>
      <c r="G967" s="2">
        <v>36</v>
      </c>
      <c r="H967" s="2" t="s">
        <v>4273</v>
      </c>
      <c r="I967" s="2" t="s">
        <v>695</v>
      </c>
      <c r="J967" s="2" t="s">
        <v>2537</v>
      </c>
      <c r="K967" s="2" t="s">
        <v>1855</v>
      </c>
      <c r="L967" s="2" t="s">
        <v>1114</v>
      </c>
      <c r="M967" s="2" t="str">
        <f t="shared" si="18"/>
        <v>02</v>
      </c>
      <c r="N967" s="2" t="s">
        <v>3790</v>
      </c>
      <c r="O967" s="2" t="s">
        <v>4373</v>
      </c>
      <c r="P967" s="2" t="s">
        <v>4382</v>
      </c>
    </row>
    <row r="968" spans="1:16">
      <c r="A968" s="4">
        <v>46246.026365740741</v>
      </c>
      <c r="B968" s="2" t="s">
        <v>1718</v>
      </c>
      <c r="C968" s="2" t="s">
        <v>512</v>
      </c>
      <c r="D968" s="2" t="s">
        <v>292</v>
      </c>
      <c r="E968" s="2">
        <v>36</v>
      </c>
      <c r="F968" s="2"/>
      <c r="G968" s="2">
        <v>36</v>
      </c>
      <c r="H968" s="2" t="s">
        <v>4273</v>
      </c>
      <c r="I968" s="2" t="s">
        <v>695</v>
      </c>
      <c r="J968" s="2" t="s">
        <v>2537</v>
      </c>
      <c r="K968" s="2" t="s">
        <v>1855</v>
      </c>
      <c r="L968" s="2" t="s">
        <v>1114</v>
      </c>
      <c r="M968" s="2" t="str">
        <f t="shared" si="18"/>
        <v>02</v>
      </c>
      <c r="N968" s="2" t="s">
        <v>354</v>
      </c>
      <c r="O968" s="2" t="s">
        <v>4373</v>
      </c>
      <c r="P968" s="2" t="s">
        <v>4382</v>
      </c>
    </row>
    <row r="969" spans="1:16">
      <c r="A969" s="4">
        <v>46246.026354166665</v>
      </c>
      <c r="B969" s="2" t="s">
        <v>253</v>
      </c>
      <c r="C969" s="2" t="s">
        <v>512</v>
      </c>
      <c r="D969" s="2" t="s">
        <v>292</v>
      </c>
      <c r="E969" s="2">
        <v>36</v>
      </c>
      <c r="F969" s="2"/>
      <c r="G969" s="2">
        <v>36</v>
      </c>
      <c r="H969" s="2" t="s">
        <v>4273</v>
      </c>
      <c r="I969" s="2" t="s">
        <v>695</v>
      </c>
      <c r="J969" s="2" t="s">
        <v>2537</v>
      </c>
      <c r="K969" s="2" t="s">
        <v>1855</v>
      </c>
      <c r="L969" s="2" t="s">
        <v>1114</v>
      </c>
      <c r="M969" s="2" t="str">
        <f t="shared" si="18"/>
        <v>02</v>
      </c>
      <c r="N969" s="2" t="s">
        <v>1610</v>
      </c>
      <c r="O969" s="2" t="s">
        <v>4373</v>
      </c>
      <c r="P969" s="2" t="s">
        <v>4382</v>
      </c>
    </row>
    <row r="970" spans="1:16">
      <c r="A970" s="4">
        <v>46246.025717592594</v>
      </c>
      <c r="B970" s="2" t="s">
        <v>4308</v>
      </c>
      <c r="C970" s="2" t="s">
        <v>512</v>
      </c>
      <c r="D970" s="2" t="s">
        <v>292</v>
      </c>
      <c r="E970" s="2">
        <v>36</v>
      </c>
      <c r="F970" s="2"/>
      <c r="G970" s="2">
        <v>36</v>
      </c>
      <c r="H970" s="2" t="s">
        <v>4273</v>
      </c>
      <c r="I970" s="2" t="s">
        <v>695</v>
      </c>
      <c r="J970" s="2" t="s">
        <v>2537</v>
      </c>
      <c r="K970" s="2" t="s">
        <v>1855</v>
      </c>
      <c r="L970" s="2" t="s">
        <v>1114</v>
      </c>
      <c r="M970" s="2" t="str">
        <f t="shared" si="18"/>
        <v>02</v>
      </c>
      <c r="N970" s="2" t="s">
        <v>1529</v>
      </c>
      <c r="O970" s="2" t="s">
        <v>4373</v>
      </c>
      <c r="P970" s="2" t="s">
        <v>4382</v>
      </c>
    </row>
    <row r="971" spans="1:16">
      <c r="A971" s="4">
        <v>46246.025451388887</v>
      </c>
      <c r="B971" s="2" t="s">
        <v>3699</v>
      </c>
      <c r="C971" s="2" t="s">
        <v>512</v>
      </c>
      <c r="D971" s="2" t="s">
        <v>292</v>
      </c>
      <c r="E971" s="2">
        <v>36</v>
      </c>
      <c r="F971" s="2"/>
      <c r="G971" s="2">
        <v>36</v>
      </c>
      <c r="H971" s="2" t="s">
        <v>4273</v>
      </c>
      <c r="I971" s="2" t="s">
        <v>695</v>
      </c>
      <c r="J971" s="2" t="s">
        <v>2537</v>
      </c>
      <c r="K971" s="2" t="s">
        <v>1855</v>
      </c>
      <c r="L971" s="2" t="s">
        <v>1114</v>
      </c>
      <c r="M971" s="2" t="str">
        <f t="shared" si="18"/>
        <v>02</v>
      </c>
      <c r="N971" s="2" t="s">
        <v>2380</v>
      </c>
      <c r="O971" s="2" t="s">
        <v>4373</v>
      </c>
      <c r="P971" s="2" t="s">
        <v>4382</v>
      </c>
    </row>
    <row r="972" spans="1:16">
      <c r="A972" s="4">
        <v>46245.18037037037</v>
      </c>
      <c r="B972" s="2" t="s">
        <v>744</v>
      </c>
      <c r="C972" s="2" t="s">
        <v>512</v>
      </c>
      <c r="D972" s="2" t="s">
        <v>292</v>
      </c>
      <c r="E972" s="2">
        <v>36</v>
      </c>
      <c r="F972" s="2"/>
      <c r="G972" s="2">
        <v>36</v>
      </c>
      <c r="H972" s="2" t="s">
        <v>1539</v>
      </c>
      <c r="I972" s="2" t="s">
        <v>695</v>
      </c>
      <c r="J972" s="2" t="s">
        <v>2537</v>
      </c>
      <c r="K972" s="2" t="s">
        <v>1855</v>
      </c>
      <c r="L972" s="2" t="s">
        <v>2399</v>
      </c>
      <c r="M972" s="2" t="str">
        <f t="shared" si="18"/>
        <v>05</v>
      </c>
      <c r="N972" s="2" t="s">
        <v>1964</v>
      </c>
      <c r="O972" s="2" t="s">
        <v>4373</v>
      </c>
      <c r="P972" s="2" t="s">
        <v>4375</v>
      </c>
    </row>
    <row r="973" spans="1:16">
      <c r="A973" s="4">
        <v>46245.180347222224</v>
      </c>
      <c r="B973" s="2" t="s">
        <v>1482</v>
      </c>
      <c r="C973" s="2" t="s">
        <v>512</v>
      </c>
      <c r="D973" s="2" t="s">
        <v>292</v>
      </c>
      <c r="E973" s="2">
        <v>36</v>
      </c>
      <c r="F973" s="2"/>
      <c r="G973" s="2">
        <v>36</v>
      </c>
      <c r="H973" s="2" t="s">
        <v>1539</v>
      </c>
      <c r="I973" s="2" t="s">
        <v>695</v>
      </c>
      <c r="J973" s="2" t="s">
        <v>2537</v>
      </c>
      <c r="K973" s="2" t="s">
        <v>1855</v>
      </c>
      <c r="L973" s="2" t="s">
        <v>2399</v>
      </c>
      <c r="M973" s="2" t="str">
        <f t="shared" si="18"/>
        <v>05</v>
      </c>
      <c r="N973" s="2" t="s">
        <v>1456</v>
      </c>
      <c r="O973" s="2" t="s">
        <v>4373</v>
      </c>
      <c r="P973" s="2" t="s">
        <v>4375</v>
      </c>
    </row>
    <row r="974" spans="1:16">
      <c r="A974" s="4">
        <v>46245.180277777778</v>
      </c>
      <c r="B974" s="2" t="s">
        <v>1269</v>
      </c>
      <c r="C974" s="2" t="s">
        <v>512</v>
      </c>
      <c r="D974" s="2" t="s">
        <v>292</v>
      </c>
      <c r="E974" s="2">
        <v>36</v>
      </c>
      <c r="F974" s="2"/>
      <c r="G974" s="2">
        <v>36</v>
      </c>
      <c r="H974" s="2" t="s">
        <v>1539</v>
      </c>
      <c r="I974" s="2" t="s">
        <v>695</v>
      </c>
      <c r="J974" s="2" t="s">
        <v>2537</v>
      </c>
      <c r="K974" s="2" t="s">
        <v>1855</v>
      </c>
      <c r="L974" s="2" t="s">
        <v>2399</v>
      </c>
      <c r="M974" s="2" t="str">
        <f t="shared" si="18"/>
        <v>05</v>
      </c>
      <c r="N974" s="2" t="s">
        <v>3787</v>
      </c>
      <c r="O974" s="2" t="s">
        <v>4373</v>
      </c>
      <c r="P974" s="2" t="s">
        <v>4375</v>
      </c>
    </row>
    <row r="975" spans="1:16">
      <c r="A975" s="4">
        <v>46245.180254629631</v>
      </c>
      <c r="B975" s="2" t="s">
        <v>936</v>
      </c>
      <c r="C975" s="2" t="s">
        <v>512</v>
      </c>
      <c r="D975" s="2" t="s">
        <v>292</v>
      </c>
      <c r="E975" s="2">
        <v>36</v>
      </c>
      <c r="F975" s="2"/>
      <c r="G975" s="2">
        <v>36</v>
      </c>
      <c r="H975" s="2" t="s">
        <v>1539</v>
      </c>
      <c r="I975" s="2" t="s">
        <v>695</v>
      </c>
      <c r="J975" s="2" t="s">
        <v>2537</v>
      </c>
      <c r="K975" s="2" t="s">
        <v>1855</v>
      </c>
      <c r="L975" s="2" t="s">
        <v>2399</v>
      </c>
      <c r="M975" s="2" t="str">
        <f t="shared" si="18"/>
        <v>05</v>
      </c>
      <c r="N975" s="2" t="s">
        <v>14</v>
      </c>
      <c r="O975" s="2" t="s">
        <v>4373</v>
      </c>
      <c r="P975" s="2" t="s">
        <v>4375</v>
      </c>
    </row>
    <row r="976" spans="1:16">
      <c r="A976" s="4">
        <v>46245.180254629631</v>
      </c>
      <c r="B976" s="2" t="s">
        <v>125</v>
      </c>
      <c r="C976" s="2" t="s">
        <v>512</v>
      </c>
      <c r="D976" s="2" t="s">
        <v>292</v>
      </c>
      <c r="E976" s="2">
        <v>36</v>
      </c>
      <c r="F976" s="2"/>
      <c r="G976" s="2">
        <v>36</v>
      </c>
      <c r="H976" s="2" t="s">
        <v>1539</v>
      </c>
      <c r="I976" s="2" t="s">
        <v>695</v>
      </c>
      <c r="J976" s="2" t="s">
        <v>2537</v>
      </c>
      <c r="K976" s="2" t="s">
        <v>1855</v>
      </c>
      <c r="L976" s="2" t="s">
        <v>2399</v>
      </c>
      <c r="M976" s="2" t="str">
        <f t="shared" si="18"/>
        <v>05</v>
      </c>
      <c r="N976" s="2" t="s">
        <v>2878</v>
      </c>
      <c r="O976" s="2" t="s">
        <v>4373</v>
      </c>
      <c r="P976" s="2" t="s">
        <v>4375</v>
      </c>
    </row>
    <row r="977" spans="1:16">
      <c r="A977" s="4">
        <v>46245.180196759262</v>
      </c>
      <c r="B977" s="2" t="s">
        <v>2922</v>
      </c>
      <c r="C977" s="2" t="s">
        <v>512</v>
      </c>
      <c r="D977" s="2" t="s">
        <v>292</v>
      </c>
      <c r="E977" s="2">
        <v>36</v>
      </c>
      <c r="F977" s="2"/>
      <c r="G977" s="2">
        <v>36</v>
      </c>
      <c r="H977" s="2" t="s">
        <v>1539</v>
      </c>
      <c r="I977" s="2" t="s">
        <v>695</v>
      </c>
      <c r="J977" s="2" t="s">
        <v>2537</v>
      </c>
      <c r="K977" s="2" t="s">
        <v>1855</v>
      </c>
      <c r="L977" s="2" t="s">
        <v>2399</v>
      </c>
      <c r="M977" s="2" t="str">
        <f t="shared" si="18"/>
        <v>05</v>
      </c>
      <c r="N977" s="2" t="s">
        <v>3760</v>
      </c>
      <c r="O977" s="2" t="s">
        <v>4373</v>
      </c>
      <c r="P977" s="2" t="s">
        <v>4375</v>
      </c>
    </row>
    <row r="978" spans="1:16">
      <c r="A978" s="4">
        <v>46245.180104166669</v>
      </c>
      <c r="B978" s="2" t="s">
        <v>3710</v>
      </c>
      <c r="C978" s="2" t="s">
        <v>512</v>
      </c>
      <c r="D978" s="2" t="s">
        <v>292</v>
      </c>
      <c r="E978" s="2">
        <v>36</v>
      </c>
      <c r="F978" s="2"/>
      <c r="G978" s="2">
        <v>36</v>
      </c>
      <c r="H978" s="2" t="s">
        <v>1539</v>
      </c>
      <c r="I978" s="2" t="s">
        <v>695</v>
      </c>
      <c r="J978" s="2" t="s">
        <v>2537</v>
      </c>
      <c r="K978" s="2" t="s">
        <v>1855</v>
      </c>
      <c r="L978" s="2" t="s">
        <v>2399</v>
      </c>
      <c r="M978" s="2" t="str">
        <f t="shared" si="18"/>
        <v>05</v>
      </c>
      <c r="N978" s="2" t="s">
        <v>2167</v>
      </c>
      <c r="O978" s="2" t="s">
        <v>4373</v>
      </c>
      <c r="P978" s="2" t="s">
        <v>4375</v>
      </c>
    </row>
    <row r="979" spans="1:16">
      <c r="A979" s="4">
        <v>46245.179942129631</v>
      </c>
      <c r="B979" s="2" t="s">
        <v>605</v>
      </c>
      <c r="C979" s="2" t="s">
        <v>512</v>
      </c>
      <c r="D979" s="2" t="s">
        <v>292</v>
      </c>
      <c r="E979" s="2">
        <v>36</v>
      </c>
      <c r="F979" s="2"/>
      <c r="G979" s="2">
        <v>36</v>
      </c>
      <c r="H979" s="2" t="s">
        <v>1539</v>
      </c>
      <c r="I979" s="2" t="s">
        <v>695</v>
      </c>
      <c r="J979" s="2" t="s">
        <v>2537</v>
      </c>
      <c r="K979" s="2" t="s">
        <v>1855</v>
      </c>
      <c r="L979" s="2" t="s">
        <v>2399</v>
      </c>
      <c r="M979" s="2" t="str">
        <f t="shared" si="18"/>
        <v>05</v>
      </c>
      <c r="N979" s="2" t="s">
        <v>3622</v>
      </c>
      <c r="O979" s="2" t="s">
        <v>4373</v>
      </c>
      <c r="P979" s="2" t="s">
        <v>4375</v>
      </c>
    </row>
    <row r="980" spans="1:16">
      <c r="A980" s="4">
        <v>46244.882581018515</v>
      </c>
      <c r="B980" s="2" t="s">
        <v>2386</v>
      </c>
      <c r="C980" s="2" t="s">
        <v>512</v>
      </c>
      <c r="D980" s="2" t="s">
        <v>292</v>
      </c>
      <c r="E980" s="2">
        <v>36</v>
      </c>
      <c r="F980" s="2"/>
      <c r="G980" s="2">
        <v>36</v>
      </c>
      <c r="H980" s="2" t="s">
        <v>349</v>
      </c>
      <c r="I980" s="2" t="s">
        <v>695</v>
      </c>
      <c r="J980" s="2" t="s">
        <v>2537</v>
      </c>
      <c r="K980" s="2" t="s">
        <v>1855</v>
      </c>
      <c r="L980" s="2" t="s">
        <v>2699</v>
      </c>
      <c r="M980" s="2" t="str">
        <f t="shared" si="18"/>
        <v>04</v>
      </c>
      <c r="N980" s="2" t="s">
        <v>3128</v>
      </c>
      <c r="O980" s="2" t="s">
        <v>4373</v>
      </c>
      <c r="P980" s="2" t="s">
        <v>4375</v>
      </c>
    </row>
    <row r="981" spans="1:16">
      <c r="A981" s="4">
        <v>46244.880844907406</v>
      </c>
      <c r="B981" s="2" t="s">
        <v>1220</v>
      </c>
      <c r="C981" s="2" t="s">
        <v>512</v>
      </c>
      <c r="D981" s="2" t="s">
        <v>292</v>
      </c>
      <c r="E981" s="2">
        <v>36</v>
      </c>
      <c r="F981" s="2"/>
      <c r="G981" s="2">
        <v>36</v>
      </c>
      <c r="H981" s="2" t="s">
        <v>349</v>
      </c>
      <c r="I981" s="2" t="s">
        <v>695</v>
      </c>
      <c r="J981" s="2" t="s">
        <v>2537</v>
      </c>
      <c r="K981" s="2" t="s">
        <v>1855</v>
      </c>
      <c r="L981" s="2" t="s">
        <v>2699</v>
      </c>
      <c r="M981" s="2" t="str">
        <f t="shared" si="18"/>
        <v>04</v>
      </c>
      <c r="N981" s="2" t="s">
        <v>3863</v>
      </c>
      <c r="O981" s="2" t="s">
        <v>4373</v>
      </c>
      <c r="P981" s="2" t="s">
        <v>4375</v>
      </c>
    </row>
    <row r="982" spans="1:16">
      <c r="A982" s="4">
        <v>46244.880694444444</v>
      </c>
      <c r="B982" s="2" t="s">
        <v>3650</v>
      </c>
      <c r="C982" s="2" t="s">
        <v>512</v>
      </c>
      <c r="D982" s="2" t="s">
        <v>292</v>
      </c>
      <c r="E982" s="2">
        <v>36</v>
      </c>
      <c r="F982" s="2"/>
      <c r="G982" s="2">
        <v>36</v>
      </c>
      <c r="H982" s="2" t="s">
        <v>349</v>
      </c>
      <c r="I982" s="2" t="s">
        <v>695</v>
      </c>
      <c r="J982" s="2" t="s">
        <v>2537</v>
      </c>
      <c r="K982" s="2" t="s">
        <v>1855</v>
      </c>
      <c r="L982" s="2" t="s">
        <v>2699</v>
      </c>
      <c r="M982" s="2" t="str">
        <f t="shared" si="18"/>
        <v>04</v>
      </c>
      <c r="N982" s="2" t="s">
        <v>2702</v>
      </c>
      <c r="O982" s="2" t="s">
        <v>4373</v>
      </c>
      <c r="P982" s="2" t="s">
        <v>4375</v>
      </c>
    </row>
    <row r="983" spans="1:16">
      <c r="A983" s="4">
        <v>46244.880497685182</v>
      </c>
      <c r="B983" s="2" t="s">
        <v>3712</v>
      </c>
      <c r="C983" s="2" t="s">
        <v>512</v>
      </c>
      <c r="D983" s="2" t="s">
        <v>292</v>
      </c>
      <c r="E983" s="2">
        <v>36</v>
      </c>
      <c r="F983" s="2"/>
      <c r="G983" s="2">
        <v>36</v>
      </c>
      <c r="H983" s="2" t="s">
        <v>349</v>
      </c>
      <c r="I983" s="2" t="s">
        <v>695</v>
      </c>
      <c r="J983" s="2" t="s">
        <v>2537</v>
      </c>
      <c r="K983" s="2" t="s">
        <v>1855</v>
      </c>
      <c r="L983" s="2" t="s">
        <v>2699</v>
      </c>
      <c r="M983" s="2" t="str">
        <f t="shared" si="18"/>
        <v>04</v>
      </c>
      <c r="N983" s="2" t="s">
        <v>1039</v>
      </c>
      <c r="O983" s="2" t="s">
        <v>4373</v>
      </c>
      <c r="P983" s="2" t="s">
        <v>4375</v>
      </c>
    </row>
    <row r="984" spans="1:16">
      <c r="A984" s="4">
        <v>46244.879305555558</v>
      </c>
      <c r="B984" s="2" t="s">
        <v>2866</v>
      </c>
      <c r="C984" s="2" t="s">
        <v>512</v>
      </c>
      <c r="D984" s="2" t="s">
        <v>292</v>
      </c>
      <c r="E984" s="2">
        <v>36</v>
      </c>
      <c r="F984" s="2"/>
      <c r="G984" s="2">
        <v>36</v>
      </c>
      <c r="H984" s="2" t="s">
        <v>349</v>
      </c>
      <c r="I984" s="2" t="s">
        <v>695</v>
      </c>
      <c r="J984" s="2" t="s">
        <v>2537</v>
      </c>
      <c r="K984" s="2" t="s">
        <v>1855</v>
      </c>
      <c r="L984" s="2" t="s">
        <v>2699</v>
      </c>
      <c r="M984" s="2" t="str">
        <f t="shared" si="18"/>
        <v>04</v>
      </c>
      <c r="N984" s="2" t="s">
        <v>259</v>
      </c>
      <c r="O984" s="2" t="s">
        <v>4373</v>
      </c>
      <c r="P984" s="2" t="s">
        <v>4375</v>
      </c>
    </row>
    <row r="985" spans="1:16">
      <c r="A985" s="4">
        <v>46244.879131944443</v>
      </c>
      <c r="B985" s="2" t="s">
        <v>3137</v>
      </c>
      <c r="C985" s="2" t="s">
        <v>512</v>
      </c>
      <c r="D985" s="2" t="s">
        <v>292</v>
      </c>
      <c r="E985" s="2">
        <v>36</v>
      </c>
      <c r="F985" s="2"/>
      <c r="G985" s="2">
        <v>36</v>
      </c>
      <c r="H985" s="2" t="s">
        <v>349</v>
      </c>
      <c r="I985" s="2" t="s">
        <v>695</v>
      </c>
      <c r="J985" s="2" t="s">
        <v>2537</v>
      </c>
      <c r="K985" s="2" t="s">
        <v>1855</v>
      </c>
      <c r="L985" s="2" t="s">
        <v>2699</v>
      </c>
      <c r="M985" s="2" t="str">
        <f t="shared" si="18"/>
        <v>04</v>
      </c>
      <c r="N985" s="2" t="s">
        <v>366</v>
      </c>
      <c r="O985" s="2" t="s">
        <v>4373</v>
      </c>
      <c r="P985" s="2" t="s">
        <v>4375</v>
      </c>
    </row>
    <row r="986" spans="1:16">
      <c r="A986" s="4">
        <v>46244.878842592596</v>
      </c>
      <c r="B986" s="2" t="s">
        <v>630</v>
      </c>
      <c r="C986" s="2" t="s">
        <v>512</v>
      </c>
      <c r="D986" s="2" t="s">
        <v>292</v>
      </c>
      <c r="E986" s="2">
        <v>36</v>
      </c>
      <c r="F986" s="2"/>
      <c r="G986" s="2">
        <v>36</v>
      </c>
      <c r="H986" s="2" t="s">
        <v>349</v>
      </c>
      <c r="I986" s="2" t="s">
        <v>695</v>
      </c>
      <c r="J986" s="2" t="s">
        <v>2537</v>
      </c>
      <c r="K986" s="2" t="s">
        <v>1855</v>
      </c>
      <c r="L986" s="2" t="s">
        <v>2699</v>
      </c>
      <c r="M986" s="2" t="str">
        <f t="shared" si="18"/>
        <v>04</v>
      </c>
      <c r="N986" s="2" t="s">
        <v>1396</v>
      </c>
      <c r="O986" s="2" t="s">
        <v>4373</v>
      </c>
      <c r="P986" s="2" t="s">
        <v>4375</v>
      </c>
    </row>
    <row r="987" spans="1:16">
      <c r="A987" s="4">
        <v>46244.878796296296</v>
      </c>
      <c r="B987" s="2" t="s">
        <v>1593</v>
      </c>
      <c r="C987" s="2" t="s">
        <v>512</v>
      </c>
      <c r="D987" s="2" t="s">
        <v>292</v>
      </c>
      <c r="E987" s="2">
        <v>36</v>
      </c>
      <c r="F987" s="2"/>
      <c r="G987" s="2">
        <v>36</v>
      </c>
      <c r="H987" s="2" t="s">
        <v>349</v>
      </c>
      <c r="I987" s="2" t="s">
        <v>695</v>
      </c>
      <c r="J987" s="2" t="s">
        <v>2537</v>
      </c>
      <c r="K987" s="2" t="s">
        <v>1855</v>
      </c>
      <c r="L987" s="2" t="s">
        <v>2699</v>
      </c>
      <c r="M987" s="2" t="str">
        <f t="shared" si="18"/>
        <v>04</v>
      </c>
      <c r="N987" s="2" t="s">
        <v>983</v>
      </c>
      <c r="O987" s="2" t="s">
        <v>4373</v>
      </c>
      <c r="P987" s="2" t="s">
        <v>4375</v>
      </c>
    </row>
    <row r="988" spans="1:16">
      <c r="A988" s="4">
        <v>46244.878692129627</v>
      </c>
      <c r="B988" s="2" t="s">
        <v>3139</v>
      </c>
      <c r="C988" s="2" t="s">
        <v>512</v>
      </c>
      <c r="D988" s="2" t="s">
        <v>292</v>
      </c>
      <c r="E988" s="2">
        <v>36</v>
      </c>
      <c r="F988" s="2"/>
      <c r="G988" s="2">
        <v>36</v>
      </c>
      <c r="H988" s="2" t="s">
        <v>349</v>
      </c>
      <c r="I988" s="2" t="s">
        <v>695</v>
      </c>
      <c r="J988" s="2" t="s">
        <v>2537</v>
      </c>
      <c r="K988" s="2" t="s">
        <v>1855</v>
      </c>
      <c r="L988" s="2" t="s">
        <v>2699</v>
      </c>
      <c r="M988" s="2" t="str">
        <f t="shared" si="18"/>
        <v>04</v>
      </c>
      <c r="N988" s="2" t="s">
        <v>4229</v>
      </c>
      <c r="O988" s="2" t="s">
        <v>4373</v>
      </c>
      <c r="P988" s="2" t="s">
        <v>4375</v>
      </c>
    </row>
    <row r="989" spans="1:16">
      <c r="A989" s="4">
        <v>46244.878368055557</v>
      </c>
      <c r="B989" s="2" t="s">
        <v>2722</v>
      </c>
      <c r="C989" s="2" t="s">
        <v>512</v>
      </c>
      <c r="D989" s="2" t="s">
        <v>292</v>
      </c>
      <c r="E989" s="2">
        <v>36</v>
      </c>
      <c r="F989" s="2"/>
      <c r="G989" s="2">
        <v>36</v>
      </c>
      <c r="H989" s="2" t="s">
        <v>349</v>
      </c>
      <c r="I989" s="2" t="s">
        <v>695</v>
      </c>
      <c r="J989" s="2" t="s">
        <v>2537</v>
      </c>
      <c r="K989" s="2" t="s">
        <v>1855</v>
      </c>
      <c r="L989" s="2" t="s">
        <v>2699</v>
      </c>
      <c r="M989" s="2" t="str">
        <f t="shared" si="18"/>
        <v>04</v>
      </c>
      <c r="N989" s="2" t="s">
        <v>2415</v>
      </c>
      <c r="O989" s="2" t="s">
        <v>4373</v>
      </c>
      <c r="P989" s="2" t="s">
        <v>4375</v>
      </c>
    </row>
    <row r="990" spans="1:16">
      <c r="A990" s="4">
        <v>46244.877638888887</v>
      </c>
      <c r="B990" s="2" t="s">
        <v>2781</v>
      </c>
      <c r="C990" s="2" t="s">
        <v>512</v>
      </c>
      <c r="D990" s="2" t="s">
        <v>292</v>
      </c>
      <c r="E990" s="2">
        <v>36</v>
      </c>
      <c r="F990" s="2"/>
      <c r="G990" s="2">
        <v>36</v>
      </c>
      <c r="H990" s="2" t="s">
        <v>349</v>
      </c>
      <c r="I990" s="2" t="s">
        <v>695</v>
      </c>
      <c r="J990" s="2" t="s">
        <v>2537</v>
      </c>
      <c r="K990" s="2" t="s">
        <v>1855</v>
      </c>
      <c r="L990" s="2" t="s">
        <v>2699</v>
      </c>
      <c r="M990" s="2" t="str">
        <f t="shared" si="18"/>
        <v>04</v>
      </c>
      <c r="N990" s="2" t="s">
        <v>2114</v>
      </c>
      <c r="O990" s="2" t="s">
        <v>4373</v>
      </c>
      <c r="P990" s="2" t="s">
        <v>4375</v>
      </c>
    </row>
    <row r="991" spans="1:16">
      <c r="A991" s="4">
        <v>46244.877546296295</v>
      </c>
      <c r="B991" s="2" t="s">
        <v>3268</v>
      </c>
      <c r="C991" s="2" t="s">
        <v>512</v>
      </c>
      <c r="D991" s="2" t="s">
        <v>292</v>
      </c>
      <c r="E991" s="2">
        <v>36</v>
      </c>
      <c r="F991" s="2"/>
      <c r="G991" s="2">
        <v>36</v>
      </c>
      <c r="H991" s="2" t="s">
        <v>349</v>
      </c>
      <c r="I991" s="2" t="s">
        <v>695</v>
      </c>
      <c r="J991" s="2" t="s">
        <v>2537</v>
      </c>
      <c r="K991" s="2" t="s">
        <v>1855</v>
      </c>
      <c r="L991" s="2" t="s">
        <v>2699</v>
      </c>
      <c r="M991" s="2" t="str">
        <f t="shared" si="18"/>
        <v>04</v>
      </c>
      <c r="N991" s="2" t="s">
        <v>3416</v>
      </c>
      <c r="O991" s="2" t="s">
        <v>4373</v>
      </c>
      <c r="P991" s="2" t="s">
        <v>4375</v>
      </c>
    </row>
    <row r="992" spans="1:16">
      <c r="A992" s="4">
        <v>46244.877500000002</v>
      </c>
      <c r="B992" s="2" t="s">
        <v>2093</v>
      </c>
      <c r="C992" s="2" t="s">
        <v>512</v>
      </c>
      <c r="D992" s="2" t="s">
        <v>292</v>
      </c>
      <c r="E992" s="2">
        <v>36</v>
      </c>
      <c r="F992" s="2"/>
      <c r="G992" s="2">
        <v>36</v>
      </c>
      <c r="H992" s="2" t="s">
        <v>349</v>
      </c>
      <c r="I992" s="2" t="s">
        <v>695</v>
      </c>
      <c r="J992" s="2" t="s">
        <v>2537</v>
      </c>
      <c r="K992" s="2" t="s">
        <v>1855</v>
      </c>
      <c r="L992" s="2" t="s">
        <v>2699</v>
      </c>
      <c r="M992" s="2" t="str">
        <f t="shared" si="18"/>
        <v>04</v>
      </c>
      <c r="N992" s="2" t="s">
        <v>3490</v>
      </c>
      <c r="O992" s="2" t="s">
        <v>4373</v>
      </c>
      <c r="P992" s="2" t="s">
        <v>4375</v>
      </c>
    </row>
    <row r="993" spans="1:16">
      <c r="A993" s="4">
        <v>46244.876712962963</v>
      </c>
      <c r="B993" s="2" t="s">
        <v>858</v>
      </c>
      <c r="C993" s="2" t="s">
        <v>512</v>
      </c>
      <c r="D993" s="2" t="s">
        <v>292</v>
      </c>
      <c r="E993" s="2">
        <v>36</v>
      </c>
      <c r="F993" s="2"/>
      <c r="G993" s="2">
        <v>36</v>
      </c>
      <c r="H993" s="2" t="s">
        <v>349</v>
      </c>
      <c r="I993" s="2" t="s">
        <v>695</v>
      </c>
      <c r="J993" s="2" t="s">
        <v>2537</v>
      </c>
      <c r="K993" s="2" t="s">
        <v>1855</v>
      </c>
      <c r="L993" s="2" t="s">
        <v>2699</v>
      </c>
      <c r="M993" s="2" t="str">
        <f t="shared" si="18"/>
        <v>04</v>
      </c>
      <c r="N993" s="2" t="s">
        <v>2601</v>
      </c>
      <c r="O993" s="2" t="s">
        <v>4373</v>
      </c>
      <c r="P993" s="2" t="s">
        <v>4375</v>
      </c>
    </row>
    <row r="994" spans="1:16">
      <c r="A994" s="4">
        <v>46244.876701388886</v>
      </c>
      <c r="B994" s="2" t="s">
        <v>733</v>
      </c>
      <c r="C994" s="2" t="s">
        <v>512</v>
      </c>
      <c r="D994" s="2" t="s">
        <v>292</v>
      </c>
      <c r="E994" s="2">
        <v>36</v>
      </c>
      <c r="F994" s="2"/>
      <c r="G994" s="2">
        <v>36</v>
      </c>
      <c r="H994" s="2" t="s">
        <v>349</v>
      </c>
      <c r="I994" s="2" t="s">
        <v>695</v>
      </c>
      <c r="J994" s="2" t="s">
        <v>2537</v>
      </c>
      <c r="K994" s="2" t="s">
        <v>1855</v>
      </c>
      <c r="L994" s="2" t="s">
        <v>2699</v>
      </c>
      <c r="M994" s="2" t="str">
        <f t="shared" si="18"/>
        <v>04</v>
      </c>
      <c r="N994" s="2" t="s">
        <v>2802</v>
      </c>
      <c r="O994" s="2" t="s">
        <v>4373</v>
      </c>
      <c r="P994" s="2" t="s">
        <v>4375</v>
      </c>
    </row>
    <row r="995" spans="1:16">
      <c r="A995" s="4">
        <v>46244.876631944448</v>
      </c>
      <c r="B995" s="2" t="s">
        <v>1163</v>
      </c>
      <c r="C995" s="2" t="s">
        <v>512</v>
      </c>
      <c r="D995" s="2" t="s">
        <v>292</v>
      </c>
      <c r="E995" s="2">
        <v>36</v>
      </c>
      <c r="F995" s="2"/>
      <c r="G995" s="2">
        <v>36</v>
      </c>
      <c r="H995" s="2" t="s">
        <v>349</v>
      </c>
      <c r="I995" s="2" t="s">
        <v>695</v>
      </c>
      <c r="J995" s="2" t="s">
        <v>2537</v>
      </c>
      <c r="K995" s="2" t="s">
        <v>1855</v>
      </c>
      <c r="L995" s="2" t="s">
        <v>2699</v>
      </c>
      <c r="M995" s="2" t="str">
        <f t="shared" si="18"/>
        <v>04</v>
      </c>
      <c r="N995" s="2" t="s">
        <v>3950</v>
      </c>
      <c r="O995" s="2" t="s">
        <v>4373</v>
      </c>
      <c r="P995" s="2" t="s">
        <v>4375</v>
      </c>
    </row>
    <row r="996" spans="1:16">
      <c r="A996" s="4">
        <v>46244.87537037037</v>
      </c>
      <c r="B996" s="2" t="s">
        <v>1171</v>
      </c>
      <c r="C996" s="2" t="s">
        <v>512</v>
      </c>
      <c r="D996" s="2" t="s">
        <v>292</v>
      </c>
      <c r="E996" s="2">
        <v>36</v>
      </c>
      <c r="F996" s="2"/>
      <c r="G996" s="2">
        <v>36</v>
      </c>
      <c r="H996" s="2" t="s">
        <v>349</v>
      </c>
      <c r="I996" s="2" t="s">
        <v>695</v>
      </c>
      <c r="J996" s="2" t="s">
        <v>2537</v>
      </c>
      <c r="K996" s="2" t="s">
        <v>1855</v>
      </c>
      <c r="L996" s="2" t="s">
        <v>2699</v>
      </c>
      <c r="M996" s="2" t="str">
        <f t="shared" si="18"/>
        <v>04</v>
      </c>
      <c r="N996" s="2" t="s">
        <v>4201</v>
      </c>
      <c r="O996" s="2" t="s">
        <v>4373</v>
      </c>
      <c r="P996" s="2" t="s">
        <v>4375</v>
      </c>
    </row>
    <row r="997" spans="1:16">
      <c r="A997" s="4">
        <v>46244.8753125</v>
      </c>
      <c r="B997" s="2" t="s">
        <v>720</v>
      </c>
      <c r="C997" s="2" t="s">
        <v>512</v>
      </c>
      <c r="D997" s="2" t="s">
        <v>292</v>
      </c>
      <c r="E997" s="2">
        <v>36</v>
      </c>
      <c r="F997" s="2"/>
      <c r="G997" s="2">
        <v>36</v>
      </c>
      <c r="H997" s="2" t="s">
        <v>349</v>
      </c>
      <c r="I997" s="2" t="s">
        <v>695</v>
      </c>
      <c r="J997" s="2" t="s">
        <v>2537</v>
      </c>
      <c r="K997" s="2" t="s">
        <v>1855</v>
      </c>
      <c r="L997" s="2" t="s">
        <v>2699</v>
      </c>
      <c r="M997" s="2" t="str">
        <f t="shared" si="18"/>
        <v>04</v>
      </c>
      <c r="N997" s="2" t="s">
        <v>342</v>
      </c>
      <c r="O997" s="2" t="s">
        <v>4373</v>
      </c>
      <c r="P997" s="2" t="s">
        <v>4375</v>
      </c>
    </row>
    <row r="998" spans="1:16">
      <c r="A998" s="4">
        <v>46244.875208333331</v>
      </c>
      <c r="B998" s="2" t="s">
        <v>118</v>
      </c>
      <c r="C998" s="2" t="s">
        <v>512</v>
      </c>
      <c r="D998" s="2" t="s">
        <v>292</v>
      </c>
      <c r="E998" s="2">
        <v>36</v>
      </c>
      <c r="F998" s="2"/>
      <c r="G998" s="2">
        <v>36</v>
      </c>
      <c r="H998" s="2" t="s">
        <v>349</v>
      </c>
      <c r="I998" s="2" t="s">
        <v>695</v>
      </c>
      <c r="J998" s="2" t="s">
        <v>2537</v>
      </c>
      <c r="K998" s="2" t="s">
        <v>1855</v>
      </c>
      <c r="L998" s="2" t="s">
        <v>2699</v>
      </c>
      <c r="M998" s="2" t="str">
        <f t="shared" si="18"/>
        <v>04</v>
      </c>
      <c r="N998" s="2" t="s">
        <v>413</v>
      </c>
      <c r="O998" s="2" t="s">
        <v>4373</v>
      </c>
      <c r="P998" s="2" t="s">
        <v>4375</v>
      </c>
    </row>
    <row r="999" spans="1:16">
      <c r="A999" s="4">
        <v>46244.874571759261</v>
      </c>
      <c r="B999" s="2" t="s">
        <v>4334</v>
      </c>
      <c r="C999" s="2" t="s">
        <v>512</v>
      </c>
      <c r="D999" s="2" t="s">
        <v>292</v>
      </c>
      <c r="E999" s="2">
        <v>36</v>
      </c>
      <c r="F999" s="2"/>
      <c r="G999" s="2">
        <v>36</v>
      </c>
      <c r="H999" s="2" t="s">
        <v>349</v>
      </c>
      <c r="I999" s="2" t="s">
        <v>695</v>
      </c>
      <c r="J999" s="2" t="s">
        <v>2537</v>
      </c>
      <c r="K999" s="2" t="s">
        <v>1855</v>
      </c>
      <c r="L999" s="2" t="s">
        <v>2699</v>
      </c>
      <c r="M999" s="2" t="str">
        <f t="shared" si="18"/>
        <v>04</v>
      </c>
      <c r="N999" s="2" t="s">
        <v>429</v>
      </c>
      <c r="O999" s="2" t="s">
        <v>4373</v>
      </c>
      <c r="P999" s="2" t="s">
        <v>4375</v>
      </c>
    </row>
    <row r="1000" spans="1:16">
      <c r="A1000" s="4">
        <v>46244.874479166669</v>
      </c>
      <c r="B1000" s="2" t="s">
        <v>3840</v>
      </c>
      <c r="C1000" s="2" t="s">
        <v>512</v>
      </c>
      <c r="D1000" s="2" t="s">
        <v>292</v>
      </c>
      <c r="E1000" s="2">
        <v>36</v>
      </c>
      <c r="F1000" s="2"/>
      <c r="G1000" s="2">
        <v>36</v>
      </c>
      <c r="H1000" s="2" t="s">
        <v>349</v>
      </c>
      <c r="I1000" s="2" t="s">
        <v>695</v>
      </c>
      <c r="J1000" s="2" t="s">
        <v>2537</v>
      </c>
      <c r="K1000" s="2" t="s">
        <v>1855</v>
      </c>
      <c r="L1000" s="2" t="s">
        <v>2699</v>
      </c>
      <c r="M1000" s="2" t="str">
        <f t="shared" si="18"/>
        <v>04</v>
      </c>
      <c r="N1000" s="2" t="s">
        <v>531</v>
      </c>
      <c r="O1000" s="2" t="s">
        <v>4373</v>
      </c>
      <c r="P1000" s="2" t="s">
        <v>4375</v>
      </c>
    </row>
    <row r="1001" spans="1:16">
      <c r="A1001" s="4">
        <v>46244.874456018515</v>
      </c>
      <c r="B1001" s="2" t="s">
        <v>4242</v>
      </c>
      <c r="C1001" s="2" t="s">
        <v>512</v>
      </c>
      <c r="D1001" s="2" t="s">
        <v>292</v>
      </c>
      <c r="E1001" s="2">
        <v>36</v>
      </c>
      <c r="F1001" s="2"/>
      <c r="G1001" s="2">
        <v>36</v>
      </c>
      <c r="H1001" s="2" t="s">
        <v>349</v>
      </c>
      <c r="I1001" s="2" t="s">
        <v>695</v>
      </c>
      <c r="J1001" s="2" t="s">
        <v>2537</v>
      </c>
      <c r="K1001" s="2" t="s">
        <v>1855</v>
      </c>
      <c r="L1001" s="2" t="s">
        <v>2699</v>
      </c>
      <c r="M1001" s="2" t="str">
        <f t="shared" si="18"/>
        <v>04</v>
      </c>
      <c r="N1001" s="2" t="s">
        <v>530</v>
      </c>
      <c r="O1001" s="2" t="s">
        <v>4373</v>
      </c>
      <c r="P1001" s="2" t="s">
        <v>4375</v>
      </c>
    </row>
    <row r="1002" spans="1:16">
      <c r="A1002" s="4">
        <v>46244.873819444445</v>
      </c>
      <c r="B1002" s="2" t="s">
        <v>1751</v>
      </c>
      <c r="C1002" s="2" t="s">
        <v>512</v>
      </c>
      <c r="D1002" s="2" t="s">
        <v>292</v>
      </c>
      <c r="E1002" s="2">
        <v>36</v>
      </c>
      <c r="F1002" s="2"/>
      <c r="G1002" s="2">
        <v>36</v>
      </c>
      <c r="H1002" s="2" t="s">
        <v>349</v>
      </c>
      <c r="I1002" s="2" t="s">
        <v>695</v>
      </c>
      <c r="J1002" s="2" t="s">
        <v>2537</v>
      </c>
      <c r="K1002" s="2" t="s">
        <v>1855</v>
      </c>
      <c r="L1002" s="2" t="s">
        <v>2699</v>
      </c>
      <c r="M1002" s="2" t="str">
        <f t="shared" si="18"/>
        <v>04</v>
      </c>
      <c r="N1002" s="2" t="s">
        <v>1406</v>
      </c>
      <c r="O1002" s="2" t="s">
        <v>4373</v>
      </c>
      <c r="P1002" s="2" t="s">
        <v>4375</v>
      </c>
    </row>
    <row r="1003" spans="1:16">
      <c r="A1003" s="4">
        <v>46244.873715277776</v>
      </c>
      <c r="B1003" s="2" t="s">
        <v>532</v>
      </c>
      <c r="C1003" s="2" t="s">
        <v>512</v>
      </c>
      <c r="D1003" s="2" t="s">
        <v>292</v>
      </c>
      <c r="E1003" s="2">
        <v>36</v>
      </c>
      <c r="F1003" s="2"/>
      <c r="G1003" s="2">
        <v>36</v>
      </c>
      <c r="H1003" s="2" t="s">
        <v>349</v>
      </c>
      <c r="I1003" s="2" t="s">
        <v>695</v>
      </c>
      <c r="J1003" s="2" t="s">
        <v>2537</v>
      </c>
      <c r="K1003" s="2" t="s">
        <v>1855</v>
      </c>
      <c r="L1003" s="2" t="s">
        <v>2699</v>
      </c>
      <c r="M1003" s="2" t="str">
        <f t="shared" si="18"/>
        <v>04</v>
      </c>
      <c r="N1003" s="2" t="s">
        <v>2893</v>
      </c>
      <c r="O1003" s="2" t="s">
        <v>4373</v>
      </c>
      <c r="P1003" s="2" t="s">
        <v>4375</v>
      </c>
    </row>
    <row r="1004" spans="1:16">
      <c r="A1004" s="4">
        <v>46244.873576388891</v>
      </c>
      <c r="B1004" s="2" t="s">
        <v>1653</v>
      </c>
      <c r="C1004" s="2" t="s">
        <v>512</v>
      </c>
      <c r="D1004" s="2" t="s">
        <v>292</v>
      </c>
      <c r="E1004" s="2">
        <v>36</v>
      </c>
      <c r="F1004" s="2"/>
      <c r="G1004" s="2">
        <v>36</v>
      </c>
      <c r="H1004" s="2" t="s">
        <v>349</v>
      </c>
      <c r="I1004" s="2" t="s">
        <v>695</v>
      </c>
      <c r="J1004" s="2" t="s">
        <v>2537</v>
      </c>
      <c r="K1004" s="2" t="s">
        <v>1855</v>
      </c>
      <c r="L1004" s="2" t="s">
        <v>2699</v>
      </c>
      <c r="M1004" s="2" t="str">
        <f t="shared" si="18"/>
        <v>04</v>
      </c>
      <c r="N1004" s="2" t="s">
        <v>581</v>
      </c>
      <c r="O1004" s="2" t="s">
        <v>4373</v>
      </c>
      <c r="P1004" s="2" t="s">
        <v>4375</v>
      </c>
    </row>
    <row r="1005" spans="1:16">
      <c r="A1005" s="4">
        <v>46244.872858796298</v>
      </c>
      <c r="B1005" s="2" t="s">
        <v>2877</v>
      </c>
      <c r="C1005" s="2" t="s">
        <v>512</v>
      </c>
      <c r="D1005" s="2" t="s">
        <v>292</v>
      </c>
      <c r="E1005" s="2">
        <v>36</v>
      </c>
      <c r="F1005" s="2"/>
      <c r="G1005" s="2">
        <v>36</v>
      </c>
      <c r="H1005" s="2" t="s">
        <v>349</v>
      </c>
      <c r="I1005" s="2" t="s">
        <v>695</v>
      </c>
      <c r="J1005" s="2" t="s">
        <v>2537</v>
      </c>
      <c r="K1005" s="2" t="s">
        <v>1855</v>
      </c>
      <c r="L1005" s="2" t="s">
        <v>2699</v>
      </c>
      <c r="M1005" s="2" t="str">
        <f t="shared" si="18"/>
        <v>04</v>
      </c>
      <c r="N1005" s="2" t="s">
        <v>1812</v>
      </c>
      <c r="O1005" s="2" t="s">
        <v>4373</v>
      </c>
      <c r="P1005" s="2" t="s">
        <v>4375</v>
      </c>
    </row>
    <row r="1006" spans="1:16">
      <c r="A1006" s="4">
        <v>46244.872696759259</v>
      </c>
      <c r="B1006" s="2" t="s">
        <v>3030</v>
      </c>
      <c r="C1006" s="2" t="s">
        <v>512</v>
      </c>
      <c r="D1006" s="2" t="s">
        <v>292</v>
      </c>
      <c r="E1006" s="2">
        <v>36</v>
      </c>
      <c r="F1006" s="2"/>
      <c r="G1006" s="2">
        <v>36</v>
      </c>
      <c r="H1006" s="2" t="s">
        <v>349</v>
      </c>
      <c r="I1006" s="2" t="s">
        <v>695</v>
      </c>
      <c r="J1006" s="2" t="s">
        <v>2537</v>
      </c>
      <c r="K1006" s="2" t="s">
        <v>1855</v>
      </c>
      <c r="L1006" s="2" t="s">
        <v>2699</v>
      </c>
      <c r="M1006" s="2" t="str">
        <f t="shared" si="18"/>
        <v>04</v>
      </c>
      <c r="N1006" s="2" t="s">
        <v>1002</v>
      </c>
      <c r="O1006" s="2" t="s">
        <v>4373</v>
      </c>
      <c r="P1006" s="2" t="s">
        <v>4375</v>
      </c>
    </row>
    <row r="1007" spans="1:16">
      <c r="A1007" s="4">
        <v>46244.872488425928</v>
      </c>
      <c r="B1007" s="2" t="s">
        <v>276</v>
      </c>
      <c r="C1007" s="2" t="s">
        <v>512</v>
      </c>
      <c r="D1007" s="2" t="s">
        <v>292</v>
      </c>
      <c r="E1007" s="2">
        <v>36</v>
      </c>
      <c r="F1007" s="2"/>
      <c r="G1007" s="2">
        <v>36</v>
      </c>
      <c r="H1007" s="2" t="s">
        <v>349</v>
      </c>
      <c r="I1007" s="2" t="s">
        <v>695</v>
      </c>
      <c r="J1007" s="2" t="s">
        <v>2537</v>
      </c>
      <c r="K1007" s="2" t="s">
        <v>1855</v>
      </c>
      <c r="L1007" s="2" t="s">
        <v>2699</v>
      </c>
      <c r="M1007" s="2" t="str">
        <f t="shared" si="18"/>
        <v>04</v>
      </c>
      <c r="N1007" s="2" t="s">
        <v>4137</v>
      </c>
      <c r="O1007" s="2" t="s">
        <v>4373</v>
      </c>
      <c r="P1007" s="2" t="s">
        <v>4375</v>
      </c>
    </row>
    <row r="1008" spans="1:16">
      <c r="A1008" s="4">
        <v>46244.872372685182</v>
      </c>
      <c r="B1008" s="2" t="s">
        <v>3739</v>
      </c>
      <c r="C1008" s="2" t="s">
        <v>512</v>
      </c>
      <c r="D1008" s="2" t="s">
        <v>292</v>
      </c>
      <c r="E1008" s="2">
        <v>36</v>
      </c>
      <c r="F1008" s="2"/>
      <c r="G1008" s="2">
        <v>36</v>
      </c>
      <c r="H1008" s="2" t="s">
        <v>349</v>
      </c>
      <c r="I1008" s="2" t="s">
        <v>695</v>
      </c>
      <c r="J1008" s="2" t="s">
        <v>2537</v>
      </c>
      <c r="K1008" s="2" t="s">
        <v>1855</v>
      </c>
      <c r="L1008" s="2" t="s">
        <v>2699</v>
      </c>
      <c r="M1008" s="2" t="str">
        <f t="shared" si="18"/>
        <v>04</v>
      </c>
      <c r="N1008" s="2" t="s">
        <v>1057</v>
      </c>
      <c r="O1008" s="2" t="s">
        <v>4373</v>
      </c>
      <c r="P1008" s="2" t="s">
        <v>4375</v>
      </c>
    </row>
    <row r="1009" spans="1:16">
      <c r="A1009" s="4">
        <v>46244.871828703705</v>
      </c>
      <c r="B1009" s="2" t="s">
        <v>1124</v>
      </c>
      <c r="C1009" s="2" t="s">
        <v>512</v>
      </c>
      <c r="D1009" s="2" t="s">
        <v>292</v>
      </c>
      <c r="E1009" s="2">
        <v>36</v>
      </c>
      <c r="F1009" s="2"/>
      <c r="G1009" s="2">
        <v>36</v>
      </c>
      <c r="H1009" s="2" t="s">
        <v>349</v>
      </c>
      <c r="I1009" s="2" t="s">
        <v>695</v>
      </c>
      <c r="J1009" s="2" t="s">
        <v>2537</v>
      </c>
      <c r="K1009" s="2" t="s">
        <v>1855</v>
      </c>
      <c r="L1009" s="2" t="s">
        <v>2699</v>
      </c>
      <c r="M1009" s="2" t="str">
        <f t="shared" si="18"/>
        <v>04</v>
      </c>
      <c r="N1009" s="2" t="s">
        <v>564</v>
      </c>
      <c r="O1009" s="2" t="s">
        <v>4373</v>
      </c>
      <c r="P1009" s="2" t="s">
        <v>4375</v>
      </c>
    </row>
    <row r="1010" spans="1:16">
      <c r="A1010" s="4">
        <v>46244.871620370373</v>
      </c>
      <c r="B1010" s="2" t="s">
        <v>2830</v>
      </c>
      <c r="C1010" s="2" t="s">
        <v>512</v>
      </c>
      <c r="D1010" s="2" t="s">
        <v>292</v>
      </c>
      <c r="E1010" s="2">
        <v>36</v>
      </c>
      <c r="F1010" s="2"/>
      <c r="G1010" s="2">
        <v>36</v>
      </c>
      <c r="H1010" s="2" t="s">
        <v>349</v>
      </c>
      <c r="I1010" s="2" t="s">
        <v>695</v>
      </c>
      <c r="J1010" s="2" t="s">
        <v>2537</v>
      </c>
      <c r="K1010" s="2" t="s">
        <v>1855</v>
      </c>
      <c r="L1010" s="2" t="s">
        <v>2699</v>
      </c>
      <c r="M1010" s="2" t="str">
        <f t="shared" si="18"/>
        <v>04</v>
      </c>
      <c r="N1010" s="2" t="s">
        <v>4316</v>
      </c>
      <c r="O1010" s="2" t="s">
        <v>4373</v>
      </c>
      <c r="P1010" s="2" t="s">
        <v>4375</v>
      </c>
    </row>
    <row r="1011" spans="1:16">
      <c r="A1011" s="4">
        <v>46244.870856481481</v>
      </c>
      <c r="B1011" s="2" t="s">
        <v>996</v>
      </c>
      <c r="C1011" s="2" t="s">
        <v>512</v>
      </c>
      <c r="D1011" s="2" t="s">
        <v>292</v>
      </c>
      <c r="E1011" s="2">
        <v>36</v>
      </c>
      <c r="F1011" s="2"/>
      <c r="G1011" s="2">
        <v>36</v>
      </c>
      <c r="H1011" s="2" t="s">
        <v>349</v>
      </c>
      <c r="I1011" s="2" t="s">
        <v>695</v>
      </c>
      <c r="J1011" s="2" t="s">
        <v>2537</v>
      </c>
      <c r="K1011" s="2" t="s">
        <v>1855</v>
      </c>
      <c r="L1011" s="2" t="s">
        <v>2699</v>
      </c>
      <c r="M1011" s="2" t="str">
        <f t="shared" si="18"/>
        <v>04</v>
      </c>
      <c r="N1011" s="2" t="s">
        <v>4142</v>
      </c>
      <c r="O1011" s="2" t="s">
        <v>4373</v>
      </c>
      <c r="P1011" s="2" t="s">
        <v>4375</v>
      </c>
    </row>
    <row r="1012" spans="1:16">
      <c r="A1012" s="4">
        <v>46244.870462962965</v>
      </c>
      <c r="B1012" s="2" t="s">
        <v>3299</v>
      </c>
      <c r="C1012" s="2" t="s">
        <v>512</v>
      </c>
      <c r="D1012" s="2" t="s">
        <v>292</v>
      </c>
      <c r="E1012" s="2">
        <v>36</v>
      </c>
      <c r="F1012" s="2"/>
      <c r="G1012" s="2">
        <v>36</v>
      </c>
      <c r="H1012" s="2" t="s">
        <v>349</v>
      </c>
      <c r="I1012" s="2" t="s">
        <v>695</v>
      </c>
      <c r="J1012" s="2" t="s">
        <v>2537</v>
      </c>
      <c r="K1012" s="2" t="s">
        <v>1855</v>
      </c>
      <c r="L1012" s="2" t="s">
        <v>2699</v>
      </c>
      <c r="M1012" s="2" t="str">
        <f t="shared" si="18"/>
        <v>04</v>
      </c>
      <c r="N1012" s="2" t="s">
        <v>4091</v>
      </c>
      <c r="O1012" s="2" t="s">
        <v>4373</v>
      </c>
      <c r="P1012" s="2" t="s">
        <v>4375</v>
      </c>
    </row>
    <row r="1013" spans="1:16">
      <c r="A1013" s="4">
        <v>46244.870393518519</v>
      </c>
      <c r="B1013" s="2" t="s">
        <v>272</v>
      </c>
      <c r="C1013" s="2" t="s">
        <v>512</v>
      </c>
      <c r="D1013" s="2" t="s">
        <v>292</v>
      </c>
      <c r="E1013" s="2">
        <v>36</v>
      </c>
      <c r="F1013" s="2"/>
      <c r="G1013" s="2">
        <v>36</v>
      </c>
      <c r="H1013" s="2" t="s">
        <v>349</v>
      </c>
      <c r="I1013" s="2" t="s">
        <v>695</v>
      </c>
      <c r="J1013" s="2" t="s">
        <v>2537</v>
      </c>
      <c r="K1013" s="2" t="s">
        <v>1855</v>
      </c>
      <c r="L1013" s="2" t="s">
        <v>2699</v>
      </c>
      <c r="M1013" s="2" t="str">
        <f t="shared" si="18"/>
        <v>04</v>
      </c>
      <c r="N1013" s="2" t="s">
        <v>2043</v>
      </c>
      <c r="O1013" s="2" t="s">
        <v>4373</v>
      </c>
      <c r="P1013" s="2" t="s">
        <v>4375</v>
      </c>
    </row>
    <row r="1014" spans="1:16">
      <c r="A1014" s="4">
        <v>46244.869722222225</v>
      </c>
      <c r="B1014" s="2" t="s">
        <v>559</v>
      </c>
      <c r="C1014" s="2" t="s">
        <v>512</v>
      </c>
      <c r="D1014" s="2" t="s">
        <v>292</v>
      </c>
      <c r="E1014" s="2">
        <v>36</v>
      </c>
      <c r="F1014" s="2"/>
      <c r="G1014" s="2">
        <v>36</v>
      </c>
      <c r="H1014" s="2" t="s">
        <v>349</v>
      </c>
      <c r="I1014" s="2" t="s">
        <v>695</v>
      </c>
      <c r="J1014" s="2" t="s">
        <v>2537</v>
      </c>
      <c r="K1014" s="2" t="s">
        <v>1855</v>
      </c>
      <c r="L1014" s="2" t="s">
        <v>2699</v>
      </c>
      <c r="M1014" s="2" t="str">
        <f t="shared" si="18"/>
        <v>04</v>
      </c>
      <c r="N1014" s="2" t="s">
        <v>2544</v>
      </c>
      <c r="O1014" s="2" t="s">
        <v>4373</v>
      </c>
      <c r="P1014" s="2" t="s">
        <v>4375</v>
      </c>
    </row>
    <row r="1015" spans="1:16">
      <c r="A1015" s="4">
        <v>46244.869664351849</v>
      </c>
      <c r="B1015" s="2" t="s">
        <v>1639</v>
      </c>
      <c r="C1015" s="2" t="s">
        <v>512</v>
      </c>
      <c r="D1015" s="2" t="s">
        <v>292</v>
      </c>
      <c r="E1015" s="2">
        <v>36</v>
      </c>
      <c r="F1015" s="2"/>
      <c r="G1015" s="2">
        <v>36</v>
      </c>
      <c r="H1015" s="2" t="s">
        <v>349</v>
      </c>
      <c r="I1015" s="2" t="s">
        <v>695</v>
      </c>
      <c r="J1015" s="2" t="s">
        <v>2537</v>
      </c>
      <c r="K1015" s="2" t="s">
        <v>1855</v>
      </c>
      <c r="L1015" s="2" t="s">
        <v>2699</v>
      </c>
      <c r="M1015" s="2" t="str">
        <f t="shared" si="18"/>
        <v>04</v>
      </c>
      <c r="N1015" s="2" t="s">
        <v>2435</v>
      </c>
      <c r="O1015" s="2" t="s">
        <v>4373</v>
      </c>
      <c r="P1015" s="2" t="s">
        <v>4375</v>
      </c>
    </row>
    <row r="1016" spans="1:16">
      <c r="A1016" s="4">
        <v>46244.869340277779</v>
      </c>
      <c r="B1016" s="2" t="s">
        <v>2069</v>
      </c>
      <c r="C1016" s="2" t="s">
        <v>512</v>
      </c>
      <c r="D1016" s="2" t="s">
        <v>292</v>
      </c>
      <c r="E1016" s="2">
        <v>36</v>
      </c>
      <c r="F1016" s="2"/>
      <c r="G1016" s="2">
        <v>36</v>
      </c>
      <c r="H1016" s="2" t="s">
        <v>349</v>
      </c>
      <c r="I1016" s="2" t="s">
        <v>695</v>
      </c>
      <c r="J1016" s="2" t="s">
        <v>2537</v>
      </c>
      <c r="K1016" s="2" t="s">
        <v>1855</v>
      </c>
      <c r="L1016" s="2" t="s">
        <v>2699</v>
      </c>
      <c r="M1016" s="2" t="str">
        <f t="shared" si="18"/>
        <v>04</v>
      </c>
      <c r="N1016" s="2" t="s">
        <v>3942</v>
      </c>
      <c r="O1016" s="2" t="s">
        <v>4373</v>
      </c>
      <c r="P1016" s="2" t="s">
        <v>4375</v>
      </c>
    </row>
    <row r="1017" spans="1:16">
      <c r="A1017" s="4">
        <v>46244.868969907409</v>
      </c>
      <c r="B1017" s="2" t="s">
        <v>1095</v>
      </c>
      <c r="C1017" s="2" t="s">
        <v>512</v>
      </c>
      <c r="D1017" s="2" t="s">
        <v>292</v>
      </c>
      <c r="E1017" s="2">
        <v>36</v>
      </c>
      <c r="F1017" s="2"/>
      <c r="G1017" s="2">
        <v>36</v>
      </c>
      <c r="H1017" s="2" t="s">
        <v>349</v>
      </c>
      <c r="I1017" s="2" t="s">
        <v>695</v>
      </c>
      <c r="J1017" s="2" t="s">
        <v>2537</v>
      </c>
      <c r="K1017" s="2" t="s">
        <v>1855</v>
      </c>
      <c r="L1017" s="2" t="s">
        <v>2699</v>
      </c>
      <c r="M1017" s="2" t="str">
        <f t="shared" si="18"/>
        <v>04</v>
      </c>
      <c r="N1017" s="2" t="s">
        <v>939</v>
      </c>
      <c r="O1017" s="2" t="s">
        <v>4373</v>
      </c>
      <c r="P1017" s="2" t="s">
        <v>4375</v>
      </c>
    </row>
    <row r="1018" spans="1:16">
      <c r="A1018" s="4">
        <v>46244.86891203704</v>
      </c>
      <c r="B1018" s="2" t="s">
        <v>3326</v>
      </c>
      <c r="C1018" s="2" t="s">
        <v>512</v>
      </c>
      <c r="D1018" s="2" t="s">
        <v>292</v>
      </c>
      <c r="E1018" s="2">
        <v>36</v>
      </c>
      <c r="F1018" s="2"/>
      <c r="G1018" s="2">
        <v>36</v>
      </c>
      <c r="H1018" s="2" t="s">
        <v>349</v>
      </c>
      <c r="I1018" s="2" t="s">
        <v>695</v>
      </c>
      <c r="J1018" s="2" t="s">
        <v>2537</v>
      </c>
      <c r="K1018" s="2" t="s">
        <v>1855</v>
      </c>
      <c r="L1018" s="2" t="s">
        <v>2699</v>
      </c>
      <c r="M1018" s="2" t="str">
        <f t="shared" si="18"/>
        <v>04</v>
      </c>
      <c r="N1018" s="2" t="s">
        <v>629</v>
      </c>
      <c r="O1018" s="2" t="s">
        <v>4373</v>
      </c>
      <c r="P1018" s="2" t="s">
        <v>4375</v>
      </c>
    </row>
    <row r="1019" spans="1:16">
      <c r="A1019" s="4">
        <v>46244.868703703702</v>
      </c>
      <c r="B1019" s="2" t="s">
        <v>1540</v>
      </c>
      <c r="C1019" s="2" t="s">
        <v>512</v>
      </c>
      <c r="D1019" s="2" t="s">
        <v>292</v>
      </c>
      <c r="E1019" s="2">
        <v>36</v>
      </c>
      <c r="F1019" s="2"/>
      <c r="G1019" s="2">
        <v>36</v>
      </c>
      <c r="H1019" s="2" t="s">
        <v>349</v>
      </c>
      <c r="I1019" s="2" t="s">
        <v>695</v>
      </c>
      <c r="J1019" s="2" t="s">
        <v>2537</v>
      </c>
      <c r="K1019" s="2" t="s">
        <v>1855</v>
      </c>
      <c r="L1019" s="2" t="s">
        <v>2699</v>
      </c>
      <c r="M1019" s="2" t="str">
        <f t="shared" si="18"/>
        <v>04</v>
      </c>
      <c r="N1019" s="2" t="s">
        <v>1439</v>
      </c>
      <c r="O1019" s="2" t="s">
        <v>4373</v>
      </c>
      <c r="P1019" s="2" t="s">
        <v>4375</v>
      </c>
    </row>
    <row r="1020" spans="1:16">
      <c r="A1020" s="4">
        <v>46244.665601851855</v>
      </c>
      <c r="B1020" s="2" t="s">
        <v>3404</v>
      </c>
      <c r="C1020" s="2" t="s">
        <v>512</v>
      </c>
      <c r="D1020" s="2" t="s">
        <v>292</v>
      </c>
      <c r="E1020" s="2">
        <v>36</v>
      </c>
      <c r="F1020" s="2"/>
      <c r="G1020" s="2">
        <v>36</v>
      </c>
      <c r="H1020" s="2" t="s">
        <v>349</v>
      </c>
      <c r="I1020" s="2" t="s">
        <v>695</v>
      </c>
      <c r="J1020" s="2" t="s">
        <v>2537</v>
      </c>
      <c r="K1020" s="2" t="s">
        <v>1855</v>
      </c>
      <c r="L1020" s="2" t="s">
        <v>4344</v>
      </c>
      <c r="M1020" s="2" t="str">
        <f t="shared" si="18"/>
        <v>06</v>
      </c>
      <c r="N1020" s="2" t="s">
        <v>323</v>
      </c>
      <c r="O1020" s="2" t="s">
        <v>4373</v>
      </c>
      <c r="P1020" s="2" t="s">
        <v>4375</v>
      </c>
    </row>
    <row r="1021" spans="1:16">
      <c r="A1021" s="4">
        <v>46244.665590277778</v>
      </c>
      <c r="B1021" s="2" t="s">
        <v>2809</v>
      </c>
      <c r="C1021" s="2" t="s">
        <v>512</v>
      </c>
      <c r="D1021" s="2" t="s">
        <v>292</v>
      </c>
      <c r="E1021" s="2">
        <v>36</v>
      </c>
      <c r="F1021" s="2"/>
      <c r="G1021" s="2">
        <v>36</v>
      </c>
      <c r="H1021" s="2" t="s">
        <v>349</v>
      </c>
      <c r="I1021" s="2" t="s">
        <v>695</v>
      </c>
      <c r="J1021" s="2" t="s">
        <v>2537</v>
      </c>
      <c r="K1021" s="2" t="s">
        <v>1855</v>
      </c>
      <c r="L1021" s="2" t="s">
        <v>4344</v>
      </c>
      <c r="M1021" s="2" t="str">
        <f t="shared" si="18"/>
        <v>06</v>
      </c>
      <c r="N1021" s="2" t="s">
        <v>2176</v>
      </c>
      <c r="O1021" s="2" t="s">
        <v>4373</v>
      </c>
      <c r="P1021" s="2" t="s">
        <v>4375</v>
      </c>
    </row>
    <row r="1022" spans="1:16">
      <c r="A1022" s="4">
        <v>46244.664872685185</v>
      </c>
      <c r="B1022" s="2" t="s">
        <v>527</v>
      </c>
      <c r="C1022" s="2" t="s">
        <v>512</v>
      </c>
      <c r="D1022" s="2" t="s">
        <v>292</v>
      </c>
      <c r="E1022" s="2">
        <v>36</v>
      </c>
      <c r="F1022" s="2"/>
      <c r="G1022" s="2">
        <v>36</v>
      </c>
      <c r="H1022" s="2" t="s">
        <v>349</v>
      </c>
      <c r="I1022" s="2" t="s">
        <v>695</v>
      </c>
      <c r="J1022" s="2" t="s">
        <v>2537</v>
      </c>
      <c r="K1022" s="2" t="s">
        <v>1855</v>
      </c>
      <c r="L1022" s="2" t="s">
        <v>4344</v>
      </c>
      <c r="M1022" s="2" t="str">
        <f t="shared" si="18"/>
        <v>06</v>
      </c>
      <c r="N1022" s="2" t="s">
        <v>3690</v>
      </c>
      <c r="O1022" s="2" t="s">
        <v>4373</v>
      </c>
      <c r="P1022" s="2" t="s">
        <v>4375</v>
      </c>
    </row>
    <row r="1023" spans="1:16">
      <c r="A1023" s="4">
        <v>46244.664814814816</v>
      </c>
      <c r="B1023" s="2" t="s">
        <v>3366</v>
      </c>
      <c r="C1023" s="2" t="s">
        <v>512</v>
      </c>
      <c r="D1023" s="2" t="s">
        <v>292</v>
      </c>
      <c r="E1023" s="2">
        <v>36</v>
      </c>
      <c r="F1023" s="2"/>
      <c r="G1023" s="2">
        <v>36</v>
      </c>
      <c r="H1023" s="2" t="s">
        <v>349</v>
      </c>
      <c r="I1023" s="2" t="s">
        <v>695</v>
      </c>
      <c r="J1023" s="2" t="s">
        <v>2537</v>
      </c>
      <c r="K1023" s="2" t="s">
        <v>1855</v>
      </c>
      <c r="L1023" s="2" t="s">
        <v>4344</v>
      </c>
      <c r="M1023" s="2" t="str">
        <f t="shared" si="18"/>
        <v>06</v>
      </c>
      <c r="N1023" s="2" t="s">
        <v>73</v>
      </c>
      <c r="O1023" s="2" t="s">
        <v>4373</v>
      </c>
      <c r="P1023" s="2" t="s">
        <v>4375</v>
      </c>
    </row>
    <row r="1024" spans="1:16">
      <c r="A1024" s="4">
        <v>46244.664270833331</v>
      </c>
      <c r="B1024" s="2" t="s">
        <v>4178</v>
      </c>
      <c r="C1024" s="2" t="s">
        <v>512</v>
      </c>
      <c r="D1024" s="2" t="s">
        <v>292</v>
      </c>
      <c r="E1024" s="2">
        <v>36</v>
      </c>
      <c r="F1024" s="2"/>
      <c r="G1024" s="2">
        <v>36</v>
      </c>
      <c r="H1024" s="2" t="s">
        <v>349</v>
      </c>
      <c r="I1024" s="2" t="s">
        <v>695</v>
      </c>
      <c r="J1024" s="2" t="s">
        <v>2537</v>
      </c>
      <c r="K1024" s="2" t="s">
        <v>1855</v>
      </c>
      <c r="L1024" s="2" t="s">
        <v>4344</v>
      </c>
      <c r="M1024" s="2" t="str">
        <f t="shared" si="18"/>
        <v>06</v>
      </c>
      <c r="N1024" s="2" t="s">
        <v>1841</v>
      </c>
      <c r="O1024" s="2" t="s">
        <v>4373</v>
      </c>
      <c r="P1024" s="2" t="s">
        <v>4375</v>
      </c>
    </row>
    <row r="1025" spans="1:16">
      <c r="A1025" s="4">
        <v>46244.6641087963</v>
      </c>
      <c r="B1025" s="2" t="s">
        <v>2446</v>
      </c>
      <c r="C1025" s="2" t="s">
        <v>512</v>
      </c>
      <c r="D1025" s="2" t="s">
        <v>292</v>
      </c>
      <c r="E1025" s="2">
        <v>36</v>
      </c>
      <c r="F1025" s="2"/>
      <c r="G1025" s="2">
        <v>36</v>
      </c>
      <c r="H1025" s="2" t="s">
        <v>349</v>
      </c>
      <c r="I1025" s="2" t="s">
        <v>695</v>
      </c>
      <c r="J1025" s="2" t="s">
        <v>2537</v>
      </c>
      <c r="K1025" s="2" t="s">
        <v>1855</v>
      </c>
      <c r="L1025" s="2" t="s">
        <v>4344</v>
      </c>
      <c r="M1025" s="2" t="str">
        <f t="shared" si="18"/>
        <v>06</v>
      </c>
      <c r="N1025" s="2" t="s">
        <v>3894</v>
      </c>
      <c r="O1025" s="2" t="s">
        <v>4373</v>
      </c>
      <c r="P1025" s="2" t="s">
        <v>4375</v>
      </c>
    </row>
    <row r="1026" spans="1:16">
      <c r="A1026" s="4">
        <v>46244.663287037038</v>
      </c>
      <c r="B1026" s="2" t="s">
        <v>12</v>
      </c>
      <c r="C1026" s="2" t="s">
        <v>512</v>
      </c>
      <c r="D1026" s="2" t="s">
        <v>292</v>
      </c>
      <c r="E1026" s="2">
        <v>36</v>
      </c>
      <c r="F1026" s="2"/>
      <c r="G1026" s="2">
        <v>36</v>
      </c>
      <c r="H1026" s="2" t="s">
        <v>349</v>
      </c>
      <c r="I1026" s="2" t="s">
        <v>695</v>
      </c>
      <c r="J1026" s="2" t="s">
        <v>2537</v>
      </c>
      <c r="K1026" s="2" t="s">
        <v>1855</v>
      </c>
      <c r="L1026" s="2" t="s">
        <v>4344</v>
      </c>
      <c r="M1026" s="2" t="str">
        <f t="shared" ref="M1026:M1089" si="19">RIGHT(L1026,2)</f>
        <v>06</v>
      </c>
      <c r="N1026" s="2" t="s">
        <v>4269</v>
      </c>
      <c r="O1026" s="2" t="s">
        <v>4373</v>
      </c>
      <c r="P1026" s="2" t="s">
        <v>4375</v>
      </c>
    </row>
    <row r="1027" spans="1:16">
      <c r="A1027" s="4">
        <v>46244.663206018522</v>
      </c>
      <c r="B1027" s="2" t="s">
        <v>206</v>
      </c>
      <c r="C1027" s="2" t="s">
        <v>512</v>
      </c>
      <c r="D1027" s="2" t="s">
        <v>292</v>
      </c>
      <c r="E1027" s="2">
        <v>36</v>
      </c>
      <c r="F1027" s="2"/>
      <c r="G1027" s="2">
        <v>36</v>
      </c>
      <c r="H1027" s="2" t="s">
        <v>349</v>
      </c>
      <c r="I1027" s="2" t="s">
        <v>695</v>
      </c>
      <c r="J1027" s="2" t="s">
        <v>2537</v>
      </c>
      <c r="K1027" s="2" t="s">
        <v>1855</v>
      </c>
      <c r="L1027" s="2" t="s">
        <v>4344</v>
      </c>
      <c r="M1027" s="2" t="str">
        <f t="shared" si="19"/>
        <v>06</v>
      </c>
      <c r="N1027" s="2" t="s">
        <v>141</v>
      </c>
      <c r="O1027" s="2" t="s">
        <v>4373</v>
      </c>
      <c r="P1027" s="2" t="s">
        <v>4375</v>
      </c>
    </row>
    <row r="1028" spans="1:16">
      <c r="A1028" s="4">
        <v>46244.662708333337</v>
      </c>
      <c r="B1028" s="2" t="s">
        <v>4237</v>
      </c>
      <c r="C1028" s="2" t="s">
        <v>512</v>
      </c>
      <c r="D1028" s="2" t="s">
        <v>292</v>
      </c>
      <c r="E1028" s="2">
        <v>36</v>
      </c>
      <c r="F1028" s="2"/>
      <c r="G1028" s="2">
        <v>36</v>
      </c>
      <c r="H1028" s="2" t="s">
        <v>349</v>
      </c>
      <c r="I1028" s="2" t="s">
        <v>695</v>
      </c>
      <c r="J1028" s="2" t="s">
        <v>2537</v>
      </c>
      <c r="K1028" s="2" t="s">
        <v>1855</v>
      </c>
      <c r="L1028" s="2" t="s">
        <v>4344</v>
      </c>
      <c r="M1028" s="2" t="str">
        <f t="shared" si="19"/>
        <v>06</v>
      </c>
      <c r="N1028" s="2" t="s">
        <v>4073</v>
      </c>
      <c r="O1028" s="2" t="s">
        <v>4373</v>
      </c>
      <c r="P1028" s="2" t="s">
        <v>4375</v>
      </c>
    </row>
    <row r="1029" spans="1:16">
      <c r="A1029" s="4">
        <v>46244.66233796296</v>
      </c>
      <c r="B1029" s="2" t="s">
        <v>4184</v>
      </c>
      <c r="C1029" s="2" t="s">
        <v>512</v>
      </c>
      <c r="D1029" s="2" t="s">
        <v>292</v>
      </c>
      <c r="E1029" s="2">
        <v>36</v>
      </c>
      <c r="F1029" s="2"/>
      <c r="G1029" s="2">
        <v>36</v>
      </c>
      <c r="H1029" s="2" t="s">
        <v>349</v>
      </c>
      <c r="I1029" s="2" t="s">
        <v>695</v>
      </c>
      <c r="J1029" s="2" t="s">
        <v>2537</v>
      </c>
      <c r="K1029" s="2" t="s">
        <v>1855</v>
      </c>
      <c r="L1029" s="2" t="s">
        <v>4344</v>
      </c>
      <c r="M1029" s="2" t="str">
        <f t="shared" si="19"/>
        <v>06</v>
      </c>
      <c r="N1029" s="2" t="s">
        <v>2005</v>
      </c>
      <c r="O1029" s="2" t="s">
        <v>4373</v>
      </c>
      <c r="P1029" s="2" t="s">
        <v>4375</v>
      </c>
    </row>
    <row r="1030" spans="1:16">
      <c r="A1030" s="4">
        <v>46244.662141203706</v>
      </c>
      <c r="B1030" s="2" t="s">
        <v>3987</v>
      </c>
      <c r="C1030" s="2" t="s">
        <v>512</v>
      </c>
      <c r="D1030" s="2" t="s">
        <v>292</v>
      </c>
      <c r="E1030" s="2">
        <v>36</v>
      </c>
      <c r="F1030" s="2"/>
      <c r="G1030" s="2">
        <v>36</v>
      </c>
      <c r="H1030" s="2" t="s">
        <v>349</v>
      </c>
      <c r="I1030" s="2" t="s">
        <v>695</v>
      </c>
      <c r="J1030" s="2" t="s">
        <v>2537</v>
      </c>
      <c r="K1030" s="2" t="s">
        <v>1855</v>
      </c>
      <c r="L1030" s="2" t="s">
        <v>4344</v>
      </c>
      <c r="M1030" s="2" t="str">
        <f t="shared" si="19"/>
        <v>06</v>
      </c>
      <c r="N1030" s="2" t="s">
        <v>2225</v>
      </c>
      <c r="O1030" s="2" t="s">
        <v>4373</v>
      </c>
      <c r="P1030" s="2" t="s">
        <v>4375</v>
      </c>
    </row>
    <row r="1031" spans="1:16">
      <c r="A1031" s="4">
        <v>46244.661516203705</v>
      </c>
      <c r="B1031" s="2" t="s">
        <v>1220</v>
      </c>
      <c r="C1031" s="2" t="s">
        <v>512</v>
      </c>
      <c r="D1031" s="2" t="s">
        <v>292</v>
      </c>
      <c r="E1031" s="2">
        <v>36</v>
      </c>
      <c r="F1031" s="2"/>
      <c r="G1031" s="2">
        <v>36</v>
      </c>
      <c r="H1031" s="2" t="s">
        <v>349</v>
      </c>
      <c r="I1031" s="2" t="s">
        <v>695</v>
      </c>
      <c r="J1031" s="2" t="s">
        <v>2537</v>
      </c>
      <c r="K1031" s="2" t="s">
        <v>1855</v>
      </c>
      <c r="L1031" s="2" t="s">
        <v>4344</v>
      </c>
      <c r="M1031" s="2" t="str">
        <f t="shared" si="19"/>
        <v>06</v>
      </c>
      <c r="N1031" s="2" t="s">
        <v>3805</v>
      </c>
      <c r="O1031" s="2" t="s">
        <v>4373</v>
      </c>
      <c r="P1031" s="2" t="s">
        <v>4375</v>
      </c>
    </row>
    <row r="1032" spans="1:16">
      <c r="A1032" s="4">
        <v>46244.661168981482</v>
      </c>
      <c r="B1032" s="2" t="s">
        <v>3031</v>
      </c>
      <c r="C1032" s="2" t="s">
        <v>512</v>
      </c>
      <c r="D1032" s="2" t="s">
        <v>292</v>
      </c>
      <c r="E1032" s="2">
        <v>36</v>
      </c>
      <c r="F1032" s="2"/>
      <c r="G1032" s="2">
        <v>36</v>
      </c>
      <c r="H1032" s="2" t="s">
        <v>349</v>
      </c>
      <c r="I1032" s="2" t="s">
        <v>695</v>
      </c>
      <c r="J1032" s="2" t="s">
        <v>2537</v>
      </c>
      <c r="K1032" s="2" t="s">
        <v>1855</v>
      </c>
      <c r="L1032" s="2" t="s">
        <v>4344</v>
      </c>
      <c r="M1032" s="2" t="str">
        <f t="shared" si="19"/>
        <v>06</v>
      </c>
      <c r="N1032" s="2" t="s">
        <v>1758</v>
      </c>
      <c r="O1032" s="2" t="s">
        <v>4373</v>
      </c>
      <c r="P1032" s="2" t="s">
        <v>4375</v>
      </c>
    </row>
    <row r="1033" spans="1:16">
      <c r="A1033" s="4">
        <v>46244.660868055558</v>
      </c>
      <c r="B1033" s="2" t="s">
        <v>2520</v>
      </c>
      <c r="C1033" s="2" t="s">
        <v>512</v>
      </c>
      <c r="D1033" s="2" t="s">
        <v>292</v>
      </c>
      <c r="E1033" s="2">
        <v>36</v>
      </c>
      <c r="F1033" s="2"/>
      <c r="G1033" s="2">
        <v>36</v>
      </c>
      <c r="H1033" s="2" t="s">
        <v>349</v>
      </c>
      <c r="I1033" s="2" t="s">
        <v>695</v>
      </c>
      <c r="J1033" s="2" t="s">
        <v>2537</v>
      </c>
      <c r="K1033" s="2" t="s">
        <v>1855</v>
      </c>
      <c r="L1033" s="2" t="s">
        <v>4344</v>
      </c>
      <c r="M1033" s="2" t="str">
        <f t="shared" si="19"/>
        <v>06</v>
      </c>
      <c r="N1033" s="2" t="s">
        <v>1731</v>
      </c>
      <c r="O1033" s="2" t="s">
        <v>4373</v>
      </c>
      <c r="P1033" s="2" t="s">
        <v>4375</v>
      </c>
    </row>
    <row r="1034" spans="1:16">
      <c r="A1034" s="4">
        <v>46244.65996527778</v>
      </c>
      <c r="B1034" s="2" t="s">
        <v>3569</v>
      </c>
      <c r="C1034" s="2" t="s">
        <v>512</v>
      </c>
      <c r="D1034" s="2" t="s">
        <v>292</v>
      </c>
      <c r="E1034" s="2">
        <v>36</v>
      </c>
      <c r="F1034" s="2"/>
      <c r="G1034" s="2">
        <v>36</v>
      </c>
      <c r="H1034" s="2" t="s">
        <v>349</v>
      </c>
      <c r="I1034" s="2" t="s">
        <v>695</v>
      </c>
      <c r="J1034" s="2" t="s">
        <v>2537</v>
      </c>
      <c r="K1034" s="2" t="s">
        <v>1855</v>
      </c>
      <c r="L1034" s="2" t="s">
        <v>4344</v>
      </c>
      <c r="M1034" s="2" t="str">
        <f t="shared" si="19"/>
        <v>06</v>
      </c>
      <c r="N1034" s="2" t="s">
        <v>593</v>
      </c>
      <c r="O1034" s="2" t="s">
        <v>4373</v>
      </c>
      <c r="P1034" s="2" t="s">
        <v>4375</v>
      </c>
    </row>
    <row r="1035" spans="1:16">
      <c r="A1035" s="4">
        <v>46244.659745370373</v>
      </c>
      <c r="B1035" s="2" t="s">
        <v>2500</v>
      </c>
      <c r="C1035" s="2" t="s">
        <v>512</v>
      </c>
      <c r="D1035" s="2" t="s">
        <v>292</v>
      </c>
      <c r="E1035" s="2">
        <v>36</v>
      </c>
      <c r="F1035" s="2"/>
      <c r="G1035" s="2">
        <v>36</v>
      </c>
      <c r="H1035" s="2" t="s">
        <v>349</v>
      </c>
      <c r="I1035" s="2" t="s">
        <v>695</v>
      </c>
      <c r="J1035" s="2" t="s">
        <v>2537</v>
      </c>
      <c r="K1035" s="2" t="s">
        <v>1855</v>
      </c>
      <c r="L1035" s="2" t="s">
        <v>4344</v>
      </c>
      <c r="M1035" s="2" t="str">
        <f t="shared" si="19"/>
        <v>06</v>
      </c>
      <c r="N1035" s="2" t="s">
        <v>500</v>
      </c>
      <c r="O1035" s="2" t="s">
        <v>4373</v>
      </c>
      <c r="P1035" s="2" t="s">
        <v>4375</v>
      </c>
    </row>
    <row r="1036" spans="1:16">
      <c r="A1036" s="4">
        <v>46244.658692129633</v>
      </c>
      <c r="B1036" s="2" t="s">
        <v>1515</v>
      </c>
      <c r="C1036" s="2" t="s">
        <v>512</v>
      </c>
      <c r="D1036" s="2" t="s">
        <v>292</v>
      </c>
      <c r="E1036" s="2">
        <v>36</v>
      </c>
      <c r="F1036" s="2"/>
      <c r="G1036" s="2">
        <v>36</v>
      </c>
      <c r="H1036" s="2" t="s">
        <v>349</v>
      </c>
      <c r="I1036" s="2" t="s">
        <v>695</v>
      </c>
      <c r="J1036" s="2" t="s">
        <v>2537</v>
      </c>
      <c r="K1036" s="2" t="s">
        <v>1855</v>
      </c>
      <c r="L1036" s="2" t="s">
        <v>4344</v>
      </c>
      <c r="M1036" s="2" t="str">
        <f t="shared" si="19"/>
        <v>06</v>
      </c>
      <c r="N1036" s="2" t="s">
        <v>3655</v>
      </c>
      <c r="O1036" s="2" t="s">
        <v>4373</v>
      </c>
      <c r="P1036" s="2" t="s">
        <v>4375</v>
      </c>
    </row>
    <row r="1037" spans="1:16">
      <c r="A1037" s="4">
        <v>46244.658333333333</v>
      </c>
      <c r="B1037" s="2" t="s">
        <v>0</v>
      </c>
      <c r="C1037" s="2" t="s">
        <v>512</v>
      </c>
      <c r="D1037" s="2" t="s">
        <v>292</v>
      </c>
      <c r="E1037" s="2">
        <v>36</v>
      </c>
      <c r="F1037" s="2"/>
      <c r="G1037" s="2">
        <v>36</v>
      </c>
      <c r="H1037" s="2" t="s">
        <v>349</v>
      </c>
      <c r="I1037" s="2" t="s">
        <v>695</v>
      </c>
      <c r="J1037" s="2" t="s">
        <v>2537</v>
      </c>
      <c r="K1037" s="2" t="s">
        <v>1855</v>
      </c>
      <c r="L1037" s="2" t="s">
        <v>4344</v>
      </c>
      <c r="M1037" s="2" t="str">
        <f t="shared" si="19"/>
        <v>06</v>
      </c>
      <c r="N1037" s="2" t="s">
        <v>2408</v>
      </c>
      <c r="O1037" s="2" t="s">
        <v>4373</v>
      </c>
      <c r="P1037" s="2" t="s">
        <v>4375</v>
      </c>
    </row>
    <row r="1038" spans="1:16">
      <c r="A1038" s="4">
        <v>46244.657905092594</v>
      </c>
      <c r="B1038" s="2" t="s">
        <v>2431</v>
      </c>
      <c r="C1038" s="2" t="s">
        <v>512</v>
      </c>
      <c r="D1038" s="2" t="s">
        <v>292</v>
      </c>
      <c r="E1038" s="2">
        <v>36</v>
      </c>
      <c r="F1038" s="2"/>
      <c r="G1038" s="2">
        <v>36</v>
      </c>
      <c r="H1038" s="2" t="s">
        <v>349</v>
      </c>
      <c r="I1038" s="2" t="s">
        <v>695</v>
      </c>
      <c r="J1038" s="2" t="s">
        <v>2537</v>
      </c>
      <c r="K1038" s="2" t="s">
        <v>1855</v>
      </c>
      <c r="L1038" s="2" t="s">
        <v>4344</v>
      </c>
      <c r="M1038" s="2" t="str">
        <f t="shared" si="19"/>
        <v>06</v>
      </c>
      <c r="N1038" s="2" t="s">
        <v>3814</v>
      </c>
      <c r="O1038" s="2" t="s">
        <v>4373</v>
      </c>
      <c r="P1038" s="2" t="s">
        <v>4375</v>
      </c>
    </row>
    <row r="1039" spans="1:16">
      <c r="A1039" s="4">
        <v>46244.657719907409</v>
      </c>
      <c r="B1039" s="2" t="s">
        <v>3861</v>
      </c>
      <c r="C1039" s="2" t="s">
        <v>512</v>
      </c>
      <c r="D1039" s="2" t="s">
        <v>292</v>
      </c>
      <c r="E1039" s="2">
        <v>36</v>
      </c>
      <c r="F1039" s="2"/>
      <c r="G1039" s="2">
        <v>36</v>
      </c>
      <c r="H1039" s="2" t="s">
        <v>349</v>
      </c>
      <c r="I1039" s="2" t="s">
        <v>695</v>
      </c>
      <c r="J1039" s="2" t="s">
        <v>2537</v>
      </c>
      <c r="K1039" s="2" t="s">
        <v>1855</v>
      </c>
      <c r="L1039" s="2" t="s">
        <v>4344</v>
      </c>
      <c r="M1039" s="2" t="str">
        <f t="shared" si="19"/>
        <v>06</v>
      </c>
      <c r="N1039" s="2" t="s">
        <v>1119</v>
      </c>
      <c r="O1039" s="2" t="s">
        <v>4373</v>
      </c>
      <c r="P1039" s="2" t="s">
        <v>4375</v>
      </c>
    </row>
    <row r="1040" spans="1:16">
      <c r="A1040" s="4">
        <v>46244.656944444447</v>
      </c>
      <c r="B1040" s="2" t="s">
        <v>1306</v>
      </c>
      <c r="C1040" s="2" t="s">
        <v>512</v>
      </c>
      <c r="D1040" s="2" t="s">
        <v>292</v>
      </c>
      <c r="E1040" s="2">
        <v>36</v>
      </c>
      <c r="F1040" s="2"/>
      <c r="G1040" s="2">
        <v>36</v>
      </c>
      <c r="H1040" s="2" t="s">
        <v>349</v>
      </c>
      <c r="I1040" s="2" t="s">
        <v>695</v>
      </c>
      <c r="J1040" s="2" t="s">
        <v>2537</v>
      </c>
      <c r="K1040" s="2" t="s">
        <v>1855</v>
      </c>
      <c r="L1040" s="2" t="s">
        <v>4344</v>
      </c>
      <c r="M1040" s="2" t="str">
        <f t="shared" si="19"/>
        <v>06</v>
      </c>
      <c r="N1040" s="2" t="s">
        <v>304</v>
      </c>
      <c r="O1040" s="2" t="s">
        <v>4373</v>
      </c>
      <c r="P1040" s="2" t="s">
        <v>4375</v>
      </c>
    </row>
    <row r="1041" spans="1:16">
      <c r="A1041" s="4">
        <v>46244.65693287037</v>
      </c>
      <c r="B1041" s="2" t="s">
        <v>2159</v>
      </c>
      <c r="C1041" s="2" t="s">
        <v>512</v>
      </c>
      <c r="D1041" s="2" t="s">
        <v>292</v>
      </c>
      <c r="E1041" s="2">
        <v>36</v>
      </c>
      <c r="F1041" s="2"/>
      <c r="G1041" s="2">
        <v>36</v>
      </c>
      <c r="H1041" s="2" t="s">
        <v>349</v>
      </c>
      <c r="I1041" s="2" t="s">
        <v>695</v>
      </c>
      <c r="J1041" s="2" t="s">
        <v>2537</v>
      </c>
      <c r="K1041" s="2" t="s">
        <v>1855</v>
      </c>
      <c r="L1041" s="2" t="s">
        <v>4344</v>
      </c>
      <c r="M1041" s="2" t="str">
        <f t="shared" si="19"/>
        <v>06</v>
      </c>
      <c r="N1041" s="2" t="s">
        <v>3298</v>
      </c>
      <c r="O1041" s="2" t="s">
        <v>4373</v>
      </c>
      <c r="P1041" s="2" t="s">
        <v>4375</v>
      </c>
    </row>
    <row r="1042" spans="1:16">
      <c r="A1042" s="4">
        <v>46244.656365740739</v>
      </c>
      <c r="B1042" s="2" t="s">
        <v>1742</v>
      </c>
      <c r="C1042" s="2" t="s">
        <v>512</v>
      </c>
      <c r="D1042" s="2" t="s">
        <v>292</v>
      </c>
      <c r="E1042" s="2">
        <v>36</v>
      </c>
      <c r="F1042" s="2"/>
      <c r="G1042" s="2">
        <v>36</v>
      </c>
      <c r="H1042" s="2" t="s">
        <v>349</v>
      </c>
      <c r="I1042" s="2" t="s">
        <v>695</v>
      </c>
      <c r="J1042" s="2" t="s">
        <v>2537</v>
      </c>
      <c r="K1042" s="2" t="s">
        <v>1855</v>
      </c>
      <c r="L1042" s="2" t="s">
        <v>4344</v>
      </c>
      <c r="M1042" s="2" t="str">
        <f t="shared" si="19"/>
        <v>06</v>
      </c>
      <c r="N1042" s="2" t="s">
        <v>1715</v>
      </c>
      <c r="O1042" s="2" t="s">
        <v>4373</v>
      </c>
      <c r="P1042" s="2" t="s">
        <v>4375</v>
      </c>
    </row>
    <row r="1043" spans="1:16">
      <c r="A1043" s="4">
        <v>46244.656168981484</v>
      </c>
      <c r="B1043" s="2" t="s">
        <v>4311</v>
      </c>
      <c r="C1043" s="2" t="s">
        <v>512</v>
      </c>
      <c r="D1043" s="2" t="s">
        <v>292</v>
      </c>
      <c r="E1043" s="2">
        <v>36</v>
      </c>
      <c r="F1043" s="2"/>
      <c r="G1043" s="2">
        <v>36</v>
      </c>
      <c r="H1043" s="2" t="s">
        <v>349</v>
      </c>
      <c r="I1043" s="2" t="s">
        <v>695</v>
      </c>
      <c r="J1043" s="2" t="s">
        <v>2537</v>
      </c>
      <c r="K1043" s="2" t="s">
        <v>1855</v>
      </c>
      <c r="L1043" s="2" t="s">
        <v>4344</v>
      </c>
      <c r="M1043" s="2" t="str">
        <f t="shared" si="19"/>
        <v>06</v>
      </c>
      <c r="N1043" s="2" t="s">
        <v>1019</v>
      </c>
      <c r="O1043" s="2" t="s">
        <v>4373</v>
      </c>
      <c r="P1043" s="2" t="s">
        <v>4375</v>
      </c>
    </row>
    <row r="1044" spans="1:16">
      <c r="A1044" s="4">
        <v>46244.6559375</v>
      </c>
      <c r="B1044" s="2" t="s">
        <v>3405</v>
      </c>
      <c r="C1044" s="2" t="s">
        <v>512</v>
      </c>
      <c r="D1044" s="2" t="s">
        <v>292</v>
      </c>
      <c r="E1044" s="2">
        <v>36</v>
      </c>
      <c r="F1044" s="2"/>
      <c r="G1044" s="2">
        <v>36</v>
      </c>
      <c r="H1044" s="2" t="s">
        <v>349</v>
      </c>
      <c r="I1044" s="2" t="s">
        <v>695</v>
      </c>
      <c r="J1044" s="2" t="s">
        <v>2537</v>
      </c>
      <c r="K1044" s="2" t="s">
        <v>1855</v>
      </c>
      <c r="L1044" s="2" t="s">
        <v>4344</v>
      </c>
      <c r="M1044" s="2" t="str">
        <f t="shared" si="19"/>
        <v>06</v>
      </c>
      <c r="N1044" s="2" t="s">
        <v>3575</v>
      </c>
      <c r="O1044" s="2" t="s">
        <v>4373</v>
      </c>
      <c r="P1044" s="2" t="s">
        <v>4375</v>
      </c>
    </row>
    <row r="1045" spans="1:16">
      <c r="A1045" s="4">
        <v>46244.655914351853</v>
      </c>
      <c r="B1045" s="2" t="s">
        <v>904</v>
      </c>
      <c r="C1045" s="2" t="s">
        <v>512</v>
      </c>
      <c r="D1045" s="2" t="s">
        <v>292</v>
      </c>
      <c r="E1045" s="2">
        <v>36</v>
      </c>
      <c r="F1045" s="2"/>
      <c r="G1045" s="2">
        <v>36</v>
      </c>
      <c r="H1045" s="2" t="s">
        <v>349</v>
      </c>
      <c r="I1045" s="2" t="s">
        <v>695</v>
      </c>
      <c r="J1045" s="2" t="s">
        <v>2537</v>
      </c>
      <c r="K1045" s="2" t="s">
        <v>1855</v>
      </c>
      <c r="L1045" s="2" t="s">
        <v>4344</v>
      </c>
      <c r="M1045" s="2" t="str">
        <f t="shared" si="19"/>
        <v>06</v>
      </c>
      <c r="N1045" s="2" t="s">
        <v>3191</v>
      </c>
      <c r="O1045" s="2" t="s">
        <v>4373</v>
      </c>
      <c r="P1045" s="2" t="s">
        <v>4375</v>
      </c>
    </row>
    <row r="1046" spans="1:16">
      <c r="A1046" s="4">
        <v>46244.653935185182</v>
      </c>
      <c r="B1046" s="2" t="s">
        <v>2130</v>
      </c>
      <c r="C1046" s="2" t="s">
        <v>512</v>
      </c>
      <c r="D1046" s="2" t="s">
        <v>292</v>
      </c>
      <c r="E1046" s="2">
        <v>36</v>
      </c>
      <c r="F1046" s="2"/>
      <c r="G1046" s="2">
        <v>36</v>
      </c>
      <c r="H1046" s="2" t="s">
        <v>349</v>
      </c>
      <c r="I1046" s="2" t="s">
        <v>695</v>
      </c>
      <c r="J1046" s="2" t="s">
        <v>2537</v>
      </c>
      <c r="K1046" s="2" t="s">
        <v>1855</v>
      </c>
      <c r="L1046" s="2" t="s">
        <v>4344</v>
      </c>
      <c r="M1046" s="2" t="str">
        <f t="shared" si="19"/>
        <v>06</v>
      </c>
      <c r="N1046" s="2" t="s">
        <v>15</v>
      </c>
      <c r="O1046" s="2" t="s">
        <v>4373</v>
      </c>
      <c r="P1046" s="2" t="s">
        <v>4375</v>
      </c>
    </row>
    <row r="1047" spans="1:16">
      <c r="A1047" s="4">
        <v>46244.653726851851</v>
      </c>
      <c r="B1047" s="2" t="s">
        <v>750</v>
      </c>
      <c r="C1047" s="2" t="s">
        <v>512</v>
      </c>
      <c r="D1047" s="2" t="s">
        <v>292</v>
      </c>
      <c r="E1047" s="2">
        <v>36</v>
      </c>
      <c r="F1047" s="2"/>
      <c r="G1047" s="2">
        <v>36</v>
      </c>
      <c r="H1047" s="2" t="s">
        <v>349</v>
      </c>
      <c r="I1047" s="2" t="s">
        <v>695</v>
      </c>
      <c r="J1047" s="2" t="s">
        <v>2537</v>
      </c>
      <c r="K1047" s="2" t="s">
        <v>1855</v>
      </c>
      <c r="L1047" s="2" t="s">
        <v>4344</v>
      </c>
      <c r="M1047" s="2" t="str">
        <f t="shared" si="19"/>
        <v>06</v>
      </c>
      <c r="N1047" s="2" t="s">
        <v>865</v>
      </c>
      <c r="O1047" s="2" t="s">
        <v>4373</v>
      </c>
      <c r="P1047" s="2" t="s">
        <v>4375</v>
      </c>
    </row>
    <row r="1048" spans="1:16">
      <c r="A1048" s="4">
        <v>46244.652175925927</v>
      </c>
      <c r="B1048" s="2" t="s">
        <v>3674</v>
      </c>
      <c r="C1048" s="2" t="s">
        <v>512</v>
      </c>
      <c r="D1048" s="2" t="s">
        <v>292</v>
      </c>
      <c r="E1048" s="2">
        <v>36</v>
      </c>
      <c r="F1048" s="2"/>
      <c r="G1048" s="2">
        <v>36</v>
      </c>
      <c r="H1048" s="2" t="s">
        <v>349</v>
      </c>
      <c r="I1048" s="2" t="s">
        <v>695</v>
      </c>
      <c r="J1048" s="2" t="s">
        <v>2537</v>
      </c>
      <c r="K1048" s="2" t="s">
        <v>1855</v>
      </c>
      <c r="L1048" s="2" t="s">
        <v>4344</v>
      </c>
      <c r="M1048" s="2" t="str">
        <f t="shared" si="19"/>
        <v>06</v>
      </c>
      <c r="N1048" s="2" t="s">
        <v>441</v>
      </c>
      <c r="O1048" s="2" t="s">
        <v>4373</v>
      </c>
      <c r="P1048" s="2" t="s">
        <v>4375</v>
      </c>
    </row>
    <row r="1049" spans="1:16">
      <c r="A1049" s="4">
        <v>46244.651608796295</v>
      </c>
      <c r="B1049" s="2" t="s">
        <v>2022</v>
      </c>
      <c r="C1049" s="2" t="s">
        <v>512</v>
      </c>
      <c r="D1049" s="2" t="s">
        <v>292</v>
      </c>
      <c r="E1049" s="2">
        <v>36</v>
      </c>
      <c r="F1049" s="2"/>
      <c r="G1049" s="2">
        <v>36</v>
      </c>
      <c r="H1049" s="2" t="s">
        <v>349</v>
      </c>
      <c r="I1049" s="2" t="s">
        <v>695</v>
      </c>
      <c r="J1049" s="2" t="s">
        <v>2537</v>
      </c>
      <c r="K1049" s="2" t="s">
        <v>1855</v>
      </c>
      <c r="L1049" s="2" t="s">
        <v>4344</v>
      </c>
      <c r="M1049" s="2" t="str">
        <f t="shared" si="19"/>
        <v>06</v>
      </c>
      <c r="N1049" s="2" t="s">
        <v>1352</v>
      </c>
      <c r="O1049" s="2" t="s">
        <v>4373</v>
      </c>
      <c r="P1049" s="2" t="s">
        <v>4375</v>
      </c>
    </row>
    <row r="1050" spans="1:16">
      <c r="A1050" s="4">
        <v>46244.650138888886</v>
      </c>
      <c r="B1050" s="2" t="s">
        <v>2197</v>
      </c>
      <c r="C1050" s="2" t="s">
        <v>512</v>
      </c>
      <c r="D1050" s="2" t="s">
        <v>292</v>
      </c>
      <c r="E1050" s="2">
        <v>36</v>
      </c>
      <c r="F1050" s="2"/>
      <c r="G1050" s="2">
        <v>36</v>
      </c>
      <c r="H1050" s="2" t="s">
        <v>349</v>
      </c>
      <c r="I1050" s="2" t="s">
        <v>695</v>
      </c>
      <c r="J1050" s="2" t="s">
        <v>2537</v>
      </c>
      <c r="K1050" s="2" t="s">
        <v>1855</v>
      </c>
      <c r="L1050" s="2" t="s">
        <v>4344</v>
      </c>
      <c r="M1050" s="2" t="str">
        <f t="shared" si="19"/>
        <v>06</v>
      </c>
      <c r="N1050" s="2" t="s">
        <v>2433</v>
      </c>
      <c r="O1050" s="2" t="s">
        <v>4373</v>
      </c>
      <c r="P1050" s="2" t="s">
        <v>4375</v>
      </c>
    </row>
    <row r="1051" spans="1:16">
      <c r="A1051" s="4">
        <v>46244.649942129632</v>
      </c>
      <c r="B1051" s="2" t="s">
        <v>3203</v>
      </c>
      <c r="C1051" s="2" t="s">
        <v>512</v>
      </c>
      <c r="D1051" s="2" t="s">
        <v>292</v>
      </c>
      <c r="E1051" s="2">
        <v>36</v>
      </c>
      <c r="F1051" s="2"/>
      <c r="G1051" s="2">
        <v>36</v>
      </c>
      <c r="H1051" s="2" t="s">
        <v>349</v>
      </c>
      <c r="I1051" s="2" t="s">
        <v>695</v>
      </c>
      <c r="J1051" s="2" t="s">
        <v>2537</v>
      </c>
      <c r="K1051" s="2" t="s">
        <v>1855</v>
      </c>
      <c r="L1051" s="2" t="s">
        <v>4344</v>
      </c>
      <c r="M1051" s="2" t="str">
        <f t="shared" si="19"/>
        <v>06</v>
      </c>
      <c r="N1051" s="2" t="s">
        <v>678</v>
      </c>
      <c r="O1051" s="2" t="s">
        <v>4373</v>
      </c>
      <c r="P1051" s="2" t="s">
        <v>4375</v>
      </c>
    </row>
    <row r="1052" spans="1:16">
      <c r="A1052" s="4">
        <v>46244.649525462963</v>
      </c>
      <c r="B1052" s="2" t="s">
        <v>1681</v>
      </c>
      <c r="C1052" s="2" t="s">
        <v>512</v>
      </c>
      <c r="D1052" s="2" t="s">
        <v>292</v>
      </c>
      <c r="E1052" s="2">
        <v>36</v>
      </c>
      <c r="F1052" s="2"/>
      <c r="G1052" s="2">
        <v>36</v>
      </c>
      <c r="H1052" s="2" t="s">
        <v>349</v>
      </c>
      <c r="I1052" s="2" t="s">
        <v>695</v>
      </c>
      <c r="J1052" s="2" t="s">
        <v>2537</v>
      </c>
      <c r="K1052" s="2" t="s">
        <v>1855</v>
      </c>
      <c r="L1052" s="2" t="s">
        <v>4344</v>
      </c>
      <c r="M1052" s="2" t="str">
        <f t="shared" si="19"/>
        <v>06</v>
      </c>
      <c r="N1052" s="2" t="s">
        <v>3150</v>
      </c>
      <c r="O1052" s="2" t="s">
        <v>4373</v>
      </c>
      <c r="P1052" s="2" t="s">
        <v>4375</v>
      </c>
    </row>
    <row r="1053" spans="1:16">
      <c r="A1053" s="4">
        <v>46244.649502314816</v>
      </c>
      <c r="B1053" s="2" t="s">
        <v>538</v>
      </c>
      <c r="C1053" s="2" t="s">
        <v>512</v>
      </c>
      <c r="D1053" s="2" t="s">
        <v>292</v>
      </c>
      <c r="E1053" s="2">
        <v>36</v>
      </c>
      <c r="F1053" s="2"/>
      <c r="G1053" s="2">
        <v>36</v>
      </c>
      <c r="H1053" s="2" t="s">
        <v>349</v>
      </c>
      <c r="I1053" s="2" t="s">
        <v>695</v>
      </c>
      <c r="J1053" s="2" t="s">
        <v>2537</v>
      </c>
      <c r="K1053" s="2" t="s">
        <v>1855</v>
      </c>
      <c r="L1053" s="2" t="s">
        <v>4344</v>
      </c>
      <c r="M1053" s="2" t="str">
        <f t="shared" si="19"/>
        <v>06</v>
      </c>
      <c r="N1053" s="2" t="s">
        <v>408</v>
      </c>
      <c r="O1053" s="2" t="s">
        <v>4373</v>
      </c>
      <c r="P1053" s="2" t="s">
        <v>4375</v>
      </c>
    </row>
    <row r="1054" spans="1:16">
      <c r="A1054" s="4">
        <v>46244.648495370369</v>
      </c>
      <c r="B1054" s="2" t="s">
        <v>2079</v>
      </c>
      <c r="C1054" s="2" t="s">
        <v>512</v>
      </c>
      <c r="D1054" s="2" t="s">
        <v>292</v>
      </c>
      <c r="E1054" s="2">
        <v>36</v>
      </c>
      <c r="F1054" s="2"/>
      <c r="G1054" s="2">
        <v>36</v>
      </c>
      <c r="H1054" s="2" t="s">
        <v>349</v>
      </c>
      <c r="I1054" s="2" t="s">
        <v>695</v>
      </c>
      <c r="J1054" s="2" t="s">
        <v>2537</v>
      </c>
      <c r="K1054" s="2" t="s">
        <v>1855</v>
      </c>
      <c r="L1054" s="2" t="s">
        <v>4344</v>
      </c>
      <c r="M1054" s="2" t="str">
        <f t="shared" si="19"/>
        <v>06</v>
      </c>
      <c r="N1054" s="2" t="s">
        <v>3813</v>
      </c>
      <c r="O1054" s="2" t="s">
        <v>4373</v>
      </c>
      <c r="P1054" s="2" t="s">
        <v>4375</v>
      </c>
    </row>
    <row r="1055" spans="1:16">
      <c r="A1055" s="4">
        <v>46244.648252314815</v>
      </c>
      <c r="B1055" s="2" t="s">
        <v>51</v>
      </c>
      <c r="C1055" s="2" t="s">
        <v>512</v>
      </c>
      <c r="D1055" s="2" t="s">
        <v>292</v>
      </c>
      <c r="E1055" s="2">
        <v>36</v>
      </c>
      <c r="F1055" s="2"/>
      <c r="G1055" s="2">
        <v>36</v>
      </c>
      <c r="H1055" s="2" t="s">
        <v>349</v>
      </c>
      <c r="I1055" s="2" t="s">
        <v>695</v>
      </c>
      <c r="J1055" s="2" t="s">
        <v>2537</v>
      </c>
      <c r="K1055" s="2" t="s">
        <v>1855</v>
      </c>
      <c r="L1055" s="2" t="s">
        <v>4344</v>
      </c>
      <c r="M1055" s="2" t="str">
        <f t="shared" si="19"/>
        <v>06</v>
      </c>
      <c r="N1055" s="2" t="s">
        <v>2064</v>
      </c>
      <c r="O1055" s="2" t="s">
        <v>4373</v>
      </c>
      <c r="P1055" s="2" t="s">
        <v>4375</v>
      </c>
    </row>
    <row r="1056" spans="1:16">
      <c r="A1056" s="4">
        <v>46244.647650462961</v>
      </c>
      <c r="B1056" s="2" t="s">
        <v>1394</v>
      </c>
      <c r="C1056" s="2" t="s">
        <v>512</v>
      </c>
      <c r="D1056" s="2" t="s">
        <v>292</v>
      </c>
      <c r="E1056" s="2">
        <v>36</v>
      </c>
      <c r="F1056" s="2"/>
      <c r="G1056" s="2">
        <v>36</v>
      </c>
      <c r="H1056" s="2" t="s">
        <v>349</v>
      </c>
      <c r="I1056" s="2" t="s">
        <v>695</v>
      </c>
      <c r="J1056" s="2" t="s">
        <v>2537</v>
      </c>
      <c r="K1056" s="2" t="s">
        <v>1855</v>
      </c>
      <c r="L1056" s="2" t="s">
        <v>4344</v>
      </c>
      <c r="M1056" s="2" t="str">
        <f t="shared" si="19"/>
        <v>06</v>
      </c>
      <c r="N1056" s="2" t="s">
        <v>3398</v>
      </c>
      <c r="O1056" s="2" t="s">
        <v>4373</v>
      </c>
      <c r="P1056" s="2" t="s">
        <v>4375</v>
      </c>
    </row>
    <row r="1057" spans="1:16">
      <c r="A1057" s="4">
        <v>46244.647638888891</v>
      </c>
      <c r="B1057" s="2" t="s">
        <v>3194</v>
      </c>
      <c r="C1057" s="2" t="s">
        <v>512</v>
      </c>
      <c r="D1057" s="2" t="s">
        <v>292</v>
      </c>
      <c r="E1057" s="2">
        <v>36</v>
      </c>
      <c r="F1057" s="2"/>
      <c r="G1057" s="2">
        <v>36</v>
      </c>
      <c r="H1057" s="2" t="s">
        <v>349</v>
      </c>
      <c r="I1057" s="2" t="s">
        <v>695</v>
      </c>
      <c r="J1057" s="2" t="s">
        <v>2537</v>
      </c>
      <c r="K1057" s="2" t="s">
        <v>1855</v>
      </c>
      <c r="L1057" s="2" t="s">
        <v>4344</v>
      </c>
      <c r="M1057" s="2" t="str">
        <f t="shared" si="19"/>
        <v>06</v>
      </c>
      <c r="N1057" s="2" t="s">
        <v>1092</v>
      </c>
      <c r="O1057" s="2" t="s">
        <v>4373</v>
      </c>
      <c r="P1057" s="2" t="s">
        <v>4375</v>
      </c>
    </row>
    <row r="1058" spans="1:16">
      <c r="A1058" s="4">
        <v>46244.647106481483</v>
      </c>
      <c r="B1058" s="2" t="s">
        <v>437</v>
      </c>
      <c r="C1058" s="2" t="s">
        <v>512</v>
      </c>
      <c r="D1058" s="2" t="s">
        <v>292</v>
      </c>
      <c r="E1058" s="2">
        <v>36</v>
      </c>
      <c r="F1058" s="2"/>
      <c r="G1058" s="2">
        <v>36</v>
      </c>
      <c r="H1058" s="2" t="s">
        <v>349</v>
      </c>
      <c r="I1058" s="2" t="s">
        <v>695</v>
      </c>
      <c r="J1058" s="2" t="s">
        <v>2537</v>
      </c>
      <c r="K1058" s="2" t="s">
        <v>1855</v>
      </c>
      <c r="L1058" s="2" t="s">
        <v>4344</v>
      </c>
      <c r="M1058" s="2" t="str">
        <f t="shared" si="19"/>
        <v>06</v>
      </c>
      <c r="N1058" s="2" t="s">
        <v>3745</v>
      </c>
      <c r="O1058" s="2" t="s">
        <v>4373</v>
      </c>
      <c r="P1058" s="2" t="s">
        <v>4375</v>
      </c>
    </row>
    <row r="1059" spans="1:16">
      <c r="A1059" s="4">
        <v>46244.646770833337</v>
      </c>
      <c r="B1059" s="2" t="s">
        <v>111</v>
      </c>
      <c r="C1059" s="2" t="s">
        <v>512</v>
      </c>
      <c r="D1059" s="2" t="s">
        <v>292</v>
      </c>
      <c r="E1059" s="2">
        <v>36</v>
      </c>
      <c r="F1059" s="2"/>
      <c r="G1059" s="2">
        <v>36</v>
      </c>
      <c r="H1059" s="2" t="s">
        <v>349</v>
      </c>
      <c r="I1059" s="2" t="s">
        <v>695</v>
      </c>
      <c r="J1059" s="2" t="s">
        <v>2537</v>
      </c>
      <c r="K1059" s="2" t="s">
        <v>1855</v>
      </c>
      <c r="L1059" s="2" t="s">
        <v>4344</v>
      </c>
      <c r="M1059" s="2" t="str">
        <f t="shared" si="19"/>
        <v>06</v>
      </c>
      <c r="N1059" s="2" t="s">
        <v>254</v>
      </c>
      <c r="O1059" s="2" t="s">
        <v>4373</v>
      </c>
      <c r="P1059" s="2" t="s">
        <v>4375</v>
      </c>
    </row>
    <row r="1060" spans="1:16">
      <c r="A1060" s="4">
        <v>46244.589212962965</v>
      </c>
      <c r="B1060" s="2" t="s">
        <v>1413</v>
      </c>
      <c r="C1060" s="2" t="s">
        <v>512</v>
      </c>
      <c r="D1060" s="2" t="s">
        <v>292</v>
      </c>
      <c r="E1060" s="2">
        <v>36</v>
      </c>
      <c r="F1060" s="2"/>
      <c r="G1060" s="2">
        <v>36</v>
      </c>
      <c r="H1060" s="2" t="s">
        <v>349</v>
      </c>
      <c r="I1060" s="2" t="s">
        <v>695</v>
      </c>
      <c r="J1060" s="2" t="s">
        <v>2537</v>
      </c>
      <c r="K1060" s="2" t="s">
        <v>1855</v>
      </c>
      <c r="L1060" s="2" t="s">
        <v>1847</v>
      </c>
      <c r="M1060" s="2" t="str">
        <f t="shared" si="19"/>
        <v>14</v>
      </c>
      <c r="N1060" s="2" t="s">
        <v>2816</v>
      </c>
      <c r="O1060" s="2" t="s">
        <v>4373</v>
      </c>
      <c r="P1060" s="2" t="s">
        <v>4375</v>
      </c>
    </row>
    <row r="1061" spans="1:16">
      <c r="A1061" s="4">
        <v>46244.588993055557</v>
      </c>
      <c r="B1061" s="2" t="s">
        <v>550</v>
      </c>
      <c r="C1061" s="2" t="s">
        <v>512</v>
      </c>
      <c r="D1061" s="2" t="s">
        <v>292</v>
      </c>
      <c r="E1061" s="2">
        <v>36</v>
      </c>
      <c r="F1061" s="2"/>
      <c r="G1061" s="2">
        <v>36</v>
      </c>
      <c r="H1061" s="2" t="s">
        <v>349</v>
      </c>
      <c r="I1061" s="2" t="s">
        <v>695</v>
      </c>
      <c r="J1061" s="2" t="s">
        <v>2537</v>
      </c>
      <c r="K1061" s="2" t="s">
        <v>1855</v>
      </c>
      <c r="L1061" s="2" t="s">
        <v>1847</v>
      </c>
      <c r="M1061" s="2" t="str">
        <f t="shared" si="19"/>
        <v>14</v>
      </c>
      <c r="N1061" s="2" t="s">
        <v>3383</v>
      </c>
      <c r="O1061" s="2" t="s">
        <v>4373</v>
      </c>
      <c r="P1061" s="2" t="s">
        <v>4375</v>
      </c>
    </row>
    <row r="1062" spans="1:16">
      <c r="A1062" s="4">
        <v>46244.588379629633</v>
      </c>
      <c r="B1062" s="2" t="s">
        <v>1256</v>
      </c>
      <c r="C1062" s="2" t="s">
        <v>512</v>
      </c>
      <c r="D1062" s="2" t="s">
        <v>292</v>
      </c>
      <c r="E1062" s="2">
        <v>36</v>
      </c>
      <c r="F1062" s="2"/>
      <c r="G1062" s="2">
        <v>36</v>
      </c>
      <c r="H1062" s="2" t="s">
        <v>349</v>
      </c>
      <c r="I1062" s="2" t="s">
        <v>695</v>
      </c>
      <c r="J1062" s="2" t="s">
        <v>2537</v>
      </c>
      <c r="K1062" s="2" t="s">
        <v>1855</v>
      </c>
      <c r="L1062" s="2" t="s">
        <v>1847</v>
      </c>
      <c r="M1062" s="2" t="str">
        <f t="shared" si="19"/>
        <v>14</v>
      </c>
      <c r="N1062" s="2" t="s">
        <v>2319</v>
      </c>
      <c r="O1062" s="2" t="s">
        <v>4373</v>
      </c>
      <c r="P1062" s="2" t="s">
        <v>4375</v>
      </c>
    </row>
    <row r="1063" spans="1:16">
      <c r="A1063" s="4">
        <v>46244.588148148148</v>
      </c>
      <c r="B1063" s="2" t="s">
        <v>2079</v>
      </c>
      <c r="C1063" s="2" t="s">
        <v>512</v>
      </c>
      <c r="D1063" s="2" t="s">
        <v>292</v>
      </c>
      <c r="E1063" s="2">
        <v>36</v>
      </c>
      <c r="F1063" s="2"/>
      <c r="G1063" s="2">
        <v>36</v>
      </c>
      <c r="H1063" s="2" t="s">
        <v>349</v>
      </c>
      <c r="I1063" s="2" t="s">
        <v>695</v>
      </c>
      <c r="J1063" s="2" t="s">
        <v>2537</v>
      </c>
      <c r="K1063" s="2" t="s">
        <v>1855</v>
      </c>
      <c r="L1063" s="2" t="s">
        <v>1847</v>
      </c>
      <c r="M1063" s="2" t="str">
        <f t="shared" si="19"/>
        <v>14</v>
      </c>
      <c r="N1063" s="2" t="s">
        <v>854</v>
      </c>
      <c r="O1063" s="2" t="s">
        <v>4373</v>
      </c>
      <c r="P1063" s="2" t="s">
        <v>4375</v>
      </c>
    </row>
    <row r="1064" spans="1:16">
      <c r="A1064" s="4">
        <v>46244.586875000001</v>
      </c>
      <c r="B1064" s="2" t="s">
        <v>2529</v>
      </c>
      <c r="C1064" s="2" t="s">
        <v>512</v>
      </c>
      <c r="D1064" s="2" t="s">
        <v>292</v>
      </c>
      <c r="E1064" s="2">
        <v>36</v>
      </c>
      <c r="F1064" s="2"/>
      <c r="G1064" s="2">
        <v>36</v>
      </c>
      <c r="H1064" s="2" t="s">
        <v>349</v>
      </c>
      <c r="I1064" s="2" t="s">
        <v>695</v>
      </c>
      <c r="J1064" s="2" t="s">
        <v>2537</v>
      </c>
      <c r="K1064" s="2" t="s">
        <v>1855</v>
      </c>
      <c r="L1064" s="2" t="s">
        <v>1847</v>
      </c>
      <c r="M1064" s="2" t="str">
        <f t="shared" si="19"/>
        <v>14</v>
      </c>
      <c r="N1064" s="2" t="s">
        <v>241</v>
      </c>
      <c r="O1064" s="2" t="s">
        <v>4373</v>
      </c>
      <c r="P1064" s="2" t="s">
        <v>4375</v>
      </c>
    </row>
    <row r="1065" spans="1:16">
      <c r="A1065" s="4">
        <v>46244.586689814816</v>
      </c>
      <c r="B1065" s="2" t="s">
        <v>1430</v>
      </c>
      <c r="C1065" s="2" t="s">
        <v>512</v>
      </c>
      <c r="D1065" s="2" t="s">
        <v>292</v>
      </c>
      <c r="E1065" s="2">
        <v>36</v>
      </c>
      <c r="F1065" s="2"/>
      <c r="G1065" s="2">
        <v>36</v>
      </c>
      <c r="H1065" s="2" t="s">
        <v>349</v>
      </c>
      <c r="I1065" s="2" t="s">
        <v>695</v>
      </c>
      <c r="J1065" s="2" t="s">
        <v>2537</v>
      </c>
      <c r="K1065" s="2" t="s">
        <v>1855</v>
      </c>
      <c r="L1065" s="2" t="s">
        <v>1847</v>
      </c>
      <c r="M1065" s="2" t="str">
        <f t="shared" si="19"/>
        <v>14</v>
      </c>
      <c r="N1065" s="2" t="s">
        <v>2202</v>
      </c>
      <c r="O1065" s="2" t="s">
        <v>4373</v>
      </c>
      <c r="P1065" s="2" t="s">
        <v>4375</v>
      </c>
    </row>
    <row r="1066" spans="1:16">
      <c r="A1066" s="4">
        <v>46244.585844907408</v>
      </c>
      <c r="B1066" s="2" t="s">
        <v>2622</v>
      </c>
      <c r="C1066" s="2" t="s">
        <v>512</v>
      </c>
      <c r="D1066" s="2" t="s">
        <v>292</v>
      </c>
      <c r="E1066" s="2">
        <v>36</v>
      </c>
      <c r="F1066" s="2"/>
      <c r="G1066" s="2">
        <v>36</v>
      </c>
      <c r="H1066" s="2" t="s">
        <v>349</v>
      </c>
      <c r="I1066" s="2" t="s">
        <v>695</v>
      </c>
      <c r="J1066" s="2" t="s">
        <v>2537</v>
      </c>
      <c r="K1066" s="2" t="s">
        <v>1855</v>
      </c>
      <c r="L1066" s="2" t="s">
        <v>1847</v>
      </c>
      <c r="M1066" s="2" t="str">
        <f t="shared" si="19"/>
        <v>14</v>
      </c>
      <c r="N1066" s="2" t="s">
        <v>2294</v>
      </c>
      <c r="O1066" s="2" t="s">
        <v>4373</v>
      </c>
      <c r="P1066" s="2" t="s">
        <v>4375</v>
      </c>
    </row>
    <row r="1067" spans="1:16">
      <c r="A1067" s="4">
        <v>46244.585798611108</v>
      </c>
      <c r="B1067" s="2" t="s">
        <v>1455</v>
      </c>
      <c r="C1067" s="2" t="s">
        <v>512</v>
      </c>
      <c r="D1067" s="2" t="s">
        <v>292</v>
      </c>
      <c r="E1067" s="2">
        <v>36</v>
      </c>
      <c r="F1067" s="2"/>
      <c r="G1067" s="2">
        <v>36</v>
      </c>
      <c r="H1067" s="2" t="s">
        <v>349</v>
      </c>
      <c r="I1067" s="2" t="s">
        <v>695</v>
      </c>
      <c r="J1067" s="2" t="s">
        <v>2537</v>
      </c>
      <c r="K1067" s="2" t="s">
        <v>1855</v>
      </c>
      <c r="L1067" s="2" t="s">
        <v>1847</v>
      </c>
      <c r="M1067" s="2" t="str">
        <f t="shared" si="19"/>
        <v>14</v>
      </c>
      <c r="N1067" s="2" t="s">
        <v>2900</v>
      </c>
      <c r="O1067" s="2" t="s">
        <v>4373</v>
      </c>
      <c r="P1067" s="2" t="s">
        <v>4375</v>
      </c>
    </row>
    <row r="1068" spans="1:16">
      <c r="A1068" s="4">
        <v>46244.584953703707</v>
      </c>
      <c r="B1068" s="2" t="s">
        <v>553</v>
      </c>
      <c r="C1068" s="2" t="s">
        <v>512</v>
      </c>
      <c r="D1068" s="2" t="s">
        <v>292</v>
      </c>
      <c r="E1068" s="2">
        <v>36</v>
      </c>
      <c r="F1068" s="2"/>
      <c r="G1068" s="2">
        <v>36</v>
      </c>
      <c r="H1068" s="2" t="s">
        <v>349</v>
      </c>
      <c r="I1068" s="2" t="s">
        <v>695</v>
      </c>
      <c r="J1068" s="2" t="s">
        <v>2537</v>
      </c>
      <c r="K1068" s="2" t="s">
        <v>1855</v>
      </c>
      <c r="L1068" s="2" t="s">
        <v>1847</v>
      </c>
      <c r="M1068" s="2" t="str">
        <f t="shared" si="19"/>
        <v>14</v>
      </c>
      <c r="N1068" s="2" t="s">
        <v>3850</v>
      </c>
      <c r="O1068" s="2" t="s">
        <v>4373</v>
      </c>
      <c r="P1068" s="2" t="s">
        <v>4375</v>
      </c>
    </row>
    <row r="1069" spans="1:16">
      <c r="A1069" s="4">
        <v>46244.584733796299</v>
      </c>
      <c r="B1069" s="2" t="s">
        <v>4093</v>
      </c>
      <c r="C1069" s="2" t="s">
        <v>512</v>
      </c>
      <c r="D1069" s="2" t="s">
        <v>292</v>
      </c>
      <c r="E1069" s="2">
        <v>36</v>
      </c>
      <c r="F1069" s="2"/>
      <c r="G1069" s="2">
        <v>36</v>
      </c>
      <c r="H1069" s="2" t="s">
        <v>349</v>
      </c>
      <c r="I1069" s="2" t="s">
        <v>695</v>
      </c>
      <c r="J1069" s="2" t="s">
        <v>2537</v>
      </c>
      <c r="K1069" s="2" t="s">
        <v>1855</v>
      </c>
      <c r="L1069" s="2" t="s">
        <v>1847</v>
      </c>
      <c r="M1069" s="2" t="str">
        <f t="shared" si="19"/>
        <v>14</v>
      </c>
      <c r="N1069" s="2" t="s">
        <v>3737</v>
      </c>
      <c r="O1069" s="2" t="s">
        <v>4373</v>
      </c>
      <c r="P1069" s="2" t="s">
        <v>4375</v>
      </c>
    </row>
    <row r="1070" spans="1:16">
      <c r="A1070" s="4">
        <v>46244.583749999998</v>
      </c>
      <c r="B1070" s="2" t="s">
        <v>1142</v>
      </c>
      <c r="C1070" s="2" t="s">
        <v>512</v>
      </c>
      <c r="D1070" s="2" t="s">
        <v>292</v>
      </c>
      <c r="E1070" s="2">
        <v>36</v>
      </c>
      <c r="F1070" s="2"/>
      <c r="G1070" s="2">
        <v>36</v>
      </c>
      <c r="H1070" s="2" t="s">
        <v>349</v>
      </c>
      <c r="I1070" s="2" t="s">
        <v>695</v>
      </c>
      <c r="J1070" s="2" t="s">
        <v>2537</v>
      </c>
      <c r="K1070" s="2" t="s">
        <v>1855</v>
      </c>
      <c r="L1070" s="2" t="s">
        <v>1847</v>
      </c>
      <c r="M1070" s="2" t="str">
        <f t="shared" si="19"/>
        <v>14</v>
      </c>
      <c r="N1070" s="2" t="s">
        <v>4117</v>
      </c>
      <c r="O1070" s="2" t="s">
        <v>4373</v>
      </c>
      <c r="P1070" s="2" t="s">
        <v>4375</v>
      </c>
    </row>
    <row r="1071" spans="1:16">
      <c r="A1071" s="4">
        <v>46244.583321759259</v>
      </c>
      <c r="B1071" s="2" t="s">
        <v>537</v>
      </c>
      <c r="C1071" s="2" t="s">
        <v>512</v>
      </c>
      <c r="D1071" s="2" t="s">
        <v>292</v>
      </c>
      <c r="E1071" s="2">
        <v>36</v>
      </c>
      <c r="F1071" s="2"/>
      <c r="G1071" s="2">
        <v>36</v>
      </c>
      <c r="H1071" s="2" t="s">
        <v>349</v>
      </c>
      <c r="I1071" s="2" t="s">
        <v>695</v>
      </c>
      <c r="J1071" s="2" t="s">
        <v>2537</v>
      </c>
      <c r="K1071" s="2" t="s">
        <v>1855</v>
      </c>
      <c r="L1071" s="2" t="s">
        <v>1847</v>
      </c>
      <c r="M1071" s="2" t="str">
        <f t="shared" si="19"/>
        <v>14</v>
      </c>
      <c r="N1071" s="2" t="s">
        <v>2141</v>
      </c>
      <c r="O1071" s="2" t="s">
        <v>4373</v>
      </c>
      <c r="P1071" s="2" t="s">
        <v>4375</v>
      </c>
    </row>
    <row r="1072" spans="1:16">
      <c r="A1072" s="4">
        <v>46244.582685185182</v>
      </c>
      <c r="B1072" s="2" t="s">
        <v>2434</v>
      </c>
      <c r="C1072" s="2" t="s">
        <v>512</v>
      </c>
      <c r="D1072" s="2" t="s">
        <v>292</v>
      </c>
      <c r="E1072" s="2">
        <v>36</v>
      </c>
      <c r="F1072" s="2"/>
      <c r="G1072" s="2">
        <v>36</v>
      </c>
      <c r="H1072" s="2" t="s">
        <v>349</v>
      </c>
      <c r="I1072" s="2" t="s">
        <v>695</v>
      </c>
      <c r="J1072" s="2" t="s">
        <v>2537</v>
      </c>
      <c r="K1072" s="2" t="s">
        <v>1855</v>
      </c>
      <c r="L1072" s="2" t="s">
        <v>1847</v>
      </c>
      <c r="M1072" s="2" t="str">
        <f t="shared" si="19"/>
        <v>14</v>
      </c>
      <c r="N1072" s="2" t="s">
        <v>2803</v>
      </c>
      <c r="O1072" s="2" t="s">
        <v>4373</v>
      </c>
      <c r="P1072" s="2" t="s">
        <v>4375</v>
      </c>
    </row>
    <row r="1073" spans="1:16">
      <c r="A1073" s="4">
        <v>46244.582650462966</v>
      </c>
      <c r="B1073" s="2" t="s">
        <v>2608</v>
      </c>
      <c r="C1073" s="2" t="s">
        <v>512</v>
      </c>
      <c r="D1073" s="2" t="s">
        <v>292</v>
      </c>
      <c r="E1073" s="2">
        <v>36</v>
      </c>
      <c r="F1073" s="2"/>
      <c r="G1073" s="2">
        <v>36</v>
      </c>
      <c r="H1073" s="2" t="s">
        <v>349</v>
      </c>
      <c r="I1073" s="2" t="s">
        <v>695</v>
      </c>
      <c r="J1073" s="2" t="s">
        <v>2537</v>
      </c>
      <c r="K1073" s="2" t="s">
        <v>1855</v>
      </c>
      <c r="L1073" s="2" t="s">
        <v>1847</v>
      </c>
      <c r="M1073" s="2" t="str">
        <f t="shared" si="19"/>
        <v>14</v>
      </c>
      <c r="N1073" s="2" t="s">
        <v>1664</v>
      </c>
      <c r="O1073" s="2" t="s">
        <v>4373</v>
      </c>
      <c r="P1073" s="2" t="s">
        <v>4375</v>
      </c>
    </row>
    <row r="1074" spans="1:16">
      <c r="A1074" s="4">
        <v>46244.582511574074</v>
      </c>
      <c r="B1074" s="2" t="s">
        <v>3486</v>
      </c>
      <c r="C1074" s="2" t="s">
        <v>512</v>
      </c>
      <c r="D1074" s="2" t="s">
        <v>292</v>
      </c>
      <c r="E1074" s="2">
        <v>36</v>
      </c>
      <c r="F1074" s="2"/>
      <c r="G1074" s="2">
        <v>36</v>
      </c>
      <c r="H1074" s="2" t="s">
        <v>349</v>
      </c>
      <c r="I1074" s="2" t="s">
        <v>695</v>
      </c>
      <c r="J1074" s="2" t="s">
        <v>2537</v>
      </c>
      <c r="K1074" s="2" t="s">
        <v>1855</v>
      </c>
      <c r="L1074" s="2" t="s">
        <v>1847</v>
      </c>
      <c r="M1074" s="2" t="str">
        <f t="shared" si="19"/>
        <v>14</v>
      </c>
      <c r="N1074" s="2" t="s">
        <v>3103</v>
      </c>
      <c r="O1074" s="2" t="s">
        <v>4373</v>
      </c>
      <c r="P1074" s="2" t="s">
        <v>4375</v>
      </c>
    </row>
    <row r="1075" spans="1:16">
      <c r="A1075" s="4">
        <v>46244.582476851851</v>
      </c>
      <c r="B1075" s="2" t="s">
        <v>3791</v>
      </c>
      <c r="C1075" s="2" t="s">
        <v>512</v>
      </c>
      <c r="D1075" s="2" t="s">
        <v>292</v>
      </c>
      <c r="E1075" s="2">
        <v>36</v>
      </c>
      <c r="F1075" s="2"/>
      <c r="G1075" s="2">
        <v>36</v>
      </c>
      <c r="H1075" s="2" t="s">
        <v>349</v>
      </c>
      <c r="I1075" s="2" t="s">
        <v>695</v>
      </c>
      <c r="J1075" s="2" t="s">
        <v>2537</v>
      </c>
      <c r="K1075" s="2" t="s">
        <v>1855</v>
      </c>
      <c r="L1075" s="2" t="s">
        <v>1847</v>
      </c>
      <c r="M1075" s="2" t="str">
        <f t="shared" si="19"/>
        <v>14</v>
      </c>
      <c r="N1075" s="2" t="s">
        <v>1706</v>
      </c>
      <c r="O1075" s="2" t="s">
        <v>4373</v>
      </c>
      <c r="P1075" s="2" t="s">
        <v>4375</v>
      </c>
    </row>
    <row r="1076" spans="1:16">
      <c r="A1076" s="4">
        <v>46244.582418981481</v>
      </c>
      <c r="B1076" s="2" t="s">
        <v>3239</v>
      </c>
      <c r="C1076" s="2" t="s">
        <v>512</v>
      </c>
      <c r="D1076" s="2" t="s">
        <v>292</v>
      </c>
      <c r="E1076" s="2">
        <v>36</v>
      </c>
      <c r="F1076" s="2"/>
      <c r="G1076" s="2">
        <v>36</v>
      </c>
      <c r="H1076" s="2" t="s">
        <v>349</v>
      </c>
      <c r="I1076" s="2" t="s">
        <v>695</v>
      </c>
      <c r="J1076" s="2" t="s">
        <v>2537</v>
      </c>
      <c r="K1076" s="2" t="s">
        <v>1855</v>
      </c>
      <c r="L1076" s="2" t="s">
        <v>1847</v>
      </c>
      <c r="M1076" s="2" t="str">
        <f t="shared" si="19"/>
        <v>14</v>
      </c>
      <c r="N1076" s="2" t="s">
        <v>563</v>
      </c>
      <c r="O1076" s="2" t="s">
        <v>4373</v>
      </c>
      <c r="P1076" s="2" t="s">
        <v>4375</v>
      </c>
    </row>
    <row r="1077" spans="1:16">
      <c r="A1077" s="4">
        <v>46244.582395833335</v>
      </c>
      <c r="B1077" s="2" t="s">
        <v>403</v>
      </c>
      <c r="C1077" s="2" t="s">
        <v>512</v>
      </c>
      <c r="D1077" s="2" t="s">
        <v>292</v>
      </c>
      <c r="E1077" s="2">
        <v>36</v>
      </c>
      <c r="F1077" s="2"/>
      <c r="G1077" s="2">
        <v>36</v>
      </c>
      <c r="H1077" s="2" t="s">
        <v>349</v>
      </c>
      <c r="I1077" s="2" t="s">
        <v>695</v>
      </c>
      <c r="J1077" s="2" t="s">
        <v>2537</v>
      </c>
      <c r="K1077" s="2" t="s">
        <v>1855</v>
      </c>
      <c r="L1077" s="2" t="s">
        <v>1847</v>
      </c>
      <c r="M1077" s="2" t="str">
        <f t="shared" si="19"/>
        <v>14</v>
      </c>
      <c r="N1077" s="2" t="s">
        <v>513</v>
      </c>
      <c r="O1077" s="2" t="s">
        <v>4373</v>
      </c>
      <c r="P1077" s="2" t="s">
        <v>4375</v>
      </c>
    </row>
    <row r="1078" spans="1:16">
      <c r="A1078" s="4">
        <v>46244.581504629627</v>
      </c>
      <c r="B1078" s="2" t="s">
        <v>4244</v>
      </c>
      <c r="C1078" s="2" t="s">
        <v>512</v>
      </c>
      <c r="D1078" s="2" t="s">
        <v>292</v>
      </c>
      <c r="E1078" s="2">
        <v>36</v>
      </c>
      <c r="F1078" s="2"/>
      <c r="G1078" s="2">
        <v>36</v>
      </c>
      <c r="H1078" s="2" t="s">
        <v>349</v>
      </c>
      <c r="I1078" s="2" t="s">
        <v>695</v>
      </c>
      <c r="J1078" s="2" t="s">
        <v>2537</v>
      </c>
      <c r="K1078" s="2" t="s">
        <v>1855</v>
      </c>
      <c r="L1078" s="2" t="s">
        <v>1847</v>
      </c>
      <c r="M1078" s="2" t="str">
        <f t="shared" si="19"/>
        <v>14</v>
      </c>
      <c r="N1078" s="2" t="s">
        <v>3538</v>
      </c>
      <c r="O1078" s="2" t="s">
        <v>4373</v>
      </c>
      <c r="P1078" s="2" t="s">
        <v>4375</v>
      </c>
    </row>
    <row r="1079" spans="1:16">
      <c r="A1079" s="4">
        <v>46244.580081018517</v>
      </c>
      <c r="B1079" s="2" t="s">
        <v>1267</v>
      </c>
      <c r="C1079" s="2" t="s">
        <v>512</v>
      </c>
      <c r="D1079" s="2" t="s">
        <v>292</v>
      </c>
      <c r="E1079" s="2">
        <v>36</v>
      </c>
      <c r="F1079" s="2"/>
      <c r="G1079" s="2">
        <v>36</v>
      </c>
      <c r="H1079" s="2" t="s">
        <v>349</v>
      </c>
      <c r="I1079" s="2" t="s">
        <v>695</v>
      </c>
      <c r="J1079" s="2" t="s">
        <v>2537</v>
      </c>
      <c r="K1079" s="2" t="s">
        <v>1855</v>
      </c>
      <c r="L1079" s="2" t="s">
        <v>1847</v>
      </c>
      <c r="M1079" s="2" t="str">
        <f t="shared" si="19"/>
        <v>14</v>
      </c>
      <c r="N1079" s="2" t="s">
        <v>3736</v>
      </c>
      <c r="O1079" s="2" t="s">
        <v>4373</v>
      </c>
      <c r="P1079" s="2" t="s">
        <v>4375</v>
      </c>
    </row>
    <row r="1080" spans="1:16">
      <c r="A1080" s="4">
        <v>46244.579085648147</v>
      </c>
      <c r="B1080" s="2" t="s">
        <v>4206</v>
      </c>
      <c r="C1080" s="2" t="s">
        <v>512</v>
      </c>
      <c r="D1080" s="2" t="s">
        <v>292</v>
      </c>
      <c r="E1080" s="2">
        <v>36</v>
      </c>
      <c r="F1080" s="2"/>
      <c r="G1080" s="2">
        <v>36</v>
      </c>
      <c r="H1080" s="2" t="s">
        <v>349</v>
      </c>
      <c r="I1080" s="2" t="s">
        <v>695</v>
      </c>
      <c r="J1080" s="2" t="s">
        <v>2537</v>
      </c>
      <c r="K1080" s="2" t="s">
        <v>1855</v>
      </c>
      <c r="L1080" s="2" t="s">
        <v>1847</v>
      </c>
      <c r="M1080" s="2" t="str">
        <f t="shared" si="19"/>
        <v>14</v>
      </c>
      <c r="N1080" s="2" t="s">
        <v>3071</v>
      </c>
      <c r="O1080" s="2" t="s">
        <v>4373</v>
      </c>
      <c r="P1080" s="2" t="s">
        <v>4375</v>
      </c>
    </row>
    <row r="1081" spans="1:16">
      <c r="A1081" s="4">
        <v>46244.578761574077</v>
      </c>
      <c r="B1081" s="2" t="s">
        <v>2532</v>
      </c>
      <c r="C1081" s="2" t="s">
        <v>512</v>
      </c>
      <c r="D1081" s="2" t="s">
        <v>292</v>
      </c>
      <c r="E1081" s="2">
        <v>36</v>
      </c>
      <c r="F1081" s="2"/>
      <c r="G1081" s="2">
        <v>36</v>
      </c>
      <c r="H1081" s="2" t="s">
        <v>349</v>
      </c>
      <c r="I1081" s="2" t="s">
        <v>695</v>
      </c>
      <c r="J1081" s="2" t="s">
        <v>2537</v>
      </c>
      <c r="K1081" s="2" t="s">
        <v>1855</v>
      </c>
      <c r="L1081" s="2" t="s">
        <v>1847</v>
      </c>
      <c r="M1081" s="2" t="str">
        <f t="shared" si="19"/>
        <v>14</v>
      </c>
      <c r="N1081" s="2" t="s">
        <v>950</v>
      </c>
      <c r="O1081" s="2" t="s">
        <v>4373</v>
      </c>
      <c r="P1081" s="2" t="s">
        <v>4375</v>
      </c>
    </row>
    <row r="1082" spans="1:16">
      <c r="A1082" s="4">
        <v>46244.577962962961</v>
      </c>
      <c r="B1082" s="2" t="s">
        <v>1723</v>
      </c>
      <c r="C1082" s="2" t="s">
        <v>512</v>
      </c>
      <c r="D1082" s="2" t="s">
        <v>292</v>
      </c>
      <c r="E1082" s="2">
        <v>36</v>
      </c>
      <c r="F1082" s="2"/>
      <c r="G1082" s="2">
        <v>36</v>
      </c>
      <c r="H1082" s="2" t="s">
        <v>349</v>
      </c>
      <c r="I1082" s="2" t="s">
        <v>695</v>
      </c>
      <c r="J1082" s="2" t="s">
        <v>2537</v>
      </c>
      <c r="K1082" s="2" t="s">
        <v>1855</v>
      </c>
      <c r="L1082" s="2" t="s">
        <v>1847</v>
      </c>
      <c r="M1082" s="2" t="str">
        <f t="shared" si="19"/>
        <v>14</v>
      </c>
      <c r="N1082" s="2" t="s">
        <v>3382</v>
      </c>
      <c r="O1082" s="2" t="s">
        <v>4373</v>
      </c>
      <c r="P1082" s="2" t="s">
        <v>4375</v>
      </c>
    </row>
    <row r="1083" spans="1:16">
      <c r="A1083" s="4">
        <v>46244.577627314815</v>
      </c>
      <c r="B1083" s="2" t="s">
        <v>329</v>
      </c>
      <c r="C1083" s="2" t="s">
        <v>512</v>
      </c>
      <c r="D1083" s="2" t="s">
        <v>292</v>
      </c>
      <c r="E1083" s="2">
        <v>36</v>
      </c>
      <c r="F1083" s="2"/>
      <c r="G1083" s="2">
        <v>36</v>
      </c>
      <c r="H1083" s="2" t="s">
        <v>349</v>
      </c>
      <c r="I1083" s="2" t="s">
        <v>695</v>
      </c>
      <c r="J1083" s="2" t="s">
        <v>2537</v>
      </c>
      <c r="K1083" s="2" t="s">
        <v>1855</v>
      </c>
      <c r="L1083" s="2" t="s">
        <v>1847</v>
      </c>
      <c r="M1083" s="2" t="str">
        <f t="shared" si="19"/>
        <v>14</v>
      </c>
      <c r="N1083" s="2" t="s">
        <v>4215</v>
      </c>
      <c r="O1083" s="2" t="s">
        <v>4373</v>
      </c>
      <c r="P1083" s="2" t="s">
        <v>4375</v>
      </c>
    </row>
    <row r="1084" spans="1:16">
      <c r="A1084" s="4">
        <v>46244.577407407407</v>
      </c>
      <c r="B1084" s="2" t="s">
        <v>900</v>
      </c>
      <c r="C1084" s="2" t="s">
        <v>512</v>
      </c>
      <c r="D1084" s="2" t="s">
        <v>292</v>
      </c>
      <c r="E1084" s="2">
        <v>36</v>
      </c>
      <c r="F1084" s="2"/>
      <c r="G1084" s="2">
        <v>36</v>
      </c>
      <c r="H1084" s="2" t="s">
        <v>349</v>
      </c>
      <c r="I1084" s="2" t="s">
        <v>695</v>
      </c>
      <c r="J1084" s="2" t="s">
        <v>2537</v>
      </c>
      <c r="K1084" s="2" t="s">
        <v>1855</v>
      </c>
      <c r="L1084" s="2" t="s">
        <v>1847</v>
      </c>
      <c r="M1084" s="2" t="str">
        <f t="shared" si="19"/>
        <v>14</v>
      </c>
      <c r="N1084" s="2" t="s">
        <v>3284</v>
      </c>
      <c r="O1084" s="2" t="s">
        <v>4373</v>
      </c>
      <c r="P1084" s="2" t="s">
        <v>4375</v>
      </c>
    </row>
    <row r="1085" spans="1:16">
      <c r="A1085" s="4">
        <v>46244.577013888891</v>
      </c>
      <c r="B1085" s="2" t="s">
        <v>2974</v>
      </c>
      <c r="C1085" s="2" t="s">
        <v>512</v>
      </c>
      <c r="D1085" s="2" t="s">
        <v>292</v>
      </c>
      <c r="E1085" s="2">
        <v>36</v>
      </c>
      <c r="F1085" s="2"/>
      <c r="G1085" s="2">
        <v>36</v>
      </c>
      <c r="H1085" s="2" t="s">
        <v>349</v>
      </c>
      <c r="I1085" s="2" t="s">
        <v>695</v>
      </c>
      <c r="J1085" s="2" t="s">
        <v>2537</v>
      </c>
      <c r="K1085" s="2" t="s">
        <v>1855</v>
      </c>
      <c r="L1085" s="2" t="s">
        <v>1847</v>
      </c>
      <c r="M1085" s="2" t="str">
        <f t="shared" si="19"/>
        <v>14</v>
      </c>
      <c r="N1085" s="2" t="s">
        <v>3048</v>
      </c>
      <c r="O1085" s="2" t="s">
        <v>4373</v>
      </c>
      <c r="P1085" s="2" t="s">
        <v>4375</v>
      </c>
    </row>
    <row r="1086" spans="1:16">
      <c r="A1086" s="4">
        <v>46244.576724537037</v>
      </c>
      <c r="B1086" s="2" t="s">
        <v>3769</v>
      </c>
      <c r="C1086" s="2" t="s">
        <v>512</v>
      </c>
      <c r="D1086" s="2" t="s">
        <v>292</v>
      </c>
      <c r="E1086" s="2">
        <v>36</v>
      </c>
      <c r="F1086" s="2"/>
      <c r="G1086" s="2">
        <v>36</v>
      </c>
      <c r="H1086" s="2" t="s">
        <v>349</v>
      </c>
      <c r="I1086" s="2" t="s">
        <v>695</v>
      </c>
      <c r="J1086" s="2" t="s">
        <v>2537</v>
      </c>
      <c r="K1086" s="2" t="s">
        <v>1855</v>
      </c>
      <c r="L1086" s="2" t="s">
        <v>1847</v>
      </c>
      <c r="M1086" s="2" t="str">
        <f t="shared" si="19"/>
        <v>14</v>
      </c>
      <c r="N1086" s="2" t="s">
        <v>1263</v>
      </c>
      <c r="O1086" s="2" t="s">
        <v>4373</v>
      </c>
      <c r="P1086" s="2" t="s">
        <v>4375</v>
      </c>
    </row>
    <row r="1087" spans="1:16">
      <c r="A1087" s="4">
        <v>46244.576539351852</v>
      </c>
      <c r="B1087" s="2" t="s">
        <v>1408</v>
      </c>
      <c r="C1087" s="2" t="s">
        <v>512</v>
      </c>
      <c r="D1087" s="2" t="s">
        <v>292</v>
      </c>
      <c r="E1087" s="2">
        <v>36</v>
      </c>
      <c r="F1087" s="2"/>
      <c r="G1087" s="2">
        <v>36</v>
      </c>
      <c r="H1087" s="2" t="s">
        <v>349</v>
      </c>
      <c r="I1087" s="2" t="s">
        <v>695</v>
      </c>
      <c r="J1087" s="2" t="s">
        <v>2537</v>
      </c>
      <c r="K1087" s="2" t="s">
        <v>1855</v>
      </c>
      <c r="L1087" s="2" t="s">
        <v>1847</v>
      </c>
      <c r="M1087" s="2" t="str">
        <f t="shared" si="19"/>
        <v>14</v>
      </c>
      <c r="N1087" s="2" t="s">
        <v>1176</v>
      </c>
      <c r="O1087" s="2" t="s">
        <v>4373</v>
      </c>
      <c r="P1087" s="2" t="s">
        <v>4375</v>
      </c>
    </row>
    <row r="1088" spans="1:16">
      <c r="A1088" s="4">
        <v>46244.575787037036</v>
      </c>
      <c r="B1088" s="2" t="s">
        <v>1278</v>
      </c>
      <c r="C1088" s="2" t="s">
        <v>512</v>
      </c>
      <c r="D1088" s="2" t="s">
        <v>292</v>
      </c>
      <c r="E1088" s="2">
        <v>36</v>
      </c>
      <c r="F1088" s="2"/>
      <c r="G1088" s="2">
        <v>36</v>
      </c>
      <c r="H1088" s="2" t="s">
        <v>349</v>
      </c>
      <c r="I1088" s="2" t="s">
        <v>695</v>
      </c>
      <c r="J1088" s="2" t="s">
        <v>2537</v>
      </c>
      <c r="K1088" s="2" t="s">
        <v>1855</v>
      </c>
      <c r="L1088" s="2" t="s">
        <v>1847</v>
      </c>
      <c r="M1088" s="2" t="str">
        <f t="shared" si="19"/>
        <v>14</v>
      </c>
      <c r="N1088" s="2" t="s">
        <v>4212</v>
      </c>
      <c r="O1088" s="2" t="s">
        <v>4373</v>
      </c>
      <c r="P1088" s="2" t="s">
        <v>4375</v>
      </c>
    </row>
    <row r="1089" spans="1:16">
      <c r="A1089" s="4">
        <v>46244.575740740744</v>
      </c>
      <c r="B1089" s="2" t="s">
        <v>4022</v>
      </c>
      <c r="C1089" s="2" t="s">
        <v>512</v>
      </c>
      <c r="D1089" s="2" t="s">
        <v>292</v>
      </c>
      <c r="E1089" s="2">
        <v>36</v>
      </c>
      <c r="F1089" s="2"/>
      <c r="G1089" s="2">
        <v>36</v>
      </c>
      <c r="H1089" s="2" t="s">
        <v>349</v>
      </c>
      <c r="I1089" s="2" t="s">
        <v>695</v>
      </c>
      <c r="J1089" s="2" t="s">
        <v>2537</v>
      </c>
      <c r="K1089" s="2" t="s">
        <v>1855</v>
      </c>
      <c r="L1089" s="2" t="s">
        <v>1847</v>
      </c>
      <c r="M1089" s="2" t="str">
        <f t="shared" si="19"/>
        <v>14</v>
      </c>
      <c r="N1089" s="2" t="s">
        <v>2542</v>
      </c>
      <c r="O1089" s="2" t="s">
        <v>4373</v>
      </c>
      <c r="P1089" s="2" t="s">
        <v>4375</v>
      </c>
    </row>
    <row r="1090" spans="1:16">
      <c r="A1090" s="4">
        <v>46244.574953703705</v>
      </c>
      <c r="B1090" s="2" t="s">
        <v>1462</v>
      </c>
      <c r="C1090" s="2" t="s">
        <v>512</v>
      </c>
      <c r="D1090" s="2" t="s">
        <v>292</v>
      </c>
      <c r="E1090" s="2">
        <v>36</v>
      </c>
      <c r="F1090" s="2"/>
      <c r="G1090" s="2">
        <v>36</v>
      </c>
      <c r="H1090" s="2" t="s">
        <v>349</v>
      </c>
      <c r="I1090" s="2" t="s">
        <v>695</v>
      </c>
      <c r="J1090" s="2" t="s">
        <v>2537</v>
      </c>
      <c r="K1090" s="2" t="s">
        <v>1855</v>
      </c>
      <c r="L1090" s="2" t="s">
        <v>1847</v>
      </c>
      <c r="M1090" s="2" t="str">
        <f t="shared" ref="M1090:M1153" si="20">RIGHT(L1090,2)</f>
        <v>14</v>
      </c>
      <c r="N1090" s="2" t="s">
        <v>3178</v>
      </c>
      <c r="O1090" s="2" t="s">
        <v>4373</v>
      </c>
      <c r="P1090" s="2" t="s">
        <v>4375</v>
      </c>
    </row>
    <row r="1091" spans="1:16">
      <c r="A1091" s="4">
        <v>46244.57471064815</v>
      </c>
      <c r="B1091" s="2" t="s">
        <v>1655</v>
      </c>
      <c r="C1091" s="2" t="s">
        <v>512</v>
      </c>
      <c r="D1091" s="2" t="s">
        <v>292</v>
      </c>
      <c r="E1091" s="2">
        <v>36</v>
      </c>
      <c r="F1091" s="2"/>
      <c r="G1091" s="2">
        <v>36</v>
      </c>
      <c r="H1091" s="2" t="s">
        <v>349</v>
      </c>
      <c r="I1091" s="2" t="s">
        <v>695</v>
      </c>
      <c r="J1091" s="2" t="s">
        <v>2537</v>
      </c>
      <c r="K1091" s="2" t="s">
        <v>1855</v>
      </c>
      <c r="L1091" s="2" t="s">
        <v>1847</v>
      </c>
      <c r="M1091" s="2" t="str">
        <f t="shared" si="20"/>
        <v>14</v>
      </c>
      <c r="N1091" s="2" t="s">
        <v>361</v>
      </c>
      <c r="O1091" s="2" t="s">
        <v>4373</v>
      </c>
      <c r="P1091" s="2" t="s">
        <v>4375</v>
      </c>
    </row>
    <row r="1092" spans="1:16">
      <c r="A1092" s="4">
        <v>46244.574108796296</v>
      </c>
      <c r="B1092" s="2" t="s">
        <v>4088</v>
      </c>
      <c r="C1092" s="2" t="s">
        <v>512</v>
      </c>
      <c r="D1092" s="2" t="s">
        <v>292</v>
      </c>
      <c r="E1092" s="2">
        <v>36</v>
      </c>
      <c r="F1092" s="2"/>
      <c r="G1092" s="2">
        <v>36</v>
      </c>
      <c r="H1092" s="2" t="s">
        <v>349</v>
      </c>
      <c r="I1092" s="2" t="s">
        <v>695</v>
      </c>
      <c r="J1092" s="2" t="s">
        <v>2537</v>
      </c>
      <c r="K1092" s="2" t="s">
        <v>1855</v>
      </c>
      <c r="L1092" s="2" t="s">
        <v>1847</v>
      </c>
      <c r="M1092" s="2" t="str">
        <f t="shared" si="20"/>
        <v>14</v>
      </c>
      <c r="N1092" s="2" t="s">
        <v>919</v>
      </c>
      <c r="O1092" s="2" t="s">
        <v>4373</v>
      </c>
      <c r="P1092" s="2" t="s">
        <v>4375</v>
      </c>
    </row>
    <row r="1093" spans="1:16">
      <c r="A1093" s="4">
        <v>46244.573981481481</v>
      </c>
      <c r="B1093" s="2" t="s">
        <v>3174</v>
      </c>
      <c r="C1093" s="2" t="s">
        <v>512</v>
      </c>
      <c r="D1093" s="2" t="s">
        <v>292</v>
      </c>
      <c r="E1093" s="2">
        <v>36</v>
      </c>
      <c r="F1093" s="2"/>
      <c r="G1093" s="2">
        <v>36</v>
      </c>
      <c r="H1093" s="2" t="s">
        <v>349</v>
      </c>
      <c r="I1093" s="2" t="s">
        <v>695</v>
      </c>
      <c r="J1093" s="2" t="s">
        <v>2537</v>
      </c>
      <c r="K1093" s="2" t="s">
        <v>1855</v>
      </c>
      <c r="L1093" s="2" t="s">
        <v>1847</v>
      </c>
      <c r="M1093" s="2" t="str">
        <f t="shared" si="20"/>
        <v>14</v>
      </c>
      <c r="N1093" s="2" t="s">
        <v>2696</v>
      </c>
      <c r="O1093" s="2" t="s">
        <v>4373</v>
      </c>
      <c r="P1093" s="2" t="s">
        <v>4375</v>
      </c>
    </row>
    <row r="1094" spans="1:16">
      <c r="A1094" s="4">
        <v>46244.572997685187</v>
      </c>
      <c r="B1094" s="2" t="s">
        <v>4287</v>
      </c>
      <c r="C1094" s="2" t="s">
        <v>512</v>
      </c>
      <c r="D1094" s="2" t="s">
        <v>292</v>
      </c>
      <c r="E1094" s="2">
        <v>36</v>
      </c>
      <c r="F1094" s="2"/>
      <c r="G1094" s="2">
        <v>36</v>
      </c>
      <c r="H1094" s="2" t="s">
        <v>349</v>
      </c>
      <c r="I1094" s="2" t="s">
        <v>695</v>
      </c>
      <c r="J1094" s="2" t="s">
        <v>2537</v>
      </c>
      <c r="K1094" s="2" t="s">
        <v>1855</v>
      </c>
      <c r="L1094" s="2" t="s">
        <v>1847</v>
      </c>
      <c r="M1094" s="2" t="str">
        <f t="shared" si="20"/>
        <v>14</v>
      </c>
      <c r="N1094" s="2" t="s">
        <v>2236</v>
      </c>
      <c r="O1094" s="2" t="s">
        <v>4373</v>
      </c>
      <c r="P1094" s="2" t="s">
        <v>4375</v>
      </c>
    </row>
    <row r="1095" spans="1:16">
      <c r="A1095" s="4">
        <v>46244.572835648149</v>
      </c>
      <c r="B1095" s="2" t="s">
        <v>3873</v>
      </c>
      <c r="C1095" s="2" t="s">
        <v>512</v>
      </c>
      <c r="D1095" s="2" t="s">
        <v>292</v>
      </c>
      <c r="E1095" s="2">
        <v>36</v>
      </c>
      <c r="F1095" s="2"/>
      <c r="G1095" s="2">
        <v>36</v>
      </c>
      <c r="H1095" s="2" t="s">
        <v>349</v>
      </c>
      <c r="I1095" s="2" t="s">
        <v>695</v>
      </c>
      <c r="J1095" s="2" t="s">
        <v>2537</v>
      </c>
      <c r="K1095" s="2" t="s">
        <v>1855</v>
      </c>
      <c r="L1095" s="2" t="s">
        <v>1847</v>
      </c>
      <c r="M1095" s="2" t="str">
        <f t="shared" si="20"/>
        <v>14</v>
      </c>
      <c r="N1095" s="2" t="s">
        <v>53</v>
      </c>
      <c r="O1095" s="2" t="s">
        <v>4373</v>
      </c>
      <c r="P1095" s="2" t="s">
        <v>4375</v>
      </c>
    </row>
    <row r="1096" spans="1:16">
      <c r="A1096" s="4">
        <v>46244.27480324074</v>
      </c>
      <c r="B1096" s="2" t="s">
        <v>2801</v>
      </c>
      <c r="C1096" s="2" t="s">
        <v>512</v>
      </c>
      <c r="D1096" s="2" t="s">
        <v>292</v>
      </c>
      <c r="E1096" s="2">
        <v>36</v>
      </c>
      <c r="F1096" s="2"/>
      <c r="G1096" s="2">
        <v>36</v>
      </c>
      <c r="H1096" s="2" t="s">
        <v>4273</v>
      </c>
      <c r="I1096" s="2" t="s">
        <v>695</v>
      </c>
      <c r="J1096" s="2" t="s">
        <v>2537</v>
      </c>
      <c r="K1096" s="2" t="s">
        <v>1855</v>
      </c>
      <c r="L1096" s="2" t="s">
        <v>1847</v>
      </c>
      <c r="M1096" s="2" t="str">
        <f t="shared" si="20"/>
        <v>14</v>
      </c>
      <c r="N1096" s="2" t="s">
        <v>1391</v>
      </c>
      <c r="O1096" s="2" t="s">
        <v>4373</v>
      </c>
      <c r="P1096" s="2" t="s">
        <v>4375</v>
      </c>
    </row>
    <row r="1097" spans="1:16">
      <c r="A1097" s="4">
        <v>46244.274768518517</v>
      </c>
      <c r="B1097" s="2" t="s">
        <v>1123</v>
      </c>
      <c r="C1097" s="2" t="s">
        <v>512</v>
      </c>
      <c r="D1097" s="2" t="s">
        <v>292</v>
      </c>
      <c r="E1097" s="2">
        <v>36</v>
      </c>
      <c r="F1097" s="2"/>
      <c r="G1097" s="2">
        <v>36</v>
      </c>
      <c r="H1097" s="2" t="s">
        <v>4273</v>
      </c>
      <c r="I1097" s="2" t="s">
        <v>695</v>
      </c>
      <c r="J1097" s="2" t="s">
        <v>2537</v>
      </c>
      <c r="K1097" s="2" t="s">
        <v>1855</v>
      </c>
      <c r="L1097" s="2" t="s">
        <v>1847</v>
      </c>
      <c r="M1097" s="2" t="str">
        <f t="shared" si="20"/>
        <v>14</v>
      </c>
      <c r="N1097" s="2" t="s">
        <v>4335</v>
      </c>
      <c r="O1097" s="2" t="s">
        <v>4373</v>
      </c>
      <c r="P1097" s="2" t="s">
        <v>4375</v>
      </c>
    </row>
    <row r="1098" spans="1:16">
      <c r="A1098" s="4">
        <v>46244.273981481485</v>
      </c>
      <c r="B1098" s="2" t="s">
        <v>786</v>
      </c>
      <c r="C1098" s="2" t="s">
        <v>512</v>
      </c>
      <c r="D1098" s="2" t="s">
        <v>292</v>
      </c>
      <c r="E1098" s="2">
        <v>36</v>
      </c>
      <c r="F1098" s="2"/>
      <c r="G1098" s="2">
        <v>36</v>
      </c>
      <c r="H1098" s="2" t="s">
        <v>4273</v>
      </c>
      <c r="I1098" s="2" t="s">
        <v>695</v>
      </c>
      <c r="J1098" s="2" t="s">
        <v>2537</v>
      </c>
      <c r="K1098" s="2" t="s">
        <v>1855</v>
      </c>
      <c r="L1098" s="2" t="s">
        <v>1847</v>
      </c>
      <c r="M1098" s="2" t="str">
        <f t="shared" si="20"/>
        <v>14</v>
      </c>
      <c r="N1098" s="2" t="s">
        <v>3427</v>
      </c>
      <c r="O1098" s="2" t="s">
        <v>4373</v>
      </c>
      <c r="P1098" s="2" t="s">
        <v>4375</v>
      </c>
    </row>
    <row r="1099" spans="1:16">
      <c r="A1099" s="4">
        <v>46244.273842592593</v>
      </c>
      <c r="B1099" s="2" t="s">
        <v>484</v>
      </c>
      <c r="C1099" s="2" t="s">
        <v>512</v>
      </c>
      <c r="D1099" s="2" t="s">
        <v>292</v>
      </c>
      <c r="E1099" s="2">
        <v>36</v>
      </c>
      <c r="F1099" s="2"/>
      <c r="G1099" s="2">
        <v>36</v>
      </c>
      <c r="H1099" s="2" t="s">
        <v>4273</v>
      </c>
      <c r="I1099" s="2" t="s">
        <v>695</v>
      </c>
      <c r="J1099" s="2" t="s">
        <v>2537</v>
      </c>
      <c r="K1099" s="2" t="s">
        <v>1855</v>
      </c>
      <c r="L1099" s="2" t="s">
        <v>1847</v>
      </c>
      <c r="M1099" s="2" t="str">
        <f t="shared" si="20"/>
        <v>14</v>
      </c>
      <c r="N1099" s="2" t="s">
        <v>1356</v>
      </c>
      <c r="O1099" s="2" t="s">
        <v>4373</v>
      </c>
      <c r="P1099" s="2" t="s">
        <v>4375</v>
      </c>
    </row>
    <row r="1100" spans="1:16">
      <c r="A1100" s="4">
        <v>46244.272488425922</v>
      </c>
      <c r="B1100" s="2" t="s">
        <v>356</v>
      </c>
      <c r="C1100" s="2" t="s">
        <v>512</v>
      </c>
      <c r="D1100" s="2" t="s">
        <v>292</v>
      </c>
      <c r="E1100" s="2">
        <v>36</v>
      </c>
      <c r="F1100" s="2"/>
      <c r="G1100" s="2">
        <v>36</v>
      </c>
      <c r="H1100" s="2" t="s">
        <v>4273</v>
      </c>
      <c r="I1100" s="2" t="s">
        <v>695</v>
      </c>
      <c r="J1100" s="2" t="s">
        <v>2537</v>
      </c>
      <c r="K1100" s="2" t="s">
        <v>1855</v>
      </c>
      <c r="L1100" s="2" t="s">
        <v>1847</v>
      </c>
      <c r="M1100" s="2" t="str">
        <f t="shared" si="20"/>
        <v>14</v>
      </c>
      <c r="N1100" s="2" t="s">
        <v>1886</v>
      </c>
      <c r="O1100" s="2" t="s">
        <v>4373</v>
      </c>
      <c r="P1100" s="2" t="s">
        <v>4375</v>
      </c>
    </row>
    <row r="1101" spans="1:16">
      <c r="A1101" s="4">
        <v>46244.272349537037</v>
      </c>
      <c r="B1101" s="2" t="s">
        <v>3314</v>
      </c>
      <c r="C1101" s="2" t="s">
        <v>512</v>
      </c>
      <c r="D1101" s="2" t="s">
        <v>292</v>
      </c>
      <c r="E1101" s="2">
        <v>36</v>
      </c>
      <c r="F1101" s="2"/>
      <c r="G1101" s="2">
        <v>36</v>
      </c>
      <c r="H1101" s="2" t="s">
        <v>4273</v>
      </c>
      <c r="I1101" s="2" t="s">
        <v>695</v>
      </c>
      <c r="J1101" s="2" t="s">
        <v>2537</v>
      </c>
      <c r="K1101" s="2" t="s">
        <v>1855</v>
      </c>
      <c r="L1101" s="2" t="s">
        <v>1847</v>
      </c>
      <c r="M1101" s="2" t="str">
        <f t="shared" si="20"/>
        <v>14</v>
      </c>
      <c r="N1101" s="2" t="s">
        <v>804</v>
      </c>
      <c r="O1101" s="2" t="s">
        <v>4373</v>
      </c>
      <c r="P1101" s="2" t="s">
        <v>4375</v>
      </c>
    </row>
    <row r="1102" spans="1:16">
      <c r="A1102" s="4">
        <v>46244.271331018521</v>
      </c>
      <c r="B1102" s="2" t="s">
        <v>2378</v>
      </c>
      <c r="C1102" s="2" t="s">
        <v>512</v>
      </c>
      <c r="D1102" s="2" t="s">
        <v>292</v>
      </c>
      <c r="E1102" s="2">
        <v>36</v>
      </c>
      <c r="F1102" s="2"/>
      <c r="G1102" s="2">
        <v>36</v>
      </c>
      <c r="H1102" s="2" t="s">
        <v>4273</v>
      </c>
      <c r="I1102" s="2" t="s">
        <v>695</v>
      </c>
      <c r="J1102" s="2" t="s">
        <v>2537</v>
      </c>
      <c r="K1102" s="2" t="s">
        <v>1855</v>
      </c>
      <c r="L1102" s="2" t="s">
        <v>1847</v>
      </c>
      <c r="M1102" s="2" t="str">
        <f t="shared" si="20"/>
        <v>14</v>
      </c>
      <c r="N1102" s="2" t="s">
        <v>3169</v>
      </c>
      <c r="O1102" s="2" t="s">
        <v>4373</v>
      </c>
      <c r="P1102" s="2" t="s">
        <v>4375</v>
      </c>
    </row>
    <row r="1103" spans="1:16">
      <c r="A1103" s="4">
        <v>46244.271307870367</v>
      </c>
      <c r="B1103" s="2" t="s">
        <v>1985</v>
      </c>
      <c r="C1103" s="2" t="s">
        <v>512</v>
      </c>
      <c r="D1103" s="2" t="s">
        <v>292</v>
      </c>
      <c r="E1103" s="2">
        <v>36</v>
      </c>
      <c r="F1103" s="2"/>
      <c r="G1103" s="2">
        <v>36</v>
      </c>
      <c r="H1103" s="2" t="s">
        <v>4273</v>
      </c>
      <c r="I1103" s="2" t="s">
        <v>695</v>
      </c>
      <c r="J1103" s="2" t="s">
        <v>2537</v>
      </c>
      <c r="K1103" s="2" t="s">
        <v>1855</v>
      </c>
      <c r="L1103" s="2" t="s">
        <v>1847</v>
      </c>
      <c r="M1103" s="2" t="str">
        <f t="shared" si="20"/>
        <v>14</v>
      </c>
      <c r="N1103" s="2" t="s">
        <v>699</v>
      </c>
      <c r="O1103" s="2" t="s">
        <v>4373</v>
      </c>
      <c r="P1103" s="2" t="s">
        <v>4375</v>
      </c>
    </row>
    <row r="1104" spans="1:16">
      <c r="A1104" s="4">
        <v>46244.270381944443</v>
      </c>
      <c r="B1104" s="2" t="s">
        <v>1203</v>
      </c>
      <c r="C1104" s="2" t="s">
        <v>512</v>
      </c>
      <c r="D1104" s="2" t="s">
        <v>292</v>
      </c>
      <c r="E1104" s="2">
        <v>36</v>
      </c>
      <c r="F1104" s="2"/>
      <c r="G1104" s="2">
        <v>36</v>
      </c>
      <c r="H1104" s="2" t="s">
        <v>4273</v>
      </c>
      <c r="I1104" s="2" t="s">
        <v>695</v>
      </c>
      <c r="J1104" s="2" t="s">
        <v>2537</v>
      </c>
      <c r="K1104" s="2" t="s">
        <v>1855</v>
      </c>
      <c r="L1104" s="2" t="s">
        <v>1847</v>
      </c>
      <c r="M1104" s="2" t="str">
        <f t="shared" si="20"/>
        <v>14</v>
      </c>
      <c r="N1104" s="2" t="s">
        <v>3810</v>
      </c>
      <c r="O1104" s="2" t="s">
        <v>4373</v>
      </c>
      <c r="P1104" s="2" t="s">
        <v>4375</v>
      </c>
    </row>
    <row r="1105" spans="1:16">
      <c r="A1105" s="4">
        <v>46244.270370370374</v>
      </c>
      <c r="B1105" s="2" t="s">
        <v>3073</v>
      </c>
      <c r="C1105" s="2" t="s">
        <v>512</v>
      </c>
      <c r="D1105" s="2" t="s">
        <v>292</v>
      </c>
      <c r="E1105" s="2">
        <v>36</v>
      </c>
      <c r="F1105" s="2"/>
      <c r="G1105" s="2">
        <v>36</v>
      </c>
      <c r="H1105" s="2" t="s">
        <v>4273</v>
      </c>
      <c r="I1105" s="2" t="s">
        <v>695</v>
      </c>
      <c r="J1105" s="2" t="s">
        <v>2537</v>
      </c>
      <c r="K1105" s="2" t="s">
        <v>1855</v>
      </c>
      <c r="L1105" s="2" t="s">
        <v>1847</v>
      </c>
      <c r="M1105" s="2" t="str">
        <f t="shared" si="20"/>
        <v>14</v>
      </c>
      <c r="N1105" s="2" t="s">
        <v>1333</v>
      </c>
      <c r="O1105" s="2" t="s">
        <v>4373</v>
      </c>
      <c r="P1105" s="2" t="s">
        <v>4375</v>
      </c>
    </row>
    <row r="1106" spans="1:16">
      <c r="A1106" s="4">
        <v>46244.268680555557</v>
      </c>
      <c r="B1106" s="2" t="s">
        <v>3495</v>
      </c>
      <c r="C1106" s="2" t="s">
        <v>512</v>
      </c>
      <c r="D1106" s="2" t="s">
        <v>292</v>
      </c>
      <c r="E1106" s="2">
        <v>36</v>
      </c>
      <c r="F1106" s="2"/>
      <c r="G1106" s="2">
        <v>36</v>
      </c>
      <c r="H1106" s="2" t="s">
        <v>4273</v>
      </c>
      <c r="I1106" s="2" t="s">
        <v>695</v>
      </c>
      <c r="J1106" s="2" t="s">
        <v>2537</v>
      </c>
      <c r="K1106" s="2" t="s">
        <v>1855</v>
      </c>
      <c r="L1106" s="2" t="s">
        <v>1847</v>
      </c>
      <c r="M1106" s="2" t="str">
        <f t="shared" si="20"/>
        <v>14</v>
      </c>
      <c r="N1106" s="2" t="s">
        <v>606</v>
      </c>
      <c r="O1106" s="2" t="s">
        <v>4373</v>
      </c>
      <c r="P1106" s="2" t="s">
        <v>4375</v>
      </c>
    </row>
    <row r="1107" spans="1:16">
      <c r="A1107" s="4">
        <v>46244.268553240741</v>
      </c>
      <c r="B1107" s="2" t="s">
        <v>3372</v>
      </c>
      <c r="C1107" s="2" t="s">
        <v>512</v>
      </c>
      <c r="D1107" s="2" t="s">
        <v>292</v>
      </c>
      <c r="E1107" s="2">
        <v>36</v>
      </c>
      <c r="F1107" s="2"/>
      <c r="G1107" s="2">
        <v>36</v>
      </c>
      <c r="H1107" s="2" t="s">
        <v>4273</v>
      </c>
      <c r="I1107" s="2" t="s">
        <v>695</v>
      </c>
      <c r="J1107" s="2" t="s">
        <v>2537</v>
      </c>
      <c r="K1107" s="2" t="s">
        <v>1855</v>
      </c>
      <c r="L1107" s="2" t="s">
        <v>1847</v>
      </c>
      <c r="M1107" s="2" t="str">
        <f t="shared" si="20"/>
        <v>14</v>
      </c>
      <c r="N1107" s="2" t="s">
        <v>2445</v>
      </c>
      <c r="O1107" s="2" t="s">
        <v>4373</v>
      </c>
      <c r="P1107" s="2" t="s">
        <v>4375</v>
      </c>
    </row>
    <row r="1108" spans="1:16">
      <c r="A1108" s="4">
        <v>46244.26771990741</v>
      </c>
      <c r="B1108" s="2" t="s">
        <v>1021</v>
      </c>
      <c r="C1108" s="2" t="s">
        <v>512</v>
      </c>
      <c r="D1108" s="2" t="s">
        <v>292</v>
      </c>
      <c r="E1108" s="2">
        <v>36</v>
      </c>
      <c r="F1108" s="2"/>
      <c r="G1108" s="2">
        <v>36</v>
      </c>
      <c r="H1108" s="2" t="s">
        <v>4273</v>
      </c>
      <c r="I1108" s="2" t="s">
        <v>695</v>
      </c>
      <c r="J1108" s="2" t="s">
        <v>2537</v>
      </c>
      <c r="K1108" s="2" t="s">
        <v>1855</v>
      </c>
      <c r="L1108" s="2" t="s">
        <v>1847</v>
      </c>
      <c r="M1108" s="2" t="str">
        <f t="shared" si="20"/>
        <v>14</v>
      </c>
      <c r="N1108" s="2" t="s">
        <v>2443</v>
      </c>
      <c r="O1108" s="2" t="s">
        <v>4373</v>
      </c>
      <c r="P1108" s="2" t="s">
        <v>4375</v>
      </c>
    </row>
    <row r="1109" spans="1:16">
      <c r="A1109" s="4">
        <v>46244.267627314817</v>
      </c>
      <c r="B1109" s="2" t="s">
        <v>940</v>
      </c>
      <c r="C1109" s="2" t="s">
        <v>512</v>
      </c>
      <c r="D1109" s="2" t="s">
        <v>292</v>
      </c>
      <c r="E1109" s="2">
        <v>36</v>
      </c>
      <c r="F1109" s="2"/>
      <c r="G1109" s="2">
        <v>36</v>
      </c>
      <c r="H1109" s="2" t="s">
        <v>4273</v>
      </c>
      <c r="I1109" s="2" t="s">
        <v>695</v>
      </c>
      <c r="J1109" s="2" t="s">
        <v>2537</v>
      </c>
      <c r="K1109" s="2" t="s">
        <v>1855</v>
      </c>
      <c r="L1109" s="2" t="s">
        <v>1847</v>
      </c>
      <c r="M1109" s="2" t="str">
        <f t="shared" si="20"/>
        <v>14</v>
      </c>
      <c r="N1109" s="2" t="s">
        <v>2946</v>
      </c>
      <c r="O1109" s="2" t="s">
        <v>4373</v>
      </c>
      <c r="P1109" s="2" t="s">
        <v>4375</v>
      </c>
    </row>
    <row r="1110" spans="1:16">
      <c r="A1110" s="4">
        <v>46244.266770833332</v>
      </c>
      <c r="B1110" s="2" t="s">
        <v>1258</v>
      </c>
      <c r="C1110" s="2" t="s">
        <v>512</v>
      </c>
      <c r="D1110" s="2" t="s">
        <v>292</v>
      </c>
      <c r="E1110" s="2">
        <v>36</v>
      </c>
      <c r="F1110" s="2"/>
      <c r="G1110" s="2">
        <v>36</v>
      </c>
      <c r="H1110" s="2" t="s">
        <v>4273</v>
      </c>
      <c r="I1110" s="2" t="s">
        <v>695</v>
      </c>
      <c r="J1110" s="2" t="s">
        <v>2537</v>
      </c>
      <c r="K1110" s="2" t="s">
        <v>1855</v>
      </c>
      <c r="L1110" s="2" t="s">
        <v>1847</v>
      </c>
      <c r="M1110" s="2" t="str">
        <f t="shared" si="20"/>
        <v>14</v>
      </c>
      <c r="N1110" s="2" t="s">
        <v>3474</v>
      </c>
      <c r="O1110" s="2" t="s">
        <v>4373</v>
      </c>
      <c r="P1110" s="2" t="s">
        <v>4375</v>
      </c>
    </row>
    <row r="1111" spans="1:16">
      <c r="A1111" s="4">
        <v>46244.266608796293</v>
      </c>
      <c r="B1111" s="2" t="s">
        <v>3801</v>
      </c>
      <c r="C1111" s="2" t="s">
        <v>512</v>
      </c>
      <c r="D1111" s="2" t="s">
        <v>292</v>
      </c>
      <c r="E1111" s="2">
        <v>36</v>
      </c>
      <c r="F1111" s="2"/>
      <c r="G1111" s="2">
        <v>36</v>
      </c>
      <c r="H1111" s="2" t="s">
        <v>4273</v>
      </c>
      <c r="I1111" s="2" t="s">
        <v>695</v>
      </c>
      <c r="J1111" s="2" t="s">
        <v>2537</v>
      </c>
      <c r="K1111" s="2" t="s">
        <v>1855</v>
      </c>
      <c r="L1111" s="2" t="s">
        <v>1847</v>
      </c>
      <c r="M1111" s="2" t="str">
        <f t="shared" si="20"/>
        <v>14</v>
      </c>
      <c r="N1111" s="2" t="s">
        <v>2757</v>
      </c>
      <c r="O1111" s="2" t="s">
        <v>4373</v>
      </c>
      <c r="P1111" s="2" t="s">
        <v>4375</v>
      </c>
    </row>
    <row r="1112" spans="1:16">
      <c r="A1112" s="4">
        <v>46244.265752314815</v>
      </c>
      <c r="B1112" s="2" t="s">
        <v>3934</v>
      </c>
      <c r="C1112" s="2" t="s">
        <v>512</v>
      </c>
      <c r="D1112" s="2" t="s">
        <v>292</v>
      </c>
      <c r="E1112" s="2">
        <v>36</v>
      </c>
      <c r="F1112" s="2"/>
      <c r="G1112" s="2">
        <v>36</v>
      </c>
      <c r="H1112" s="2" t="s">
        <v>4273</v>
      </c>
      <c r="I1112" s="2" t="s">
        <v>695</v>
      </c>
      <c r="J1112" s="2" t="s">
        <v>2537</v>
      </c>
      <c r="K1112" s="2" t="s">
        <v>1855</v>
      </c>
      <c r="L1112" s="2" t="s">
        <v>1847</v>
      </c>
      <c r="M1112" s="2" t="str">
        <f t="shared" si="20"/>
        <v>14</v>
      </c>
      <c r="N1112" s="2" t="s">
        <v>3156</v>
      </c>
      <c r="O1112" s="2" t="s">
        <v>4373</v>
      </c>
      <c r="P1112" s="2" t="s">
        <v>4375</v>
      </c>
    </row>
    <row r="1113" spans="1:16">
      <c r="A1113" s="4">
        <v>46244.265694444446</v>
      </c>
      <c r="B1113" s="2" t="s">
        <v>4096</v>
      </c>
      <c r="C1113" s="2" t="s">
        <v>512</v>
      </c>
      <c r="D1113" s="2" t="s">
        <v>292</v>
      </c>
      <c r="E1113" s="2">
        <v>36</v>
      </c>
      <c r="F1113" s="2"/>
      <c r="G1113" s="2">
        <v>36</v>
      </c>
      <c r="H1113" s="2" t="s">
        <v>4273</v>
      </c>
      <c r="I1113" s="2" t="s">
        <v>695</v>
      </c>
      <c r="J1113" s="2" t="s">
        <v>2537</v>
      </c>
      <c r="K1113" s="2" t="s">
        <v>1855</v>
      </c>
      <c r="L1113" s="2" t="s">
        <v>1847</v>
      </c>
      <c r="M1113" s="2" t="str">
        <f t="shared" si="20"/>
        <v>14</v>
      </c>
      <c r="N1113" s="2" t="s">
        <v>3180</v>
      </c>
      <c r="O1113" s="2" t="s">
        <v>4373</v>
      </c>
      <c r="P1113" s="2" t="s">
        <v>4375</v>
      </c>
    </row>
    <row r="1114" spans="1:16">
      <c r="A1114" s="4">
        <v>46244.264965277776</v>
      </c>
      <c r="B1114" s="2" t="s">
        <v>4328</v>
      </c>
      <c r="C1114" s="2" t="s">
        <v>512</v>
      </c>
      <c r="D1114" s="2" t="s">
        <v>292</v>
      </c>
      <c r="E1114" s="2">
        <v>36</v>
      </c>
      <c r="F1114" s="2"/>
      <c r="G1114" s="2">
        <v>36</v>
      </c>
      <c r="H1114" s="2" t="s">
        <v>4273</v>
      </c>
      <c r="I1114" s="2" t="s">
        <v>695</v>
      </c>
      <c r="J1114" s="2" t="s">
        <v>2537</v>
      </c>
      <c r="K1114" s="2" t="s">
        <v>1855</v>
      </c>
      <c r="L1114" s="2" t="s">
        <v>1847</v>
      </c>
      <c r="M1114" s="2" t="str">
        <f t="shared" si="20"/>
        <v>14</v>
      </c>
      <c r="N1114" s="2" t="s">
        <v>2864</v>
      </c>
      <c r="O1114" s="2" t="s">
        <v>4373</v>
      </c>
      <c r="P1114" s="2" t="s">
        <v>4375</v>
      </c>
    </row>
    <row r="1115" spans="1:16">
      <c r="A1115" s="4">
        <v>46244.264664351853</v>
      </c>
      <c r="B1115" s="2" t="s">
        <v>4210</v>
      </c>
      <c r="C1115" s="2" t="s">
        <v>512</v>
      </c>
      <c r="D1115" s="2" t="s">
        <v>292</v>
      </c>
      <c r="E1115" s="2">
        <v>36</v>
      </c>
      <c r="F1115" s="2"/>
      <c r="G1115" s="2">
        <v>36</v>
      </c>
      <c r="H1115" s="2" t="s">
        <v>4273</v>
      </c>
      <c r="I1115" s="2" t="s">
        <v>695</v>
      </c>
      <c r="J1115" s="2" t="s">
        <v>2537</v>
      </c>
      <c r="K1115" s="2" t="s">
        <v>1855</v>
      </c>
      <c r="L1115" s="2" t="s">
        <v>1847</v>
      </c>
      <c r="M1115" s="2" t="str">
        <f t="shared" si="20"/>
        <v>14</v>
      </c>
      <c r="N1115" s="2" t="s">
        <v>551</v>
      </c>
      <c r="O1115" s="2" t="s">
        <v>4373</v>
      </c>
      <c r="P1115" s="2" t="s">
        <v>4375</v>
      </c>
    </row>
    <row r="1116" spans="1:16">
      <c r="A1116" s="4">
        <v>46244.263819444444</v>
      </c>
      <c r="B1116" s="2" t="s">
        <v>4370</v>
      </c>
      <c r="C1116" s="2" t="s">
        <v>512</v>
      </c>
      <c r="D1116" s="2" t="s">
        <v>292</v>
      </c>
      <c r="E1116" s="2">
        <v>36</v>
      </c>
      <c r="F1116" s="2"/>
      <c r="G1116" s="2">
        <v>36</v>
      </c>
      <c r="H1116" s="2" t="s">
        <v>4273</v>
      </c>
      <c r="I1116" s="2" t="s">
        <v>695</v>
      </c>
      <c r="J1116" s="2" t="s">
        <v>2537</v>
      </c>
      <c r="K1116" s="2" t="s">
        <v>1855</v>
      </c>
      <c r="L1116" s="2" t="s">
        <v>1847</v>
      </c>
      <c r="M1116" s="2" t="str">
        <f t="shared" si="20"/>
        <v>14</v>
      </c>
      <c r="N1116" s="2" t="s">
        <v>3698</v>
      </c>
      <c r="O1116" s="2" t="s">
        <v>4373</v>
      </c>
      <c r="P1116" s="2" t="s">
        <v>4375</v>
      </c>
    </row>
    <row r="1117" spans="1:16">
      <c r="A1117" s="4">
        <v>46244.263761574075</v>
      </c>
      <c r="B1117" s="2" t="s">
        <v>3305</v>
      </c>
      <c r="C1117" s="2" t="s">
        <v>512</v>
      </c>
      <c r="D1117" s="2" t="s">
        <v>292</v>
      </c>
      <c r="E1117" s="2">
        <v>36</v>
      </c>
      <c r="F1117" s="2"/>
      <c r="G1117" s="2">
        <v>36</v>
      </c>
      <c r="H1117" s="2" t="s">
        <v>4273</v>
      </c>
      <c r="I1117" s="2" t="s">
        <v>695</v>
      </c>
      <c r="J1117" s="2" t="s">
        <v>2537</v>
      </c>
      <c r="K1117" s="2" t="s">
        <v>1855</v>
      </c>
      <c r="L1117" s="2" t="s">
        <v>1847</v>
      </c>
      <c r="M1117" s="2" t="str">
        <f t="shared" si="20"/>
        <v>14</v>
      </c>
      <c r="N1117" s="2" t="s">
        <v>1050</v>
      </c>
      <c r="O1117" s="2" t="s">
        <v>4373</v>
      </c>
      <c r="P1117" s="2" t="s">
        <v>4375</v>
      </c>
    </row>
    <row r="1118" spans="1:16">
      <c r="A1118" s="4">
        <v>46244.262592592589</v>
      </c>
      <c r="B1118" s="2" t="s">
        <v>1565</v>
      </c>
      <c r="C1118" s="2" t="s">
        <v>512</v>
      </c>
      <c r="D1118" s="2" t="s">
        <v>292</v>
      </c>
      <c r="E1118" s="2">
        <v>36</v>
      </c>
      <c r="F1118" s="2"/>
      <c r="G1118" s="2">
        <v>36</v>
      </c>
      <c r="H1118" s="2" t="s">
        <v>4273</v>
      </c>
      <c r="I1118" s="2" t="s">
        <v>695</v>
      </c>
      <c r="J1118" s="2" t="s">
        <v>2537</v>
      </c>
      <c r="K1118" s="2" t="s">
        <v>1855</v>
      </c>
      <c r="L1118" s="2" t="s">
        <v>1847</v>
      </c>
      <c r="M1118" s="2" t="str">
        <f t="shared" si="20"/>
        <v>14</v>
      </c>
      <c r="N1118" s="2" t="s">
        <v>3523</v>
      </c>
      <c r="O1118" s="2" t="s">
        <v>4373</v>
      </c>
      <c r="P1118" s="2" t="s">
        <v>4375</v>
      </c>
    </row>
    <row r="1119" spans="1:16">
      <c r="A1119" s="4">
        <v>46244.262569444443</v>
      </c>
      <c r="B1119" s="2" t="s">
        <v>2163</v>
      </c>
      <c r="C1119" s="2" t="s">
        <v>512</v>
      </c>
      <c r="D1119" s="2" t="s">
        <v>292</v>
      </c>
      <c r="E1119" s="2">
        <v>36</v>
      </c>
      <c r="F1119" s="2"/>
      <c r="G1119" s="2">
        <v>36</v>
      </c>
      <c r="H1119" s="2" t="s">
        <v>4273</v>
      </c>
      <c r="I1119" s="2" t="s">
        <v>695</v>
      </c>
      <c r="J1119" s="2" t="s">
        <v>2537</v>
      </c>
      <c r="K1119" s="2" t="s">
        <v>1855</v>
      </c>
      <c r="L1119" s="2" t="s">
        <v>1847</v>
      </c>
      <c r="M1119" s="2" t="str">
        <f t="shared" si="20"/>
        <v>14</v>
      </c>
      <c r="N1119" s="2" t="s">
        <v>648</v>
      </c>
      <c r="O1119" s="2" t="s">
        <v>4373</v>
      </c>
      <c r="P1119" s="2" t="s">
        <v>4375</v>
      </c>
    </row>
    <row r="1120" spans="1:16">
      <c r="A1120" s="4">
        <v>46244.262060185189</v>
      </c>
      <c r="B1120" s="2" t="s">
        <v>1312</v>
      </c>
      <c r="C1120" s="2" t="s">
        <v>512</v>
      </c>
      <c r="D1120" s="2" t="s">
        <v>292</v>
      </c>
      <c r="E1120" s="2">
        <v>36</v>
      </c>
      <c r="F1120" s="2"/>
      <c r="G1120" s="2">
        <v>36</v>
      </c>
      <c r="H1120" s="2" t="s">
        <v>4273</v>
      </c>
      <c r="I1120" s="2" t="s">
        <v>695</v>
      </c>
      <c r="J1120" s="2" t="s">
        <v>2537</v>
      </c>
      <c r="K1120" s="2" t="s">
        <v>1855</v>
      </c>
      <c r="L1120" s="2" t="s">
        <v>1847</v>
      </c>
      <c r="M1120" s="2" t="str">
        <f t="shared" si="20"/>
        <v>14</v>
      </c>
      <c r="N1120" s="2" t="s">
        <v>4033</v>
      </c>
      <c r="O1120" s="2" t="s">
        <v>4373</v>
      </c>
      <c r="P1120" s="2" t="s">
        <v>4375</v>
      </c>
    </row>
    <row r="1121" spans="1:28">
      <c r="A1121" s="4">
        <v>46244.261782407404</v>
      </c>
      <c r="B1121" s="2" t="s">
        <v>2708</v>
      </c>
      <c r="C1121" s="2" t="s">
        <v>512</v>
      </c>
      <c r="D1121" s="2" t="s">
        <v>292</v>
      </c>
      <c r="E1121" s="2">
        <v>36</v>
      </c>
      <c r="F1121" s="2"/>
      <c r="G1121" s="2">
        <v>36</v>
      </c>
      <c r="H1121" s="2" t="s">
        <v>4273</v>
      </c>
      <c r="I1121" s="2" t="s">
        <v>695</v>
      </c>
      <c r="J1121" s="2" t="s">
        <v>2537</v>
      </c>
      <c r="K1121" s="2" t="s">
        <v>1855</v>
      </c>
      <c r="L1121" s="2" t="s">
        <v>1847</v>
      </c>
      <c r="M1121" s="2" t="str">
        <f t="shared" si="20"/>
        <v>14</v>
      </c>
      <c r="N1121" s="2" t="s">
        <v>3006</v>
      </c>
      <c r="O1121" s="2" t="s">
        <v>4373</v>
      </c>
      <c r="P1121" s="2" t="s">
        <v>4375</v>
      </c>
    </row>
    <row r="1122" spans="1:28">
      <c r="A1122" s="4">
        <v>46244.261064814818</v>
      </c>
      <c r="B1122" s="2" t="s">
        <v>754</v>
      </c>
      <c r="C1122" s="2" t="s">
        <v>512</v>
      </c>
      <c r="D1122" s="2" t="s">
        <v>292</v>
      </c>
      <c r="E1122" s="2">
        <v>36</v>
      </c>
      <c r="F1122" s="2"/>
      <c r="G1122" s="2">
        <v>36</v>
      </c>
      <c r="H1122" s="2" t="s">
        <v>4273</v>
      </c>
      <c r="I1122" s="2" t="s">
        <v>695</v>
      </c>
      <c r="J1122" s="2" t="s">
        <v>2537</v>
      </c>
      <c r="K1122" s="2" t="s">
        <v>1855</v>
      </c>
      <c r="L1122" s="2" t="s">
        <v>1847</v>
      </c>
      <c r="M1122" s="2" t="str">
        <f t="shared" si="20"/>
        <v>14</v>
      </c>
      <c r="N1122" s="2" t="s">
        <v>1446</v>
      </c>
      <c r="O1122" s="2" t="s">
        <v>4373</v>
      </c>
      <c r="P1122" s="2" t="s">
        <v>4375</v>
      </c>
    </row>
    <row r="1123" spans="1:28">
      <c r="A1123" s="4">
        <v>46244.26090277778</v>
      </c>
      <c r="B1123" s="2" t="s">
        <v>916</v>
      </c>
      <c r="C1123" s="2" t="s">
        <v>512</v>
      </c>
      <c r="D1123" s="2" t="s">
        <v>292</v>
      </c>
      <c r="E1123" s="2">
        <v>36</v>
      </c>
      <c r="F1123" s="2"/>
      <c r="G1123" s="2">
        <v>36</v>
      </c>
      <c r="H1123" s="2" t="s">
        <v>4273</v>
      </c>
      <c r="I1123" s="2" t="s">
        <v>695</v>
      </c>
      <c r="J1123" s="2" t="s">
        <v>2537</v>
      </c>
      <c r="K1123" s="2" t="s">
        <v>1855</v>
      </c>
      <c r="L1123" s="2" t="s">
        <v>1847</v>
      </c>
      <c r="M1123" s="2" t="str">
        <f t="shared" si="20"/>
        <v>14</v>
      </c>
      <c r="N1123" s="2" t="s">
        <v>3535</v>
      </c>
      <c r="O1123" s="2" t="s">
        <v>4373</v>
      </c>
      <c r="P1123" s="2" t="s">
        <v>4375</v>
      </c>
    </row>
    <row r="1124" spans="1:28">
      <c r="A1124" s="4">
        <v>46244.259918981479</v>
      </c>
      <c r="B1124" s="2" t="s">
        <v>2306</v>
      </c>
      <c r="C1124" s="2" t="s">
        <v>512</v>
      </c>
      <c r="D1124" s="2" t="s">
        <v>292</v>
      </c>
      <c r="E1124" s="2">
        <v>36</v>
      </c>
      <c r="F1124" s="2"/>
      <c r="G1124" s="2">
        <v>36</v>
      </c>
      <c r="H1124" s="2" t="s">
        <v>4273</v>
      </c>
      <c r="I1124" s="2" t="s">
        <v>695</v>
      </c>
      <c r="J1124" s="2" t="s">
        <v>2537</v>
      </c>
      <c r="K1124" s="2" t="s">
        <v>1855</v>
      </c>
      <c r="L1124" s="2" t="s">
        <v>1847</v>
      </c>
      <c r="M1124" s="2" t="str">
        <f t="shared" si="20"/>
        <v>14</v>
      </c>
      <c r="N1124" s="2" t="s">
        <v>1017</v>
      </c>
      <c r="O1124" s="2" t="s">
        <v>4373</v>
      </c>
      <c r="P1124" s="2" t="s">
        <v>4375</v>
      </c>
    </row>
    <row r="1125" spans="1:28">
      <c r="A1125" s="4">
        <v>46244.25984953704</v>
      </c>
      <c r="B1125" s="2" t="s">
        <v>2</v>
      </c>
      <c r="C1125" s="2" t="s">
        <v>512</v>
      </c>
      <c r="D1125" s="2" t="s">
        <v>292</v>
      </c>
      <c r="E1125" s="2">
        <v>36</v>
      </c>
      <c r="F1125" s="2"/>
      <c r="G1125" s="2">
        <v>36</v>
      </c>
      <c r="H1125" s="2" t="s">
        <v>4273</v>
      </c>
      <c r="I1125" s="2" t="s">
        <v>695</v>
      </c>
      <c r="J1125" s="2" t="s">
        <v>2537</v>
      </c>
      <c r="K1125" s="2" t="s">
        <v>1855</v>
      </c>
      <c r="L1125" s="2" t="s">
        <v>1847</v>
      </c>
      <c r="M1125" s="2" t="str">
        <f t="shared" si="20"/>
        <v>14</v>
      </c>
      <c r="N1125" s="2" t="s">
        <v>1369</v>
      </c>
      <c r="O1125" s="2" t="s">
        <v>4373</v>
      </c>
      <c r="P1125" s="2" t="s">
        <v>4375</v>
      </c>
    </row>
    <row r="1126" spans="1:28">
      <c r="A1126" s="4">
        <v>46244.259120370371</v>
      </c>
      <c r="B1126" s="2" t="s">
        <v>3660</v>
      </c>
      <c r="C1126" s="2" t="s">
        <v>512</v>
      </c>
      <c r="D1126" s="2" t="s">
        <v>292</v>
      </c>
      <c r="E1126" s="2">
        <v>36</v>
      </c>
      <c r="F1126" s="2"/>
      <c r="G1126" s="2">
        <v>36</v>
      </c>
      <c r="H1126" s="2" t="s">
        <v>4273</v>
      </c>
      <c r="I1126" s="2" t="s">
        <v>695</v>
      </c>
      <c r="J1126" s="2" t="s">
        <v>2537</v>
      </c>
      <c r="K1126" s="2" t="s">
        <v>1855</v>
      </c>
      <c r="L1126" s="2" t="s">
        <v>1847</v>
      </c>
      <c r="M1126" s="2" t="str">
        <f t="shared" si="20"/>
        <v>14</v>
      </c>
      <c r="N1126" s="2" t="s">
        <v>2743</v>
      </c>
      <c r="O1126" s="2" t="s">
        <v>4373</v>
      </c>
      <c r="P1126" s="2" t="s">
        <v>4375</v>
      </c>
    </row>
    <row r="1127" spans="1:28">
      <c r="A1127" s="4">
        <v>46244.259108796294</v>
      </c>
      <c r="B1127" s="2" t="s">
        <v>3471</v>
      </c>
      <c r="C1127" s="2" t="s">
        <v>512</v>
      </c>
      <c r="D1127" s="2" t="s">
        <v>292</v>
      </c>
      <c r="E1127" s="2">
        <v>36</v>
      </c>
      <c r="F1127" s="2"/>
      <c r="G1127" s="2">
        <v>36</v>
      </c>
      <c r="H1127" s="2" t="s">
        <v>4273</v>
      </c>
      <c r="I1127" s="2" t="s">
        <v>695</v>
      </c>
      <c r="J1127" s="2" t="s">
        <v>2537</v>
      </c>
      <c r="K1127" s="2" t="s">
        <v>1855</v>
      </c>
      <c r="L1127" s="2" t="s">
        <v>1847</v>
      </c>
      <c r="M1127" s="2" t="str">
        <f t="shared" si="20"/>
        <v>14</v>
      </c>
      <c r="N1127" s="2" t="s">
        <v>2222</v>
      </c>
      <c r="O1127" s="2" t="s">
        <v>4373</v>
      </c>
      <c r="P1127" s="2" t="s">
        <v>4375</v>
      </c>
    </row>
    <row r="1128" spans="1:28">
      <c r="A1128" s="4">
        <v>46244.257905092592</v>
      </c>
      <c r="B1128" s="2" t="s">
        <v>982</v>
      </c>
      <c r="C1128" s="2" t="s">
        <v>512</v>
      </c>
      <c r="D1128" s="2" t="s">
        <v>292</v>
      </c>
      <c r="E1128" s="2">
        <v>36</v>
      </c>
      <c r="F1128" s="2"/>
      <c r="G1128" s="2">
        <v>36</v>
      </c>
      <c r="H1128" s="2" t="s">
        <v>4273</v>
      </c>
      <c r="I1128" s="2" t="s">
        <v>695</v>
      </c>
      <c r="J1128" s="2" t="s">
        <v>2537</v>
      </c>
      <c r="K1128" s="2" t="s">
        <v>1855</v>
      </c>
      <c r="L1128" s="2" t="s">
        <v>1847</v>
      </c>
      <c r="M1128" s="2" t="str">
        <f t="shared" si="20"/>
        <v>14</v>
      </c>
      <c r="N1128" s="2" t="s">
        <v>2905</v>
      </c>
      <c r="O1128" s="2" t="s">
        <v>4373</v>
      </c>
      <c r="P1128" s="2" t="s">
        <v>4375</v>
      </c>
    </row>
    <row r="1129" spans="1:28">
      <c r="A1129" s="4">
        <v>46244.257789351854</v>
      </c>
      <c r="B1129" s="2" t="s">
        <v>3764</v>
      </c>
      <c r="C1129" s="2" t="s">
        <v>512</v>
      </c>
      <c r="D1129" s="2" t="s">
        <v>292</v>
      </c>
      <c r="E1129" s="2">
        <v>36</v>
      </c>
      <c r="F1129" s="2"/>
      <c r="G1129" s="2">
        <v>36</v>
      </c>
      <c r="H1129" s="2" t="s">
        <v>4273</v>
      </c>
      <c r="I1129" s="2" t="s">
        <v>695</v>
      </c>
      <c r="J1129" s="2" t="s">
        <v>2537</v>
      </c>
      <c r="K1129" s="2" t="s">
        <v>1855</v>
      </c>
      <c r="L1129" s="2" t="s">
        <v>1847</v>
      </c>
      <c r="M1129" s="2" t="str">
        <f t="shared" si="20"/>
        <v>14</v>
      </c>
      <c r="N1129" s="2" t="s">
        <v>318</v>
      </c>
      <c r="O1129" s="2" t="s">
        <v>4373</v>
      </c>
      <c r="P1129" s="2" t="s">
        <v>4375</v>
      </c>
    </row>
    <row r="1130" spans="1:28">
      <c r="A1130" s="4">
        <v>46244.256701388891</v>
      </c>
      <c r="B1130" s="2" t="s">
        <v>1693</v>
      </c>
      <c r="C1130" s="2" t="s">
        <v>512</v>
      </c>
      <c r="D1130" s="2" t="s">
        <v>292</v>
      </c>
      <c r="E1130" s="2">
        <v>36</v>
      </c>
      <c r="F1130" s="2"/>
      <c r="G1130" s="2">
        <v>36</v>
      </c>
      <c r="H1130" s="2" t="s">
        <v>4273</v>
      </c>
      <c r="I1130" s="2" t="s">
        <v>695</v>
      </c>
      <c r="J1130" s="2" t="s">
        <v>2537</v>
      </c>
      <c r="K1130" s="2" t="s">
        <v>1855</v>
      </c>
      <c r="L1130" s="2" t="s">
        <v>1847</v>
      </c>
      <c r="M1130" s="2" t="str">
        <f t="shared" si="20"/>
        <v>14</v>
      </c>
      <c r="N1130" s="2" t="s">
        <v>3510</v>
      </c>
      <c r="O1130" s="2" t="s">
        <v>4373</v>
      </c>
      <c r="P1130" s="2" t="s">
        <v>4375</v>
      </c>
    </row>
    <row r="1131" spans="1:28">
      <c r="A1131" s="4">
        <v>46244.256655092591</v>
      </c>
      <c r="B1131" s="2" t="s">
        <v>3329</v>
      </c>
      <c r="C1131" s="2" t="s">
        <v>512</v>
      </c>
      <c r="D1131" s="2" t="s">
        <v>292</v>
      </c>
      <c r="E1131" s="2">
        <v>36</v>
      </c>
      <c r="F1131" s="2"/>
      <c r="G1131" s="2">
        <v>36</v>
      </c>
      <c r="H1131" s="2" t="s">
        <v>4273</v>
      </c>
      <c r="I1131" s="2" t="s">
        <v>695</v>
      </c>
      <c r="J1131" s="2" t="s">
        <v>2537</v>
      </c>
      <c r="K1131" s="2" t="s">
        <v>1855</v>
      </c>
      <c r="L1131" s="2" t="s">
        <v>1847</v>
      </c>
      <c r="M1131" s="2" t="str">
        <f t="shared" si="20"/>
        <v>14</v>
      </c>
      <c r="N1131" s="2" t="s">
        <v>2792</v>
      </c>
      <c r="O1131" s="2" t="s">
        <v>4373</v>
      </c>
      <c r="P1131" s="2" t="s">
        <v>4375</v>
      </c>
    </row>
    <row r="1132" spans="1:28">
      <c r="A1132" s="4">
        <v>46244.25571759259</v>
      </c>
      <c r="B1132" s="2" t="s">
        <v>1946</v>
      </c>
      <c r="C1132" s="2" t="s">
        <v>512</v>
      </c>
      <c r="D1132" s="2" t="s">
        <v>292</v>
      </c>
      <c r="E1132" s="2">
        <v>36</v>
      </c>
      <c r="F1132" s="2"/>
      <c r="G1132" s="2">
        <v>36</v>
      </c>
      <c r="H1132" s="2" t="s">
        <v>4273</v>
      </c>
      <c r="I1132" s="2" t="s">
        <v>695</v>
      </c>
      <c r="J1132" s="2" t="s">
        <v>2537</v>
      </c>
      <c r="K1132" s="2" t="s">
        <v>1855</v>
      </c>
      <c r="L1132" s="2" t="s">
        <v>1847</v>
      </c>
      <c r="M1132" s="2" t="str">
        <f t="shared" si="20"/>
        <v>14</v>
      </c>
      <c r="N1132" s="2" t="s">
        <v>3090</v>
      </c>
      <c r="O1132" s="2" t="s">
        <v>4373</v>
      </c>
      <c r="P1132" s="2" t="s">
        <v>4375</v>
      </c>
    </row>
    <row r="1133" spans="1:28">
      <c r="A1133" s="4">
        <v>46244.255532407406</v>
      </c>
      <c r="B1133" s="2" t="s">
        <v>32</v>
      </c>
      <c r="C1133" s="2" t="s">
        <v>512</v>
      </c>
      <c r="D1133" s="2" t="s">
        <v>292</v>
      </c>
      <c r="E1133" s="2">
        <v>36</v>
      </c>
      <c r="F1133" s="2"/>
      <c r="G1133" s="2">
        <v>36</v>
      </c>
      <c r="H1133" s="2" t="s">
        <v>4273</v>
      </c>
      <c r="I1133" s="2" t="s">
        <v>695</v>
      </c>
      <c r="J1133" s="2" t="s">
        <v>2537</v>
      </c>
      <c r="K1133" s="2" t="s">
        <v>1855</v>
      </c>
      <c r="L1133" s="2" t="s">
        <v>1847</v>
      </c>
      <c r="M1133" s="2" t="str">
        <f t="shared" si="20"/>
        <v>14</v>
      </c>
      <c r="N1133" s="2" t="s">
        <v>619</v>
      </c>
      <c r="O1133" s="2" t="s">
        <v>4373</v>
      </c>
      <c r="P1133" s="2" t="s">
        <v>4375</v>
      </c>
    </row>
    <row r="1134" spans="1:28">
      <c r="A1134" s="4">
        <v>46244.254664351851</v>
      </c>
      <c r="B1134" s="2" t="s">
        <v>2058</v>
      </c>
      <c r="C1134" s="2" t="s">
        <v>512</v>
      </c>
      <c r="D1134" s="2" t="s">
        <v>292</v>
      </c>
      <c r="E1134" s="2">
        <v>36</v>
      </c>
      <c r="F1134" s="2"/>
      <c r="G1134" s="2">
        <v>36</v>
      </c>
      <c r="H1134" s="2" t="s">
        <v>4273</v>
      </c>
      <c r="I1134" s="2" t="s">
        <v>695</v>
      </c>
      <c r="J1134" s="2" t="s">
        <v>2537</v>
      </c>
      <c r="K1134" s="2" t="s">
        <v>1855</v>
      </c>
      <c r="L1134" s="2" t="s">
        <v>1847</v>
      </c>
      <c r="M1134" s="2" t="str">
        <f t="shared" si="20"/>
        <v>14</v>
      </c>
      <c r="N1134" s="2" t="s">
        <v>2644</v>
      </c>
      <c r="O1134" s="2" t="s">
        <v>4373</v>
      </c>
      <c r="P1134" s="2" t="s">
        <v>4375</v>
      </c>
      <c r="R1134" s="17"/>
      <c r="S1134" s="17"/>
      <c r="T1134" s="17"/>
      <c r="U1134" s="17"/>
      <c r="V1134" s="17"/>
      <c r="W1134" s="17"/>
      <c r="X1134" s="17"/>
      <c r="Y1134" s="17"/>
      <c r="Z1134" s="17"/>
      <c r="AA1134" s="18"/>
      <c r="AB1134" s="17"/>
    </row>
    <row r="1135" spans="1:28">
      <c r="A1135" s="4">
        <v>46244.254606481481</v>
      </c>
      <c r="B1135" s="2" t="s">
        <v>945</v>
      </c>
      <c r="C1135" s="2" t="s">
        <v>512</v>
      </c>
      <c r="D1135" s="2" t="s">
        <v>292</v>
      </c>
      <c r="E1135" s="2">
        <v>36</v>
      </c>
      <c r="F1135" s="2"/>
      <c r="G1135" s="2">
        <v>36</v>
      </c>
      <c r="H1135" s="2" t="s">
        <v>4273</v>
      </c>
      <c r="I1135" s="2" t="s">
        <v>695</v>
      </c>
      <c r="J1135" s="2" t="s">
        <v>2537</v>
      </c>
      <c r="K1135" s="2" t="s">
        <v>1855</v>
      </c>
      <c r="L1135" s="2" t="s">
        <v>1847</v>
      </c>
      <c r="M1135" s="2" t="str">
        <f t="shared" si="20"/>
        <v>14</v>
      </c>
      <c r="N1135" s="2" t="s">
        <v>839</v>
      </c>
      <c r="O1135" s="2" t="s">
        <v>4373</v>
      </c>
      <c r="P1135" s="2" t="s">
        <v>4375</v>
      </c>
      <c r="R1135" s="17"/>
      <c r="S1135" s="17"/>
      <c r="T1135" s="17"/>
      <c r="U1135" s="17"/>
      <c r="V1135" s="17"/>
      <c r="W1135" s="17"/>
      <c r="X1135" s="17"/>
      <c r="Y1135" s="17"/>
      <c r="Z1135" s="17"/>
      <c r="AA1135" s="18"/>
      <c r="AB1135" s="17"/>
    </row>
    <row r="1136" spans="1:28">
      <c r="A1136" s="4">
        <v>46249.844571759262</v>
      </c>
      <c r="B1136" s="2" t="s">
        <v>3081</v>
      </c>
      <c r="C1136" s="2" t="s">
        <v>3149</v>
      </c>
      <c r="D1136" s="2" t="s">
        <v>1727</v>
      </c>
      <c r="E1136" s="2">
        <v>80</v>
      </c>
      <c r="F1136" s="2"/>
      <c r="G1136" s="2">
        <v>80</v>
      </c>
      <c r="H1136" s="2" t="s">
        <v>435</v>
      </c>
      <c r="I1136" s="2" t="s">
        <v>695</v>
      </c>
      <c r="J1136" s="2" t="s">
        <v>2537</v>
      </c>
      <c r="K1136" s="2" t="s">
        <v>1855</v>
      </c>
      <c r="L1136" s="2" t="s">
        <v>2399</v>
      </c>
      <c r="M1136" s="2" t="str">
        <f t="shared" si="20"/>
        <v>05</v>
      </c>
      <c r="N1136" s="2" t="s">
        <v>2128</v>
      </c>
      <c r="O1136" s="2" t="s">
        <v>4373</v>
      </c>
      <c r="P1136" s="2" t="s">
        <v>4378</v>
      </c>
    </row>
    <row r="1137" spans="1:16">
      <c r="A1137" s="4">
        <v>46249.844317129631</v>
      </c>
      <c r="B1137" s="2" t="s">
        <v>4072</v>
      </c>
      <c r="C1137" s="2" t="s">
        <v>3149</v>
      </c>
      <c r="D1137" s="2" t="s">
        <v>1727</v>
      </c>
      <c r="E1137" s="2">
        <v>80</v>
      </c>
      <c r="F1137" s="2"/>
      <c r="G1137" s="2">
        <v>80</v>
      </c>
      <c r="H1137" s="2" t="s">
        <v>435</v>
      </c>
      <c r="I1137" s="2" t="s">
        <v>695</v>
      </c>
      <c r="J1137" s="2" t="s">
        <v>2537</v>
      </c>
      <c r="K1137" s="2" t="s">
        <v>1855</v>
      </c>
      <c r="L1137" s="2" t="s">
        <v>2399</v>
      </c>
      <c r="M1137" s="2" t="str">
        <f t="shared" si="20"/>
        <v>05</v>
      </c>
      <c r="N1137" s="2" t="s">
        <v>771</v>
      </c>
      <c r="O1137" s="2" t="s">
        <v>4373</v>
      </c>
      <c r="P1137" s="2" t="s">
        <v>4378</v>
      </c>
    </row>
    <row r="1138" spans="1:16">
      <c r="A1138" s="4">
        <v>46249.843229166669</v>
      </c>
      <c r="B1138" s="2" t="s">
        <v>1993</v>
      </c>
      <c r="C1138" s="2" t="s">
        <v>3149</v>
      </c>
      <c r="D1138" s="2" t="s">
        <v>1727</v>
      </c>
      <c r="E1138" s="2">
        <v>80</v>
      </c>
      <c r="F1138" s="2"/>
      <c r="G1138" s="2">
        <v>80</v>
      </c>
      <c r="H1138" s="2" t="s">
        <v>435</v>
      </c>
      <c r="I1138" s="2" t="s">
        <v>695</v>
      </c>
      <c r="J1138" s="2" t="s">
        <v>2537</v>
      </c>
      <c r="K1138" s="2" t="s">
        <v>1855</v>
      </c>
      <c r="L1138" s="2" t="s">
        <v>2399</v>
      </c>
      <c r="M1138" s="2" t="str">
        <f t="shared" si="20"/>
        <v>05</v>
      </c>
      <c r="N1138" s="2" t="s">
        <v>2166</v>
      </c>
      <c r="O1138" s="2" t="s">
        <v>4373</v>
      </c>
      <c r="P1138" s="2" t="s">
        <v>4378</v>
      </c>
    </row>
    <row r="1139" spans="1:16">
      <c r="A1139" s="4">
        <v>46249.843182870369</v>
      </c>
      <c r="B1139" s="2" t="s">
        <v>3623</v>
      </c>
      <c r="C1139" s="2" t="s">
        <v>3149</v>
      </c>
      <c r="D1139" s="2" t="s">
        <v>1727</v>
      </c>
      <c r="E1139" s="2">
        <v>80</v>
      </c>
      <c r="F1139" s="2"/>
      <c r="G1139" s="2">
        <v>80</v>
      </c>
      <c r="H1139" s="2" t="s">
        <v>435</v>
      </c>
      <c r="I1139" s="2" t="s">
        <v>695</v>
      </c>
      <c r="J1139" s="2" t="s">
        <v>2537</v>
      </c>
      <c r="K1139" s="2" t="s">
        <v>1855</v>
      </c>
      <c r="L1139" s="2" t="s">
        <v>2399</v>
      </c>
      <c r="M1139" s="2" t="str">
        <f t="shared" si="20"/>
        <v>05</v>
      </c>
      <c r="N1139" s="2" t="s">
        <v>831</v>
      </c>
      <c r="O1139" s="2" t="s">
        <v>4373</v>
      </c>
      <c r="P1139" s="2" t="s">
        <v>4378</v>
      </c>
    </row>
    <row r="1140" spans="1:16">
      <c r="A1140" s="4">
        <v>46249.843124999999</v>
      </c>
      <c r="B1140" s="2" t="s">
        <v>2124</v>
      </c>
      <c r="C1140" s="2" t="s">
        <v>3149</v>
      </c>
      <c r="D1140" s="2" t="s">
        <v>1727</v>
      </c>
      <c r="E1140" s="2">
        <v>80</v>
      </c>
      <c r="F1140" s="2"/>
      <c r="G1140" s="2">
        <v>80</v>
      </c>
      <c r="H1140" s="2" t="s">
        <v>435</v>
      </c>
      <c r="I1140" s="2" t="s">
        <v>695</v>
      </c>
      <c r="J1140" s="2" t="s">
        <v>2537</v>
      </c>
      <c r="K1140" s="2" t="s">
        <v>1855</v>
      </c>
      <c r="L1140" s="2" t="s">
        <v>2399</v>
      </c>
      <c r="M1140" s="2" t="str">
        <f t="shared" si="20"/>
        <v>05</v>
      </c>
      <c r="N1140" s="2" t="s">
        <v>4061</v>
      </c>
      <c r="O1140" s="2" t="s">
        <v>4373</v>
      </c>
      <c r="P1140" s="2" t="s">
        <v>4378</v>
      </c>
    </row>
    <row r="1141" spans="1:16">
      <c r="A1141" s="4">
        <v>46249.841458333336</v>
      </c>
      <c r="B1141" s="2" t="s">
        <v>2350</v>
      </c>
      <c r="C1141" s="2" t="s">
        <v>3149</v>
      </c>
      <c r="D1141" s="2" t="s">
        <v>1727</v>
      </c>
      <c r="E1141" s="2">
        <v>80</v>
      </c>
      <c r="F1141" s="2"/>
      <c r="G1141" s="2">
        <v>80</v>
      </c>
      <c r="H1141" s="2" t="s">
        <v>435</v>
      </c>
      <c r="I1141" s="2" t="s">
        <v>695</v>
      </c>
      <c r="J1141" s="2" t="s">
        <v>2537</v>
      </c>
      <c r="K1141" s="2" t="s">
        <v>1855</v>
      </c>
      <c r="L1141" s="2" t="s">
        <v>2399</v>
      </c>
      <c r="M1141" s="2" t="str">
        <f t="shared" si="20"/>
        <v>05</v>
      </c>
      <c r="N1141" s="2" t="s">
        <v>1003</v>
      </c>
      <c r="O1141" s="2" t="s">
        <v>4373</v>
      </c>
      <c r="P1141" s="2" t="s">
        <v>4378</v>
      </c>
    </row>
    <row r="1142" spans="1:16">
      <c r="A1142" s="4">
        <v>46249.841446759259</v>
      </c>
      <c r="B1142" s="2" t="s">
        <v>582</v>
      </c>
      <c r="C1142" s="2" t="s">
        <v>3149</v>
      </c>
      <c r="D1142" s="2" t="s">
        <v>1727</v>
      </c>
      <c r="E1142" s="2">
        <v>80</v>
      </c>
      <c r="F1142" s="2"/>
      <c r="G1142" s="2">
        <v>80</v>
      </c>
      <c r="H1142" s="2" t="s">
        <v>435</v>
      </c>
      <c r="I1142" s="2" t="s">
        <v>695</v>
      </c>
      <c r="J1142" s="2" t="s">
        <v>2537</v>
      </c>
      <c r="K1142" s="2" t="s">
        <v>1855</v>
      </c>
      <c r="L1142" s="2" t="s">
        <v>2399</v>
      </c>
      <c r="M1142" s="2" t="str">
        <f t="shared" si="20"/>
        <v>05</v>
      </c>
      <c r="N1142" s="2" t="s">
        <v>3293</v>
      </c>
      <c r="O1142" s="2" t="s">
        <v>4373</v>
      </c>
      <c r="P1142" s="2" t="s">
        <v>4378</v>
      </c>
    </row>
    <row r="1143" spans="1:16">
      <c r="A1143" s="4">
        <v>46249.841134259259</v>
      </c>
      <c r="B1143" s="2" t="s">
        <v>3454</v>
      </c>
      <c r="C1143" s="2" t="s">
        <v>3149</v>
      </c>
      <c r="D1143" s="2" t="s">
        <v>1727</v>
      </c>
      <c r="E1143" s="2">
        <v>80</v>
      </c>
      <c r="F1143" s="2"/>
      <c r="G1143" s="2">
        <v>80</v>
      </c>
      <c r="H1143" s="2" t="s">
        <v>435</v>
      </c>
      <c r="I1143" s="2" t="s">
        <v>695</v>
      </c>
      <c r="J1143" s="2" t="s">
        <v>2537</v>
      </c>
      <c r="K1143" s="2" t="s">
        <v>1855</v>
      </c>
      <c r="L1143" s="2" t="s">
        <v>2399</v>
      </c>
      <c r="M1143" s="2" t="str">
        <f t="shared" si="20"/>
        <v>05</v>
      </c>
      <c r="N1143" s="2" t="s">
        <v>2908</v>
      </c>
      <c r="O1143" s="2" t="s">
        <v>4373</v>
      </c>
      <c r="P1143" s="2" t="s">
        <v>4378</v>
      </c>
    </row>
    <row r="1144" spans="1:16">
      <c r="A1144" s="4">
        <v>46248.532581018517</v>
      </c>
      <c r="B1144" s="2" t="s">
        <v>645</v>
      </c>
      <c r="C1144" s="2" t="s">
        <v>3149</v>
      </c>
      <c r="D1144" s="2" t="s">
        <v>1727</v>
      </c>
      <c r="E1144" s="2">
        <v>80</v>
      </c>
      <c r="F1144" s="2"/>
      <c r="G1144" s="2">
        <v>80</v>
      </c>
      <c r="H1144" s="2" t="s">
        <v>688</v>
      </c>
      <c r="I1144" s="2" t="s">
        <v>695</v>
      </c>
      <c r="J1144" s="2" t="s">
        <v>2537</v>
      </c>
      <c r="K1144" s="2" t="s">
        <v>1855</v>
      </c>
      <c r="L1144" s="2" t="s">
        <v>4243</v>
      </c>
      <c r="M1144" s="2" t="str">
        <f t="shared" si="20"/>
        <v>12</v>
      </c>
      <c r="N1144" s="2" t="s">
        <v>3720</v>
      </c>
      <c r="O1144" s="2" t="s">
        <v>4373</v>
      </c>
      <c r="P1144" s="2" t="s">
        <v>4379</v>
      </c>
    </row>
    <row r="1145" spans="1:16">
      <c r="A1145" s="4">
        <v>46248.532500000001</v>
      </c>
      <c r="B1145" s="2" t="s">
        <v>3662</v>
      </c>
      <c r="C1145" s="2" t="s">
        <v>3149</v>
      </c>
      <c r="D1145" s="2" t="s">
        <v>1727</v>
      </c>
      <c r="E1145" s="2">
        <v>80</v>
      </c>
      <c r="F1145" s="2"/>
      <c r="G1145" s="2">
        <v>80</v>
      </c>
      <c r="H1145" s="2" t="s">
        <v>688</v>
      </c>
      <c r="I1145" s="2" t="s">
        <v>695</v>
      </c>
      <c r="J1145" s="2" t="s">
        <v>2537</v>
      </c>
      <c r="K1145" s="2" t="s">
        <v>1855</v>
      </c>
      <c r="L1145" s="2" t="s">
        <v>4243</v>
      </c>
      <c r="M1145" s="2" t="str">
        <f t="shared" si="20"/>
        <v>12</v>
      </c>
      <c r="N1145" s="2" t="s">
        <v>909</v>
      </c>
      <c r="O1145" s="2" t="s">
        <v>4373</v>
      </c>
      <c r="P1145" s="2" t="s">
        <v>4379</v>
      </c>
    </row>
    <row r="1146" spans="1:16">
      <c r="A1146" s="4">
        <v>46248.532476851855</v>
      </c>
      <c r="B1146" s="2" t="s">
        <v>4008</v>
      </c>
      <c r="C1146" s="2" t="s">
        <v>3149</v>
      </c>
      <c r="D1146" s="2" t="s">
        <v>1727</v>
      </c>
      <c r="E1146" s="2">
        <v>80</v>
      </c>
      <c r="F1146" s="2"/>
      <c r="G1146" s="2">
        <v>80</v>
      </c>
      <c r="H1146" s="2" t="s">
        <v>688</v>
      </c>
      <c r="I1146" s="2" t="s">
        <v>695</v>
      </c>
      <c r="J1146" s="2" t="s">
        <v>2537</v>
      </c>
      <c r="K1146" s="2" t="s">
        <v>1855</v>
      </c>
      <c r="L1146" s="2" t="s">
        <v>4243</v>
      </c>
      <c r="M1146" s="2" t="str">
        <f t="shared" si="20"/>
        <v>12</v>
      </c>
      <c r="N1146" s="2" t="s">
        <v>3422</v>
      </c>
      <c r="O1146" s="2" t="s">
        <v>4373</v>
      </c>
      <c r="P1146" s="2" t="s">
        <v>4379</v>
      </c>
    </row>
    <row r="1147" spans="1:16">
      <c r="A1147" s="4">
        <v>46248.532430555555</v>
      </c>
      <c r="B1147" s="2" t="s">
        <v>1816</v>
      </c>
      <c r="C1147" s="2" t="s">
        <v>3149</v>
      </c>
      <c r="D1147" s="2" t="s">
        <v>1727</v>
      </c>
      <c r="E1147" s="2">
        <v>80</v>
      </c>
      <c r="F1147" s="2"/>
      <c r="G1147" s="2">
        <v>80</v>
      </c>
      <c r="H1147" s="2" t="s">
        <v>688</v>
      </c>
      <c r="I1147" s="2" t="s">
        <v>695</v>
      </c>
      <c r="J1147" s="2" t="s">
        <v>2537</v>
      </c>
      <c r="K1147" s="2" t="s">
        <v>1855</v>
      </c>
      <c r="L1147" s="2" t="s">
        <v>4243</v>
      </c>
      <c r="M1147" s="2" t="str">
        <f t="shared" si="20"/>
        <v>12</v>
      </c>
      <c r="N1147" s="2" t="s">
        <v>3214</v>
      </c>
      <c r="O1147" s="2" t="s">
        <v>4373</v>
      </c>
      <c r="P1147" s="2" t="s">
        <v>4379</v>
      </c>
    </row>
    <row r="1148" spans="1:16">
      <c r="A1148" s="4">
        <v>46246.650266203702</v>
      </c>
      <c r="B1148" s="2" t="s">
        <v>3409</v>
      </c>
      <c r="C1148" s="2" t="s">
        <v>3149</v>
      </c>
      <c r="D1148" s="2" t="s">
        <v>1727</v>
      </c>
      <c r="E1148" s="2">
        <v>60</v>
      </c>
      <c r="F1148" s="2"/>
      <c r="G1148" s="2">
        <v>60</v>
      </c>
      <c r="H1148" s="2" t="s">
        <v>688</v>
      </c>
      <c r="I1148" s="2" t="s">
        <v>695</v>
      </c>
      <c r="J1148" s="2" t="s">
        <v>2537</v>
      </c>
      <c r="K1148" s="2" t="s">
        <v>1855</v>
      </c>
      <c r="L1148" s="2" t="s">
        <v>850</v>
      </c>
      <c r="M1148" s="2" t="str">
        <f t="shared" si="20"/>
        <v>08</v>
      </c>
      <c r="N1148" s="2" t="s">
        <v>49</v>
      </c>
      <c r="O1148" s="2" t="s">
        <v>4373</v>
      </c>
      <c r="P1148" s="2" t="s">
        <v>4381</v>
      </c>
    </row>
    <row r="1149" spans="1:16">
      <c r="A1149" s="4">
        <v>46246.650150462963</v>
      </c>
      <c r="B1149" s="2" t="s">
        <v>1535</v>
      </c>
      <c r="C1149" s="2" t="s">
        <v>3149</v>
      </c>
      <c r="D1149" s="2" t="s">
        <v>1727</v>
      </c>
      <c r="E1149" s="2">
        <v>80</v>
      </c>
      <c r="F1149" s="2"/>
      <c r="G1149" s="2">
        <v>80</v>
      </c>
      <c r="H1149" s="2" t="s">
        <v>688</v>
      </c>
      <c r="I1149" s="2" t="s">
        <v>695</v>
      </c>
      <c r="J1149" s="2" t="s">
        <v>2537</v>
      </c>
      <c r="K1149" s="2" t="s">
        <v>1855</v>
      </c>
      <c r="L1149" s="2" t="s">
        <v>850</v>
      </c>
      <c r="M1149" s="2" t="str">
        <f t="shared" si="20"/>
        <v>08</v>
      </c>
      <c r="N1149" s="2" t="s">
        <v>3977</v>
      </c>
      <c r="O1149" s="2" t="s">
        <v>4373</v>
      </c>
      <c r="P1149" s="2" t="s">
        <v>4381</v>
      </c>
    </row>
    <row r="1150" spans="1:16">
      <c r="A1150" s="4">
        <v>46246.649270833332</v>
      </c>
      <c r="B1150" s="2" t="s">
        <v>680</v>
      </c>
      <c r="C1150" s="2" t="s">
        <v>3149</v>
      </c>
      <c r="D1150" s="2" t="s">
        <v>1727</v>
      </c>
      <c r="E1150" s="2">
        <v>80</v>
      </c>
      <c r="F1150" s="2"/>
      <c r="G1150" s="2">
        <v>80</v>
      </c>
      <c r="H1150" s="2" t="s">
        <v>688</v>
      </c>
      <c r="I1150" s="2" t="s">
        <v>695</v>
      </c>
      <c r="J1150" s="2" t="s">
        <v>2537</v>
      </c>
      <c r="K1150" s="2" t="s">
        <v>1855</v>
      </c>
      <c r="L1150" s="2" t="s">
        <v>850</v>
      </c>
      <c r="M1150" s="2" t="str">
        <f t="shared" si="20"/>
        <v>08</v>
      </c>
      <c r="N1150" s="2" t="s">
        <v>3190</v>
      </c>
      <c r="O1150" s="2" t="s">
        <v>4373</v>
      </c>
      <c r="P1150" s="2" t="s">
        <v>4381</v>
      </c>
    </row>
    <row r="1151" spans="1:16">
      <c r="A1151" s="4">
        <v>46246.648831018516</v>
      </c>
      <c r="B1151" s="2" t="s">
        <v>2263</v>
      </c>
      <c r="C1151" s="2" t="s">
        <v>3149</v>
      </c>
      <c r="D1151" s="2" t="s">
        <v>1727</v>
      </c>
      <c r="E1151" s="2">
        <v>80</v>
      </c>
      <c r="F1151" s="2"/>
      <c r="G1151" s="2">
        <v>80</v>
      </c>
      <c r="H1151" s="2" t="s">
        <v>688</v>
      </c>
      <c r="I1151" s="2" t="s">
        <v>695</v>
      </c>
      <c r="J1151" s="2" t="s">
        <v>2537</v>
      </c>
      <c r="K1151" s="2" t="s">
        <v>1855</v>
      </c>
      <c r="L1151" s="2" t="s">
        <v>850</v>
      </c>
      <c r="M1151" s="2" t="str">
        <f t="shared" si="20"/>
        <v>08</v>
      </c>
      <c r="N1151" s="2" t="s">
        <v>2593</v>
      </c>
      <c r="O1151" s="2" t="s">
        <v>4373</v>
      </c>
      <c r="P1151" s="2" t="s">
        <v>4381</v>
      </c>
    </row>
    <row r="1152" spans="1:16">
      <c r="A1152" s="4">
        <v>46246.648634259262</v>
      </c>
      <c r="B1152" s="2" t="s">
        <v>1819</v>
      </c>
      <c r="C1152" s="2" t="s">
        <v>3149</v>
      </c>
      <c r="D1152" s="2" t="s">
        <v>1727</v>
      </c>
      <c r="E1152" s="2">
        <v>80</v>
      </c>
      <c r="F1152" s="2"/>
      <c r="G1152" s="2">
        <v>80</v>
      </c>
      <c r="H1152" s="2" t="s">
        <v>688</v>
      </c>
      <c r="I1152" s="2" t="s">
        <v>695</v>
      </c>
      <c r="J1152" s="2" t="s">
        <v>2537</v>
      </c>
      <c r="K1152" s="2" t="s">
        <v>1855</v>
      </c>
      <c r="L1152" s="2" t="s">
        <v>850</v>
      </c>
      <c r="M1152" s="2" t="str">
        <f t="shared" si="20"/>
        <v>08</v>
      </c>
      <c r="N1152" s="2" t="s">
        <v>3610</v>
      </c>
      <c r="O1152" s="2" t="s">
        <v>4373</v>
      </c>
      <c r="P1152" s="2" t="s">
        <v>4381</v>
      </c>
    </row>
    <row r="1153" spans="1:16">
      <c r="A1153" s="4">
        <v>46246.644016203703</v>
      </c>
      <c r="B1153" s="2" t="s">
        <v>2807</v>
      </c>
      <c r="C1153" s="2" t="s">
        <v>3149</v>
      </c>
      <c r="D1153" s="2" t="s">
        <v>1727</v>
      </c>
      <c r="E1153" s="2">
        <v>80</v>
      </c>
      <c r="F1153" s="2"/>
      <c r="G1153" s="2">
        <v>80</v>
      </c>
      <c r="H1153" s="2" t="s">
        <v>688</v>
      </c>
      <c r="I1153" s="2" t="s">
        <v>695</v>
      </c>
      <c r="J1153" s="2" t="s">
        <v>2537</v>
      </c>
      <c r="K1153" s="2" t="s">
        <v>1855</v>
      </c>
      <c r="L1153" s="2" t="s">
        <v>850</v>
      </c>
      <c r="M1153" s="2" t="str">
        <f t="shared" si="20"/>
        <v>08</v>
      </c>
      <c r="N1153" s="2" t="s">
        <v>2504</v>
      </c>
      <c r="O1153" s="2" t="s">
        <v>4373</v>
      </c>
      <c r="P1153" s="2" t="s">
        <v>4381</v>
      </c>
    </row>
    <row r="1154" spans="1:16">
      <c r="A1154" s="4">
        <v>46246.642627314817</v>
      </c>
      <c r="B1154" s="2" t="s">
        <v>4135</v>
      </c>
      <c r="C1154" s="2" t="s">
        <v>3149</v>
      </c>
      <c r="D1154" s="2" t="s">
        <v>1727</v>
      </c>
      <c r="E1154" s="2">
        <v>80</v>
      </c>
      <c r="F1154" s="2"/>
      <c r="G1154" s="2">
        <v>80</v>
      </c>
      <c r="H1154" s="2" t="s">
        <v>688</v>
      </c>
      <c r="I1154" s="2" t="s">
        <v>695</v>
      </c>
      <c r="J1154" s="2" t="s">
        <v>2537</v>
      </c>
      <c r="K1154" s="2" t="s">
        <v>1855</v>
      </c>
      <c r="L1154" s="2" t="s">
        <v>850</v>
      </c>
      <c r="M1154" s="2" t="str">
        <f t="shared" ref="M1154:M1217" si="21">RIGHT(L1154,2)</f>
        <v>08</v>
      </c>
      <c r="N1154" s="2" t="s">
        <v>1592</v>
      </c>
      <c r="O1154" s="2" t="s">
        <v>4373</v>
      </c>
      <c r="P1154" s="2" t="s">
        <v>4381</v>
      </c>
    </row>
    <row r="1155" spans="1:16">
      <c r="A1155" s="4">
        <v>46246.642569444448</v>
      </c>
      <c r="B1155" s="2" t="s">
        <v>2501</v>
      </c>
      <c r="C1155" s="2" t="s">
        <v>3149</v>
      </c>
      <c r="D1155" s="2" t="s">
        <v>1727</v>
      </c>
      <c r="E1155" s="2">
        <v>80</v>
      </c>
      <c r="F1155" s="2"/>
      <c r="G1155" s="2">
        <v>80</v>
      </c>
      <c r="H1155" s="2" t="s">
        <v>688</v>
      </c>
      <c r="I1155" s="2" t="s">
        <v>695</v>
      </c>
      <c r="J1155" s="2" t="s">
        <v>2537</v>
      </c>
      <c r="K1155" s="2" t="s">
        <v>1855</v>
      </c>
      <c r="L1155" s="2" t="s">
        <v>850</v>
      </c>
      <c r="M1155" s="2" t="str">
        <f t="shared" si="21"/>
        <v>08</v>
      </c>
      <c r="N1155" s="2" t="s">
        <v>3918</v>
      </c>
      <c r="O1155" s="2" t="s">
        <v>4373</v>
      </c>
      <c r="P1155" s="2" t="s">
        <v>4381</v>
      </c>
    </row>
    <row r="1156" spans="1:16">
      <c r="A1156" s="4">
        <v>46244.756331018521</v>
      </c>
      <c r="B1156" s="2" t="s">
        <v>3018</v>
      </c>
      <c r="C1156" s="2" t="s">
        <v>3149</v>
      </c>
      <c r="D1156" s="2" t="s">
        <v>1727</v>
      </c>
      <c r="E1156" s="2">
        <v>80</v>
      </c>
      <c r="F1156" s="2"/>
      <c r="G1156" s="2">
        <v>80</v>
      </c>
      <c r="H1156" s="2" t="s">
        <v>688</v>
      </c>
      <c r="I1156" s="2" t="s">
        <v>695</v>
      </c>
      <c r="J1156" s="2" t="s">
        <v>2537</v>
      </c>
      <c r="K1156" s="2" t="s">
        <v>1855</v>
      </c>
      <c r="L1156" s="2" t="s">
        <v>850</v>
      </c>
      <c r="M1156" s="2" t="str">
        <f t="shared" si="21"/>
        <v>08</v>
      </c>
      <c r="N1156" s="2" t="s">
        <v>866</v>
      </c>
      <c r="O1156" s="2" t="s">
        <v>4373</v>
      </c>
      <c r="P1156" s="2" t="s">
        <v>4375</v>
      </c>
    </row>
    <row r="1157" spans="1:16">
      <c r="A1157" s="4">
        <v>46244.756307870368</v>
      </c>
      <c r="B1157" s="2" t="s">
        <v>2572</v>
      </c>
      <c r="C1157" s="2" t="s">
        <v>3149</v>
      </c>
      <c r="D1157" s="2" t="s">
        <v>1727</v>
      </c>
      <c r="E1157" s="2">
        <v>80</v>
      </c>
      <c r="F1157" s="2"/>
      <c r="G1157" s="2">
        <v>80</v>
      </c>
      <c r="H1157" s="2" t="s">
        <v>688</v>
      </c>
      <c r="I1157" s="2" t="s">
        <v>695</v>
      </c>
      <c r="J1157" s="2" t="s">
        <v>2537</v>
      </c>
      <c r="K1157" s="2" t="s">
        <v>1855</v>
      </c>
      <c r="L1157" s="2" t="s">
        <v>850</v>
      </c>
      <c r="M1157" s="2" t="str">
        <f t="shared" si="21"/>
        <v>08</v>
      </c>
      <c r="N1157" s="2" t="s">
        <v>1843</v>
      </c>
      <c r="O1157" s="2" t="s">
        <v>4373</v>
      </c>
      <c r="P1157" s="2" t="s">
        <v>4375</v>
      </c>
    </row>
    <row r="1158" spans="1:16">
      <c r="A1158" s="4">
        <v>46244.755671296298</v>
      </c>
      <c r="B1158" s="2" t="s">
        <v>1740</v>
      </c>
      <c r="C1158" s="2" t="s">
        <v>3149</v>
      </c>
      <c r="D1158" s="2" t="s">
        <v>1727</v>
      </c>
      <c r="E1158" s="2">
        <v>80</v>
      </c>
      <c r="F1158" s="2"/>
      <c r="G1158" s="2">
        <v>80</v>
      </c>
      <c r="H1158" s="2" t="s">
        <v>688</v>
      </c>
      <c r="I1158" s="2" t="s">
        <v>695</v>
      </c>
      <c r="J1158" s="2" t="s">
        <v>2537</v>
      </c>
      <c r="K1158" s="2" t="s">
        <v>1855</v>
      </c>
      <c r="L1158" s="2" t="s">
        <v>850</v>
      </c>
      <c r="M1158" s="2" t="str">
        <f t="shared" si="21"/>
        <v>08</v>
      </c>
      <c r="N1158" s="2" t="s">
        <v>3740</v>
      </c>
      <c r="O1158" s="2" t="s">
        <v>4373</v>
      </c>
      <c r="P1158" s="2" t="s">
        <v>4375</v>
      </c>
    </row>
    <row r="1159" spans="1:16">
      <c r="A1159" s="4">
        <v>46244.755509259259</v>
      </c>
      <c r="B1159" s="2" t="s">
        <v>930</v>
      </c>
      <c r="C1159" s="2" t="s">
        <v>3149</v>
      </c>
      <c r="D1159" s="2" t="s">
        <v>1727</v>
      </c>
      <c r="E1159" s="2">
        <v>80</v>
      </c>
      <c r="F1159" s="2"/>
      <c r="G1159" s="2">
        <v>80</v>
      </c>
      <c r="H1159" s="2" t="s">
        <v>688</v>
      </c>
      <c r="I1159" s="2" t="s">
        <v>695</v>
      </c>
      <c r="J1159" s="2" t="s">
        <v>2537</v>
      </c>
      <c r="K1159" s="2" t="s">
        <v>1855</v>
      </c>
      <c r="L1159" s="2" t="s">
        <v>850</v>
      </c>
      <c r="M1159" s="2" t="str">
        <f t="shared" si="21"/>
        <v>08</v>
      </c>
      <c r="N1159" s="2" t="s">
        <v>2308</v>
      </c>
      <c r="O1159" s="2" t="s">
        <v>4373</v>
      </c>
      <c r="P1159" s="2" t="s">
        <v>4375</v>
      </c>
    </row>
    <row r="1160" spans="1:16">
      <c r="A1160" s="4">
        <v>46244.755370370367</v>
      </c>
      <c r="B1160" s="2" t="s">
        <v>2916</v>
      </c>
      <c r="C1160" s="2" t="s">
        <v>3149</v>
      </c>
      <c r="D1160" s="2" t="s">
        <v>1727</v>
      </c>
      <c r="E1160" s="2">
        <v>80</v>
      </c>
      <c r="F1160" s="2"/>
      <c r="G1160" s="2">
        <v>80</v>
      </c>
      <c r="H1160" s="2" t="s">
        <v>688</v>
      </c>
      <c r="I1160" s="2" t="s">
        <v>695</v>
      </c>
      <c r="J1160" s="2" t="s">
        <v>2537</v>
      </c>
      <c r="K1160" s="2" t="s">
        <v>1855</v>
      </c>
      <c r="L1160" s="2" t="s">
        <v>850</v>
      </c>
      <c r="M1160" s="2" t="str">
        <f t="shared" si="21"/>
        <v>08</v>
      </c>
      <c r="N1160" s="2" t="s">
        <v>3374</v>
      </c>
      <c r="O1160" s="2" t="s">
        <v>4373</v>
      </c>
      <c r="P1160" s="2" t="s">
        <v>4375</v>
      </c>
    </row>
    <row r="1161" spans="1:16">
      <c r="A1161" s="4">
        <v>46244.754583333335</v>
      </c>
      <c r="B1161" s="2" t="s">
        <v>4214</v>
      </c>
      <c r="C1161" s="2" t="s">
        <v>3149</v>
      </c>
      <c r="D1161" s="2" t="s">
        <v>1727</v>
      </c>
      <c r="E1161" s="2">
        <v>80</v>
      </c>
      <c r="F1161" s="2"/>
      <c r="G1161" s="2">
        <v>80</v>
      </c>
      <c r="H1161" s="2" t="s">
        <v>688</v>
      </c>
      <c r="I1161" s="2" t="s">
        <v>695</v>
      </c>
      <c r="J1161" s="2" t="s">
        <v>2537</v>
      </c>
      <c r="K1161" s="2" t="s">
        <v>1855</v>
      </c>
      <c r="L1161" s="2" t="s">
        <v>850</v>
      </c>
      <c r="M1161" s="2" t="str">
        <f t="shared" si="21"/>
        <v>08</v>
      </c>
      <c r="N1161" s="2" t="s">
        <v>1521</v>
      </c>
      <c r="O1161" s="2" t="s">
        <v>4373</v>
      </c>
      <c r="P1161" s="2" t="s">
        <v>4375</v>
      </c>
    </row>
    <row r="1162" spans="1:16">
      <c r="A1162" s="4">
        <v>46244.754074074073</v>
      </c>
      <c r="B1162" s="2" t="s">
        <v>1270</v>
      </c>
      <c r="C1162" s="2" t="s">
        <v>3149</v>
      </c>
      <c r="D1162" s="2" t="s">
        <v>1727</v>
      </c>
      <c r="E1162" s="2">
        <v>80</v>
      </c>
      <c r="F1162" s="2"/>
      <c r="G1162" s="2">
        <v>80</v>
      </c>
      <c r="H1162" s="2" t="s">
        <v>688</v>
      </c>
      <c r="I1162" s="2" t="s">
        <v>695</v>
      </c>
      <c r="J1162" s="2" t="s">
        <v>2537</v>
      </c>
      <c r="K1162" s="2" t="s">
        <v>1855</v>
      </c>
      <c r="L1162" s="2" t="s">
        <v>850</v>
      </c>
      <c r="M1162" s="2" t="str">
        <f t="shared" si="21"/>
        <v>08</v>
      </c>
      <c r="N1162" s="2" t="s">
        <v>2888</v>
      </c>
      <c r="O1162" s="2" t="s">
        <v>4373</v>
      </c>
      <c r="P1162" s="2" t="s">
        <v>4375</v>
      </c>
    </row>
    <row r="1163" spans="1:16">
      <c r="A1163" s="4">
        <v>46244.75403935185</v>
      </c>
      <c r="B1163" s="2" t="s">
        <v>140</v>
      </c>
      <c r="C1163" s="2" t="s">
        <v>3149</v>
      </c>
      <c r="D1163" s="2" t="s">
        <v>1727</v>
      </c>
      <c r="E1163" s="2">
        <v>80</v>
      </c>
      <c r="F1163" s="2"/>
      <c r="G1163" s="2">
        <v>80</v>
      </c>
      <c r="H1163" s="2" t="s">
        <v>688</v>
      </c>
      <c r="I1163" s="2" t="s">
        <v>695</v>
      </c>
      <c r="J1163" s="2" t="s">
        <v>2537</v>
      </c>
      <c r="K1163" s="2" t="s">
        <v>1855</v>
      </c>
      <c r="L1163" s="2" t="s">
        <v>850</v>
      </c>
      <c r="M1163" s="2" t="str">
        <f t="shared" si="21"/>
        <v>08</v>
      </c>
      <c r="N1163" s="2" t="s">
        <v>3179</v>
      </c>
      <c r="O1163" s="2" t="s">
        <v>4373</v>
      </c>
      <c r="P1163" s="2" t="s">
        <v>4375</v>
      </c>
    </row>
    <row r="1164" spans="1:16">
      <c r="A1164" s="4">
        <v>46245.990706018521</v>
      </c>
      <c r="B1164" s="2" t="s">
        <v>613</v>
      </c>
      <c r="C1164" s="2" t="s">
        <v>659</v>
      </c>
      <c r="D1164" s="2" t="s">
        <v>3664</v>
      </c>
      <c r="E1164" s="2">
        <v>140</v>
      </c>
      <c r="F1164" s="2"/>
      <c r="G1164" s="2">
        <v>140</v>
      </c>
      <c r="H1164" s="2" t="s">
        <v>3900</v>
      </c>
      <c r="I1164" s="2" t="s">
        <v>695</v>
      </c>
      <c r="J1164" s="2" t="s">
        <v>2537</v>
      </c>
      <c r="K1164" s="2" t="s">
        <v>1855</v>
      </c>
      <c r="L1164" s="2" t="s">
        <v>1188</v>
      </c>
      <c r="M1164" s="2" t="str">
        <f t="shared" si="21"/>
        <v>10</v>
      </c>
      <c r="N1164" s="2" t="s">
        <v>129</v>
      </c>
      <c r="O1164" s="2" t="s">
        <v>4373</v>
      </c>
      <c r="P1164" s="2" t="s">
        <v>4382</v>
      </c>
    </row>
    <row r="1165" spans="1:16">
      <c r="A1165" s="4">
        <v>46245.989201388889</v>
      </c>
      <c r="B1165" s="2" t="s">
        <v>3380</v>
      </c>
      <c r="C1165" s="2" t="s">
        <v>659</v>
      </c>
      <c r="D1165" s="2" t="s">
        <v>3664</v>
      </c>
      <c r="E1165" s="2">
        <v>140</v>
      </c>
      <c r="F1165" s="2"/>
      <c r="G1165" s="2">
        <v>140</v>
      </c>
      <c r="H1165" s="2" t="s">
        <v>3900</v>
      </c>
      <c r="I1165" s="2" t="s">
        <v>695</v>
      </c>
      <c r="J1165" s="2" t="s">
        <v>2537</v>
      </c>
      <c r="K1165" s="2" t="s">
        <v>1855</v>
      </c>
      <c r="L1165" s="2" t="s">
        <v>1188</v>
      </c>
      <c r="M1165" s="2" t="str">
        <f t="shared" si="21"/>
        <v>10</v>
      </c>
      <c r="N1165" s="2" t="s">
        <v>861</v>
      </c>
      <c r="O1165" s="2" t="s">
        <v>4373</v>
      </c>
      <c r="P1165" s="2" t="s">
        <v>4382</v>
      </c>
    </row>
    <row r="1166" spans="1:16">
      <c r="A1166" s="4">
        <v>46245.98883101852</v>
      </c>
      <c r="B1166" s="2" t="s">
        <v>2216</v>
      </c>
      <c r="C1166" s="2" t="s">
        <v>659</v>
      </c>
      <c r="D1166" s="2" t="s">
        <v>3664</v>
      </c>
      <c r="E1166" s="2">
        <v>140</v>
      </c>
      <c r="F1166" s="2"/>
      <c r="G1166" s="2">
        <v>140</v>
      </c>
      <c r="H1166" s="2" t="s">
        <v>3900</v>
      </c>
      <c r="I1166" s="2" t="s">
        <v>695</v>
      </c>
      <c r="J1166" s="2" t="s">
        <v>2537</v>
      </c>
      <c r="K1166" s="2" t="s">
        <v>1855</v>
      </c>
      <c r="L1166" s="2" t="s">
        <v>1188</v>
      </c>
      <c r="M1166" s="2" t="str">
        <f t="shared" si="21"/>
        <v>10</v>
      </c>
      <c r="N1166" s="2" t="s">
        <v>2918</v>
      </c>
      <c r="O1166" s="2" t="s">
        <v>4373</v>
      </c>
      <c r="P1166" s="2" t="s">
        <v>4382</v>
      </c>
    </row>
    <row r="1167" spans="1:16">
      <c r="A1167" s="4">
        <v>46245.988726851851</v>
      </c>
      <c r="B1167" s="2" t="s">
        <v>1931</v>
      </c>
      <c r="C1167" s="2" t="s">
        <v>659</v>
      </c>
      <c r="D1167" s="2" t="s">
        <v>3664</v>
      </c>
      <c r="E1167" s="2">
        <v>140</v>
      </c>
      <c r="F1167" s="2"/>
      <c r="G1167" s="2">
        <v>140</v>
      </c>
      <c r="H1167" s="2" t="s">
        <v>3900</v>
      </c>
      <c r="I1167" s="2" t="s">
        <v>695</v>
      </c>
      <c r="J1167" s="2" t="s">
        <v>2537</v>
      </c>
      <c r="K1167" s="2" t="s">
        <v>1855</v>
      </c>
      <c r="L1167" s="2" t="s">
        <v>1188</v>
      </c>
      <c r="M1167" s="2" t="str">
        <f t="shared" si="21"/>
        <v>10</v>
      </c>
      <c r="N1167" s="2" t="s">
        <v>1810</v>
      </c>
      <c r="O1167" s="2" t="s">
        <v>4373</v>
      </c>
      <c r="P1167" s="2" t="s">
        <v>4382</v>
      </c>
    </row>
    <row r="1168" spans="1:16">
      <c r="A1168" s="4">
        <v>46245.986122685186</v>
      </c>
      <c r="B1168" s="2" t="s">
        <v>3360</v>
      </c>
      <c r="C1168" s="2" t="s">
        <v>659</v>
      </c>
      <c r="D1168" s="2" t="s">
        <v>3664</v>
      </c>
      <c r="E1168" s="2">
        <v>140</v>
      </c>
      <c r="F1168" s="2"/>
      <c r="G1168" s="2">
        <v>140</v>
      </c>
      <c r="H1168" s="2" t="s">
        <v>3900</v>
      </c>
      <c r="I1168" s="2" t="s">
        <v>695</v>
      </c>
      <c r="J1168" s="2" t="s">
        <v>2537</v>
      </c>
      <c r="K1168" s="2" t="s">
        <v>1855</v>
      </c>
      <c r="L1168" s="2" t="s">
        <v>1188</v>
      </c>
      <c r="M1168" s="2" t="str">
        <f t="shared" si="21"/>
        <v>10</v>
      </c>
      <c r="N1168" s="2" t="s">
        <v>2473</v>
      </c>
      <c r="O1168" s="2" t="s">
        <v>4373</v>
      </c>
      <c r="P1168" s="2" t="s">
        <v>4382</v>
      </c>
    </row>
    <row r="1169" spans="1:16">
      <c r="A1169" s="4">
        <v>46245.986111111109</v>
      </c>
      <c r="B1169" s="2" t="s">
        <v>1084</v>
      </c>
      <c r="C1169" s="2" t="s">
        <v>659</v>
      </c>
      <c r="D1169" s="2" t="s">
        <v>3664</v>
      </c>
      <c r="E1169" s="2">
        <v>140</v>
      </c>
      <c r="F1169" s="2"/>
      <c r="G1169" s="2">
        <v>140</v>
      </c>
      <c r="H1169" s="2" t="s">
        <v>3900</v>
      </c>
      <c r="I1169" s="2" t="s">
        <v>695</v>
      </c>
      <c r="J1169" s="2" t="s">
        <v>2537</v>
      </c>
      <c r="K1169" s="2" t="s">
        <v>1855</v>
      </c>
      <c r="L1169" s="2" t="s">
        <v>1188</v>
      </c>
      <c r="M1169" s="2" t="str">
        <f t="shared" si="21"/>
        <v>10</v>
      </c>
      <c r="N1169" s="2" t="s">
        <v>4353</v>
      </c>
      <c r="O1169" s="2" t="s">
        <v>4373</v>
      </c>
      <c r="P1169" s="2" t="s">
        <v>4382</v>
      </c>
    </row>
    <row r="1170" spans="1:16">
      <c r="A1170" s="4">
        <v>46245.985949074071</v>
      </c>
      <c r="B1170" s="2" t="s">
        <v>526</v>
      </c>
      <c r="C1170" s="2" t="s">
        <v>659</v>
      </c>
      <c r="D1170" s="2" t="s">
        <v>3664</v>
      </c>
      <c r="E1170" s="2">
        <v>140</v>
      </c>
      <c r="F1170" s="2"/>
      <c r="G1170" s="2">
        <v>140</v>
      </c>
      <c r="H1170" s="2" t="s">
        <v>3900</v>
      </c>
      <c r="I1170" s="2" t="s">
        <v>695</v>
      </c>
      <c r="J1170" s="2" t="s">
        <v>2537</v>
      </c>
      <c r="K1170" s="2" t="s">
        <v>1855</v>
      </c>
      <c r="L1170" s="2" t="s">
        <v>1188</v>
      </c>
      <c r="M1170" s="2" t="str">
        <f t="shared" si="21"/>
        <v>10</v>
      </c>
      <c r="N1170" s="2" t="s">
        <v>3066</v>
      </c>
      <c r="O1170" s="2" t="s">
        <v>4373</v>
      </c>
      <c r="P1170" s="2" t="s">
        <v>4382</v>
      </c>
    </row>
    <row r="1171" spans="1:16">
      <c r="A1171" s="4">
        <v>46245.978981481479</v>
      </c>
      <c r="B1171" s="2" t="s">
        <v>45</v>
      </c>
      <c r="C1171" s="2" t="s">
        <v>659</v>
      </c>
      <c r="D1171" s="2" t="s">
        <v>3664</v>
      </c>
      <c r="E1171" s="2">
        <v>140</v>
      </c>
      <c r="F1171" s="2"/>
      <c r="G1171" s="2">
        <v>140</v>
      </c>
      <c r="H1171" s="2" t="s">
        <v>3900</v>
      </c>
      <c r="I1171" s="2" t="s">
        <v>695</v>
      </c>
      <c r="J1171" s="2" t="s">
        <v>2537</v>
      </c>
      <c r="K1171" s="2" t="s">
        <v>1855</v>
      </c>
      <c r="L1171" s="2" t="s">
        <v>1188</v>
      </c>
      <c r="M1171" s="2" t="str">
        <f t="shared" si="21"/>
        <v>10</v>
      </c>
      <c r="N1171" s="2" t="s">
        <v>2044</v>
      </c>
      <c r="O1171" s="2" t="s">
        <v>4373</v>
      </c>
      <c r="P1171" s="2" t="s">
        <v>4382</v>
      </c>
    </row>
    <row r="1172" spans="1:16">
      <c r="A1172" s="4">
        <v>46245.978900462964</v>
      </c>
      <c r="B1172" s="2" t="s">
        <v>3993</v>
      </c>
      <c r="C1172" s="2" t="s">
        <v>659</v>
      </c>
      <c r="D1172" s="2" t="s">
        <v>3664</v>
      </c>
      <c r="E1172" s="2">
        <v>140</v>
      </c>
      <c r="F1172" s="2"/>
      <c r="G1172" s="2">
        <v>140</v>
      </c>
      <c r="H1172" s="2" t="s">
        <v>3900</v>
      </c>
      <c r="I1172" s="2" t="s">
        <v>695</v>
      </c>
      <c r="J1172" s="2" t="s">
        <v>2537</v>
      </c>
      <c r="K1172" s="2" t="s">
        <v>1855</v>
      </c>
      <c r="L1172" s="2" t="s">
        <v>1188</v>
      </c>
      <c r="M1172" s="2" t="str">
        <f t="shared" si="21"/>
        <v>10</v>
      </c>
      <c r="N1172" s="2" t="s">
        <v>3247</v>
      </c>
      <c r="O1172" s="2" t="s">
        <v>4373</v>
      </c>
      <c r="P1172" s="2" t="s">
        <v>4382</v>
      </c>
    </row>
    <row r="1173" spans="1:16">
      <c r="A1173" s="4">
        <v>46245.978865740741</v>
      </c>
      <c r="B1173" s="2" t="s">
        <v>343</v>
      </c>
      <c r="C1173" s="2" t="s">
        <v>659</v>
      </c>
      <c r="D1173" s="2" t="s">
        <v>3664</v>
      </c>
      <c r="E1173" s="2">
        <v>140</v>
      </c>
      <c r="F1173" s="2"/>
      <c r="G1173" s="2">
        <v>140</v>
      </c>
      <c r="H1173" s="2" t="s">
        <v>3900</v>
      </c>
      <c r="I1173" s="2" t="s">
        <v>695</v>
      </c>
      <c r="J1173" s="2" t="s">
        <v>2537</v>
      </c>
      <c r="K1173" s="2" t="s">
        <v>1855</v>
      </c>
      <c r="L1173" s="2" t="s">
        <v>1188</v>
      </c>
      <c r="M1173" s="2" t="str">
        <f t="shared" si="21"/>
        <v>10</v>
      </c>
      <c r="N1173" s="2" t="s">
        <v>1370</v>
      </c>
      <c r="O1173" s="2" t="s">
        <v>4373</v>
      </c>
      <c r="P1173" s="2" t="s">
        <v>4382</v>
      </c>
    </row>
    <row r="1174" spans="1:16">
      <c r="A1174" s="4">
        <v>46245.978009259263</v>
      </c>
      <c r="B1174" s="2" t="s">
        <v>2173</v>
      </c>
      <c r="C1174" s="2" t="s">
        <v>659</v>
      </c>
      <c r="D1174" s="2" t="s">
        <v>3664</v>
      </c>
      <c r="E1174" s="2">
        <v>140</v>
      </c>
      <c r="F1174" s="2"/>
      <c r="G1174" s="2">
        <v>140</v>
      </c>
      <c r="H1174" s="2" t="s">
        <v>3900</v>
      </c>
      <c r="I1174" s="2" t="s">
        <v>695</v>
      </c>
      <c r="J1174" s="2" t="s">
        <v>2537</v>
      </c>
      <c r="K1174" s="2" t="s">
        <v>1855</v>
      </c>
      <c r="L1174" s="2" t="s">
        <v>1188</v>
      </c>
      <c r="M1174" s="2" t="str">
        <f t="shared" si="21"/>
        <v>10</v>
      </c>
      <c r="N1174" s="2" t="s">
        <v>3771</v>
      </c>
      <c r="O1174" s="2" t="s">
        <v>4373</v>
      </c>
      <c r="P1174" s="2" t="s">
        <v>4382</v>
      </c>
    </row>
    <row r="1175" spans="1:16">
      <c r="A1175" s="4">
        <v>46245.975937499999</v>
      </c>
      <c r="B1175" s="2" t="s">
        <v>3174</v>
      </c>
      <c r="C1175" s="2" t="s">
        <v>659</v>
      </c>
      <c r="D1175" s="2" t="s">
        <v>3664</v>
      </c>
      <c r="E1175" s="2">
        <v>140</v>
      </c>
      <c r="F1175" s="2"/>
      <c r="G1175" s="2">
        <v>140</v>
      </c>
      <c r="H1175" s="2" t="s">
        <v>3900</v>
      </c>
      <c r="I1175" s="2" t="s">
        <v>695</v>
      </c>
      <c r="J1175" s="2" t="s">
        <v>2537</v>
      </c>
      <c r="K1175" s="2" t="s">
        <v>1855</v>
      </c>
      <c r="L1175" s="2" t="s">
        <v>1188</v>
      </c>
      <c r="M1175" s="2" t="str">
        <f t="shared" si="21"/>
        <v>10</v>
      </c>
      <c r="N1175" s="2" t="s">
        <v>2842</v>
      </c>
      <c r="O1175" s="2" t="s">
        <v>4373</v>
      </c>
      <c r="P1175" s="2" t="s">
        <v>4382</v>
      </c>
    </row>
    <row r="1176" spans="1:16">
      <c r="A1176" s="4">
        <v>46245.975844907407</v>
      </c>
      <c r="B1176" s="2" t="s">
        <v>2327</v>
      </c>
      <c r="C1176" s="2" t="s">
        <v>659</v>
      </c>
      <c r="D1176" s="2" t="s">
        <v>3664</v>
      </c>
      <c r="E1176" s="2">
        <v>140</v>
      </c>
      <c r="F1176" s="2"/>
      <c r="G1176" s="2">
        <v>140</v>
      </c>
      <c r="H1176" s="2" t="s">
        <v>3900</v>
      </c>
      <c r="I1176" s="2" t="s">
        <v>695</v>
      </c>
      <c r="J1176" s="2" t="s">
        <v>2537</v>
      </c>
      <c r="K1176" s="2" t="s">
        <v>1855</v>
      </c>
      <c r="L1176" s="2" t="s">
        <v>1188</v>
      </c>
      <c r="M1176" s="2" t="str">
        <f t="shared" si="21"/>
        <v>10</v>
      </c>
      <c r="N1176" s="2" t="s">
        <v>502</v>
      </c>
      <c r="O1176" s="2" t="s">
        <v>4373</v>
      </c>
      <c r="P1176" s="2" t="s">
        <v>4382</v>
      </c>
    </row>
    <row r="1177" spans="1:16">
      <c r="A1177" s="4">
        <v>46245.973530092589</v>
      </c>
      <c r="B1177" s="2" t="s">
        <v>4145</v>
      </c>
      <c r="C1177" s="2" t="s">
        <v>659</v>
      </c>
      <c r="D1177" s="2" t="s">
        <v>3664</v>
      </c>
      <c r="E1177" s="2">
        <v>140</v>
      </c>
      <c r="F1177" s="2"/>
      <c r="G1177" s="2">
        <v>140</v>
      </c>
      <c r="H1177" s="2" t="s">
        <v>3900</v>
      </c>
      <c r="I1177" s="2" t="s">
        <v>695</v>
      </c>
      <c r="J1177" s="2" t="s">
        <v>2537</v>
      </c>
      <c r="K1177" s="2" t="s">
        <v>1855</v>
      </c>
      <c r="L1177" s="2" t="s">
        <v>1188</v>
      </c>
      <c r="M1177" s="2" t="str">
        <f t="shared" si="21"/>
        <v>10</v>
      </c>
      <c r="N1177" s="2" t="s">
        <v>3126</v>
      </c>
      <c r="O1177" s="2" t="s">
        <v>4373</v>
      </c>
      <c r="P1177" s="2" t="s">
        <v>4382</v>
      </c>
    </row>
    <row r="1178" spans="1:16">
      <c r="A1178" s="4">
        <v>46245.973414351851</v>
      </c>
      <c r="B1178" s="2" t="s">
        <v>4270</v>
      </c>
      <c r="C1178" s="2" t="s">
        <v>659</v>
      </c>
      <c r="D1178" s="2" t="s">
        <v>3664</v>
      </c>
      <c r="E1178" s="2">
        <v>140</v>
      </c>
      <c r="F1178" s="2"/>
      <c r="G1178" s="2">
        <v>140</v>
      </c>
      <c r="H1178" s="2" t="s">
        <v>3900</v>
      </c>
      <c r="I1178" s="2" t="s">
        <v>695</v>
      </c>
      <c r="J1178" s="2" t="s">
        <v>2537</v>
      </c>
      <c r="K1178" s="2" t="s">
        <v>1855</v>
      </c>
      <c r="L1178" s="2" t="s">
        <v>1188</v>
      </c>
      <c r="M1178" s="2" t="str">
        <f t="shared" si="21"/>
        <v>10</v>
      </c>
      <c r="N1178" s="2" t="s">
        <v>835</v>
      </c>
      <c r="O1178" s="2" t="s">
        <v>4373</v>
      </c>
      <c r="P1178" s="2" t="s">
        <v>4382</v>
      </c>
    </row>
    <row r="1179" spans="1:16">
      <c r="A1179" s="4">
        <v>46245.973287037035</v>
      </c>
      <c r="B1179" s="2" t="s">
        <v>2410</v>
      </c>
      <c r="C1179" s="2" t="s">
        <v>659</v>
      </c>
      <c r="D1179" s="2" t="s">
        <v>3664</v>
      </c>
      <c r="E1179" s="2">
        <v>140</v>
      </c>
      <c r="F1179" s="2"/>
      <c r="G1179" s="2">
        <v>140</v>
      </c>
      <c r="H1179" s="2" t="s">
        <v>3900</v>
      </c>
      <c r="I1179" s="2" t="s">
        <v>695</v>
      </c>
      <c r="J1179" s="2" t="s">
        <v>2537</v>
      </c>
      <c r="K1179" s="2" t="s">
        <v>1855</v>
      </c>
      <c r="L1179" s="2" t="s">
        <v>1188</v>
      </c>
      <c r="M1179" s="2" t="str">
        <f t="shared" si="21"/>
        <v>10</v>
      </c>
      <c r="N1179" s="2" t="s">
        <v>3233</v>
      </c>
      <c r="O1179" s="2" t="s">
        <v>4373</v>
      </c>
      <c r="P1179" s="2" t="s">
        <v>4382</v>
      </c>
    </row>
    <row r="1180" spans="1:16">
      <c r="A1180" s="4">
        <v>46245.959004629629</v>
      </c>
      <c r="B1180" s="2" t="s">
        <v>3794</v>
      </c>
      <c r="C1180" s="2" t="s">
        <v>659</v>
      </c>
      <c r="D1180" s="2" t="s">
        <v>3664</v>
      </c>
      <c r="E1180" s="2">
        <v>140</v>
      </c>
      <c r="F1180" s="2"/>
      <c r="G1180" s="2">
        <v>140</v>
      </c>
      <c r="H1180" s="2" t="s">
        <v>3900</v>
      </c>
      <c r="I1180" s="2" t="s">
        <v>695</v>
      </c>
      <c r="J1180" s="2" t="s">
        <v>2537</v>
      </c>
      <c r="K1180" s="2" t="s">
        <v>1855</v>
      </c>
      <c r="L1180" s="2" t="s">
        <v>1188</v>
      </c>
      <c r="M1180" s="2" t="str">
        <f t="shared" si="21"/>
        <v>10</v>
      </c>
      <c r="N1180" s="2" t="s">
        <v>585</v>
      </c>
      <c r="O1180" s="2" t="s">
        <v>4373</v>
      </c>
      <c r="P1180" s="2" t="s">
        <v>4382</v>
      </c>
    </row>
    <row r="1181" spans="1:16">
      <c r="A1181" s="4">
        <v>46245.95894675926</v>
      </c>
      <c r="B1181" s="2" t="s">
        <v>3590</v>
      </c>
      <c r="C1181" s="2" t="s">
        <v>659</v>
      </c>
      <c r="D1181" s="2" t="s">
        <v>3664</v>
      </c>
      <c r="E1181" s="2">
        <v>140</v>
      </c>
      <c r="F1181" s="2"/>
      <c r="G1181" s="2">
        <v>140</v>
      </c>
      <c r="H1181" s="2" t="s">
        <v>3900</v>
      </c>
      <c r="I1181" s="2" t="s">
        <v>695</v>
      </c>
      <c r="J1181" s="2" t="s">
        <v>2537</v>
      </c>
      <c r="K1181" s="2" t="s">
        <v>1855</v>
      </c>
      <c r="L1181" s="2" t="s">
        <v>1188</v>
      </c>
      <c r="M1181" s="2" t="str">
        <f t="shared" si="21"/>
        <v>10</v>
      </c>
      <c r="N1181" s="2" t="s">
        <v>1058</v>
      </c>
      <c r="O1181" s="2" t="s">
        <v>4373</v>
      </c>
      <c r="P1181" s="2" t="s">
        <v>4382</v>
      </c>
    </row>
    <row r="1182" spans="1:16">
      <c r="A1182" s="4">
        <v>46245.958854166667</v>
      </c>
      <c r="B1182" s="2" t="s">
        <v>3421</v>
      </c>
      <c r="C1182" s="2" t="s">
        <v>659</v>
      </c>
      <c r="D1182" s="2" t="s">
        <v>3664</v>
      </c>
      <c r="E1182" s="2">
        <v>140</v>
      </c>
      <c r="F1182" s="2"/>
      <c r="G1182" s="2">
        <v>140</v>
      </c>
      <c r="H1182" s="2" t="s">
        <v>3900</v>
      </c>
      <c r="I1182" s="2" t="s">
        <v>695</v>
      </c>
      <c r="J1182" s="2" t="s">
        <v>2537</v>
      </c>
      <c r="K1182" s="2" t="s">
        <v>1855</v>
      </c>
      <c r="L1182" s="2" t="s">
        <v>1188</v>
      </c>
      <c r="M1182" s="2" t="str">
        <f t="shared" si="21"/>
        <v>10</v>
      </c>
      <c r="N1182" s="2" t="s">
        <v>281</v>
      </c>
      <c r="O1182" s="2" t="s">
        <v>4373</v>
      </c>
      <c r="P1182" s="2" t="s">
        <v>4382</v>
      </c>
    </row>
    <row r="1183" spans="1:16">
      <c r="A1183" s="4">
        <v>46245.956932870373</v>
      </c>
      <c r="B1183" s="2" t="s">
        <v>4160</v>
      </c>
      <c r="C1183" s="2" t="s">
        <v>659</v>
      </c>
      <c r="D1183" s="2" t="s">
        <v>3664</v>
      </c>
      <c r="E1183" s="2">
        <v>140</v>
      </c>
      <c r="F1183" s="2"/>
      <c r="G1183" s="2">
        <v>140</v>
      </c>
      <c r="H1183" s="2" t="s">
        <v>3900</v>
      </c>
      <c r="I1183" s="2" t="s">
        <v>695</v>
      </c>
      <c r="J1183" s="2" t="s">
        <v>2537</v>
      </c>
      <c r="K1183" s="2" t="s">
        <v>1855</v>
      </c>
      <c r="L1183" s="2" t="s">
        <v>1188</v>
      </c>
      <c r="M1183" s="2" t="str">
        <f t="shared" si="21"/>
        <v>10</v>
      </c>
      <c r="N1183" s="2" t="s">
        <v>1346</v>
      </c>
      <c r="O1183" s="2" t="s">
        <v>4373</v>
      </c>
      <c r="P1183" s="2" t="s">
        <v>4382</v>
      </c>
    </row>
    <row r="1184" spans="1:16">
      <c r="A1184" s="4">
        <v>46245.956724537034</v>
      </c>
      <c r="B1184" s="2" t="s">
        <v>110</v>
      </c>
      <c r="C1184" s="2" t="s">
        <v>659</v>
      </c>
      <c r="D1184" s="2" t="s">
        <v>3664</v>
      </c>
      <c r="E1184" s="2">
        <v>140</v>
      </c>
      <c r="F1184" s="2"/>
      <c r="G1184" s="2">
        <v>140</v>
      </c>
      <c r="H1184" s="2" t="s">
        <v>3900</v>
      </c>
      <c r="I1184" s="2" t="s">
        <v>695</v>
      </c>
      <c r="J1184" s="2" t="s">
        <v>2537</v>
      </c>
      <c r="K1184" s="2" t="s">
        <v>1855</v>
      </c>
      <c r="L1184" s="2" t="s">
        <v>1188</v>
      </c>
      <c r="M1184" s="2" t="str">
        <f t="shared" si="21"/>
        <v>10</v>
      </c>
      <c r="N1184" s="2" t="s">
        <v>1903</v>
      </c>
      <c r="O1184" s="2" t="s">
        <v>4373</v>
      </c>
      <c r="P1184" s="2" t="s">
        <v>4382</v>
      </c>
    </row>
    <row r="1185" spans="1:16">
      <c r="A1185" s="4">
        <v>46245.95648148148</v>
      </c>
      <c r="B1185" s="2" t="s">
        <v>990</v>
      </c>
      <c r="C1185" s="2" t="s">
        <v>659</v>
      </c>
      <c r="D1185" s="2" t="s">
        <v>3664</v>
      </c>
      <c r="E1185" s="2">
        <v>140</v>
      </c>
      <c r="F1185" s="2"/>
      <c r="G1185" s="2">
        <v>140</v>
      </c>
      <c r="H1185" s="2" t="s">
        <v>3900</v>
      </c>
      <c r="I1185" s="2" t="s">
        <v>695</v>
      </c>
      <c r="J1185" s="2" t="s">
        <v>2537</v>
      </c>
      <c r="K1185" s="2" t="s">
        <v>1855</v>
      </c>
      <c r="L1185" s="2" t="s">
        <v>1188</v>
      </c>
      <c r="M1185" s="2" t="str">
        <f t="shared" si="21"/>
        <v>10</v>
      </c>
      <c r="N1185" s="2" t="s">
        <v>2996</v>
      </c>
      <c r="O1185" s="2" t="s">
        <v>4373</v>
      </c>
      <c r="P1185" s="2" t="s">
        <v>4382</v>
      </c>
    </row>
    <row r="1186" spans="1:16">
      <c r="A1186" s="4">
        <v>46245.953379629631</v>
      </c>
      <c r="B1186" s="2" t="s">
        <v>296</v>
      </c>
      <c r="C1186" s="2" t="s">
        <v>659</v>
      </c>
      <c r="D1186" s="2" t="s">
        <v>3664</v>
      </c>
      <c r="E1186" s="2">
        <v>140</v>
      </c>
      <c r="F1186" s="2"/>
      <c r="G1186" s="2">
        <v>140</v>
      </c>
      <c r="H1186" s="2" t="s">
        <v>3900</v>
      </c>
      <c r="I1186" s="2" t="s">
        <v>695</v>
      </c>
      <c r="J1186" s="2" t="s">
        <v>2537</v>
      </c>
      <c r="K1186" s="2" t="s">
        <v>1855</v>
      </c>
      <c r="L1186" s="2" t="s">
        <v>1188</v>
      </c>
      <c r="M1186" s="2" t="str">
        <f t="shared" si="21"/>
        <v>10</v>
      </c>
      <c r="N1186" s="2" t="s">
        <v>1414</v>
      </c>
      <c r="O1186" s="2" t="s">
        <v>4373</v>
      </c>
      <c r="P1186" s="2" t="s">
        <v>4382</v>
      </c>
    </row>
    <row r="1187" spans="1:16">
      <c r="A1187" s="4">
        <v>46245.953067129631</v>
      </c>
      <c r="B1187" s="2" t="s">
        <v>3800</v>
      </c>
      <c r="C1187" s="2" t="s">
        <v>659</v>
      </c>
      <c r="D1187" s="2" t="s">
        <v>3664</v>
      </c>
      <c r="E1187" s="2">
        <v>140</v>
      </c>
      <c r="F1187" s="2"/>
      <c r="G1187" s="2">
        <v>140</v>
      </c>
      <c r="H1187" s="2" t="s">
        <v>3900</v>
      </c>
      <c r="I1187" s="2" t="s">
        <v>695</v>
      </c>
      <c r="J1187" s="2" t="s">
        <v>2537</v>
      </c>
      <c r="K1187" s="2" t="s">
        <v>1855</v>
      </c>
      <c r="L1187" s="2" t="s">
        <v>1188</v>
      </c>
      <c r="M1187" s="2" t="str">
        <f t="shared" si="21"/>
        <v>10</v>
      </c>
      <c r="N1187" s="2" t="s">
        <v>1823</v>
      </c>
      <c r="O1187" s="2" t="s">
        <v>4373</v>
      </c>
      <c r="P1187" s="2" t="s">
        <v>4382</v>
      </c>
    </row>
    <row r="1188" spans="1:16">
      <c r="A1188" s="4">
        <v>46245.952951388892</v>
      </c>
      <c r="B1188" s="2" t="s">
        <v>1954</v>
      </c>
      <c r="C1188" s="2" t="s">
        <v>659</v>
      </c>
      <c r="D1188" s="2" t="s">
        <v>3664</v>
      </c>
      <c r="E1188" s="2">
        <v>140</v>
      </c>
      <c r="F1188" s="2"/>
      <c r="G1188" s="2">
        <v>140</v>
      </c>
      <c r="H1188" s="2" t="s">
        <v>3900</v>
      </c>
      <c r="I1188" s="2" t="s">
        <v>695</v>
      </c>
      <c r="J1188" s="2" t="s">
        <v>2537</v>
      </c>
      <c r="K1188" s="2" t="s">
        <v>1855</v>
      </c>
      <c r="L1188" s="2" t="s">
        <v>1188</v>
      </c>
      <c r="M1188" s="2" t="str">
        <f t="shared" si="21"/>
        <v>10</v>
      </c>
      <c r="N1188" s="2" t="s">
        <v>4267</v>
      </c>
      <c r="O1188" s="2" t="s">
        <v>4373</v>
      </c>
      <c r="P1188" s="2" t="s">
        <v>4382</v>
      </c>
    </row>
    <row r="1189" spans="1:16">
      <c r="A1189" s="4">
        <v>46245.951238425929</v>
      </c>
      <c r="B1189" s="2" t="s">
        <v>244</v>
      </c>
      <c r="C1189" s="2" t="s">
        <v>659</v>
      </c>
      <c r="D1189" s="2" t="s">
        <v>3664</v>
      </c>
      <c r="E1189" s="2">
        <v>140</v>
      </c>
      <c r="F1189" s="2"/>
      <c r="G1189" s="2">
        <v>140</v>
      </c>
      <c r="H1189" s="2" t="s">
        <v>3900</v>
      </c>
      <c r="I1189" s="2" t="s">
        <v>695</v>
      </c>
      <c r="J1189" s="2" t="s">
        <v>2537</v>
      </c>
      <c r="K1189" s="2" t="s">
        <v>1855</v>
      </c>
      <c r="L1189" s="2" t="s">
        <v>1188</v>
      </c>
      <c r="M1189" s="2" t="str">
        <f t="shared" si="21"/>
        <v>10</v>
      </c>
      <c r="N1189" s="2" t="s">
        <v>601</v>
      </c>
      <c r="O1189" s="2" t="s">
        <v>4373</v>
      </c>
      <c r="P1189" s="2" t="s">
        <v>4382</v>
      </c>
    </row>
    <row r="1190" spans="1:16">
      <c r="A1190" s="4">
        <v>46245.951238425929</v>
      </c>
      <c r="B1190" s="2" t="s">
        <v>3868</v>
      </c>
      <c r="C1190" s="2" t="s">
        <v>659</v>
      </c>
      <c r="D1190" s="2" t="s">
        <v>3664</v>
      </c>
      <c r="E1190" s="2">
        <v>140</v>
      </c>
      <c r="F1190" s="2"/>
      <c r="G1190" s="2">
        <v>140</v>
      </c>
      <c r="H1190" s="2" t="s">
        <v>3900</v>
      </c>
      <c r="I1190" s="2" t="s">
        <v>695</v>
      </c>
      <c r="J1190" s="2" t="s">
        <v>2537</v>
      </c>
      <c r="K1190" s="2" t="s">
        <v>1855</v>
      </c>
      <c r="L1190" s="2" t="s">
        <v>1188</v>
      </c>
      <c r="M1190" s="2" t="str">
        <f t="shared" si="21"/>
        <v>10</v>
      </c>
      <c r="N1190" s="2" t="s">
        <v>208</v>
      </c>
      <c r="O1190" s="2" t="s">
        <v>4373</v>
      </c>
      <c r="P1190" s="2" t="s">
        <v>4382</v>
      </c>
    </row>
    <row r="1191" spans="1:16">
      <c r="A1191" s="4">
        <v>46245.950532407405</v>
      </c>
      <c r="B1191" s="2" t="s">
        <v>2377</v>
      </c>
      <c r="C1191" s="2" t="s">
        <v>659</v>
      </c>
      <c r="D1191" s="2" t="s">
        <v>3664</v>
      </c>
      <c r="E1191" s="2">
        <v>140</v>
      </c>
      <c r="F1191" s="2"/>
      <c r="G1191" s="2">
        <v>140</v>
      </c>
      <c r="H1191" s="2" t="s">
        <v>3900</v>
      </c>
      <c r="I1191" s="2" t="s">
        <v>695</v>
      </c>
      <c r="J1191" s="2" t="s">
        <v>2537</v>
      </c>
      <c r="K1191" s="2" t="s">
        <v>1855</v>
      </c>
      <c r="L1191" s="2" t="s">
        <v>1188</v>
      </c>
      <c r="M1191" s="2" t="str">
        <f t="shared" si="21"/>
        <v>10</v>
      </c>
      <c r="N1191" s="2" t="s">
        <v>2581</v>
      </c>
      <c r="O1191" s="2" t="s">
        <v>4373</v>
      </c>
      <c r="P1191" s="2" t="s">
        <v>4382</v>
      </c>
    </row>
    <row r="1192" spans="1:16">
      <c r="A1192" s="4">
        <v>46244.451516203706</v>
      </c>
      <c r="B1192" s="2" t="s">
        <v>670</v>
      </c>
      <c r="C1192" s="2" t="s">
        <v>659</v>
      </c>
      <c r="D1192" s="2" t="s">
        <v>3664</v>
      </c>
      <c r="E1192" s="2">
        <v>140</v>
      </c>
      <c r="F1192" s="2"/>
      <c r="G1192" s="2">
        <v>140</v>
      </c>
      <c r="H1192" s="2" t="s">
        <v>364</v>
      </c>
      <c r="I1192" s="2" t="s">
        <v>695</v>
      </c>
      <c r="J1192" s="2" t="s">
        <v>2537</v>
      </c>
      <c r="K1192" s="2" t="s">
        <v>1855</v>
      </c>
      <c r="L1192" s="2" t="s">
        <v>156</v>
      </c>
      <c r="M1192" s="2" t="str">
        <f t="shared" si="21"/>
        <v>15</v>
      </c>
      <c r="N1192" s="2" t="s">
        <v>1805</v>
      </c>
      <c r="O1192" s="2" t="s">
        <v>4373</v>
      </c>
      <c r="P1192" s="2" t="s">
        <v>4375</v>
      </c>
    </row>
    <row r="1193" spans="1:16">
      <c r="A1193" s="4">
        <v>46244.450694444444</v>
      </c>
      <c r="B1193" s="2" t="s">
        <v>204</v>
      </c>
      <c r="C1193" s="2" t="s">
        <v>659</v>
      </c>
      <c r="D1193" s="2" t="s">
        <v>3664</v>
      </c>
      <c r="E1193" s="2">
        <v>140</v>
      </c>
      <c r="F1193" s="2"/>
      <c r="G1193" s="2">
        <v>140</v>
      </c>
      <c r="H1193" s="2" t="s">
        <v>364</v>
      </c>
      <c r="I1193" s="2" t="s">
        <v>695</v>
      </c>
      <c r="J1193" s="2" t="s">
        <v>2537</v>
      </c>
      <c r="K1193" s="2" t="s">
        <v>1855</v>
      </c>
      <c r="L1193" s="2" t="s">
        <v>156</v>
      </c>
      <c r="M1193" s="2" t="str">
        <f t="shared" si="21"/>
        <v>15</v>
      </c>
      <c r="N1193" s="2" t="s">
        <v>3378</v>
      </c>
      <c r="O1193" s="2" t="s">
        <v>4373</v>
      </c>
      <c r="P1193" s="2" t="s">
        <v>4375</v>
      </c>
    </row>
    <row r="1194" spans="1:16">
      <c r="A1194" s="4">
        <v>46244.446585648147</v>
      </c>
      <c r="B1194" s="2" t="s">
        <v>2902</v>
      </c>
      <c r="C1194" s="2" t="s">
        <v>659</v>
      </c>
      <c r="D1194" s="2" t="s">
        <v>3664</v>
      </c>
      <c r="E1194" s="2">
        <v>140</v>
      </c>
      <c r="F1194" s="2"/>
      <c r="G1194" s="2">
        <v>140</v>
      </c>
      <c r="H1194" s="2" t="s">
        <v>364</v>
      </c>
      <c r="I1194" s="2" t="s">
        <v>695</v>
      </c>
      <c r="J1194" s="2" t="s">
        <v>2537</v>
      </c>
      <c r="K1194" s="2" t="s">
        <v>1855</v>
      </c>
      <c r="L1194" s="2" t="s">
        <v>156</v>
      </c>
      <c r="M1194" s="2" t="str">
        <f t="shared" si="21"/>
        <v>15</v>
      </c>
      <c r="N1194" s="2" t="s">
        <v>970</v>
      </c>
      <c r="O1194" s="2" t="s">
        <v>4373</v>
      </c>
      <c r="P1194" s="2" t="s">
        <v>4375</v>
      </c>
    </row>
    <row r="1195" spans="1:16">
      <c r="A1195" s="4">
        <v>46244.446585648147</v>
      </c>
      <c r="B1195" s="2" t="s">
        <v>381</v>
      </c>
      <c r="C1195" s="2" t="s">
        <v>659</v>
      </c>
      <c r="D1195" s="2" t="s">
        <v>3664</v>
      </c>
      <c r="E1195" s="2">
        <v>140</v>
      </c>
      <c r="F1195" s="2"/>
      <c r="G1195" s="2">
        <v>140</v>
      </c>
      <c r="H1195" s="2" t="s">
        <v>364</v>
      </c>
      <c r="I1195" s="2" t="s">
        <v>695</v>
      </c>
      <c r="J1195" s="2" t="s">
        <v>2537</v>
      </c>
      <c r="K1195" s="2" t="s">
        <v>1855</v>
      </c>
      <c r="L1195" s="2" t="s">
        <v>156</v>
      </c>
      <c r="M1195" s="2" t="str">
        <f t="shared" si="21"/>
        <v>15</v>
      </c>
      <c r="N1195" s="2" t="s">
        <v>3108</v>
      </c>
      <c r="O1195" s="2" t="s">
        <v>4373</v>
      </c>
      <c r="P1195" s="2" t="s">
        <v>4375</v>
      </c>
    </row>
    <row r="1196" spans="1:16">
      <c r="A1196" s="4">
        <v>46244.444791666669</v>
      </c>
      <c r="B1196" s="2" t="s">
        <v>1284</v>
      </c>
      <c r="C1196" s="2" t="s">
        <v>659</v>
      </c>
      <c r="D1196" s="2" t="s">
        <v>3664</v>
      </c>
      <c r="E1196" s="2">
        <v>140</v>
      </c>
      <c r="F1196" s="2"/>
      <c r="G1196" s="2">
        <v>140</v>
      </c>
      <c r="H1196" s="2" t="s">
        <v>364</v>
      </c>
      <c r="I1196" s="2" t="s">
        <v>695</v>
      </c>
      <c r="J1196" s="2" t="s">
        <v>2537</v>
      </c>
      <c r="K1196" s="2" t="s">
        <v>1855</v>
      </c>
      <c r="L1196" s="2" t="s">
        <v>156</v>
      </c>
      <c r="M1196" s="2" t="str">
        <f t="shared" si="21"/>
        <v>15</v>
      </c>
      <c r="N1196" s="2" t="s">
        <v>3032</v>
      </c>
      <c r="O1196" s="2" t="s">
        <v>4373</v>
      </c>
      <c r="P1196" s="2" t="s">
        <v>4375</v>
      </c>
    </row>
    <row r="1197" spans="1:16">
      <c r="A1197" s="4">
        <v>46244.444733796299</v>
      </c>
      <c r="B1197" s="2" t="s">
        <v>3910</v>
      </c>
      <c r="C1197" s="2" t="s">
        <v>659</v>
      </c>
      <c r="D1197" s="2" t="s">
        <v>3664</v>
      </c>
      <c r="E1197" s="2">
        <v>140</v>
      </c>
      <c r="F1197" s="2"/>
      <c r="G1197" s="2">
        <v>140</v>
      </c>
      <c r="H1197" s="2" t="s">
        <v>364</v>
      </c>
      <c r="I1197" s="2" t="s">
        <v>695</v>
      </c>
      <c r="J1197" s="2" t="s">
        <v>2537</v>
      </c>
      <c r="K1197" s="2" t="s">
        <v>1855</v>
      </c>
      <c r="L1197" s="2" t="s">
        <v>156</v>
      </c>
      <c r="M1197" s="2" t="str">
        <f t="shared" si="21"/>
        <v>15</v>
      </c>
      <c r="N1197" s="2" t="s">
        <v>3287</v>
      </c>
      <c r="O1197" s="2" t="s">
        <v>4373</v>
      </c>
      <c r="P1197" s="2" t="s">
        <v>4375</v>
      </c>
    </row>
    <row r="1198" spans="1:16">
      <c r="A1198" s="4">
        <v>46244.441631944443</v>
      </c>
      <c r="B1198" s="2" t="s">
        <v>2183</v>
      </c>
      <c r="C1198" s="2" t="s">
        <v>659</v>
      </c>
      <c r="D1198" s="2" t="s">
        <v>3664</v>
      </c>
      <c r="E1198" s="2">
        <v>140</v>
      </c>
      <c r="F1198" s="2"/>
      <c r="G1198" s="2">
        <v>140</v>
      </c>
      <c r="H1198" s="2" t="s">
        <v>364</v>
      </c>
      <c r="I1198" s="2" t="s">
        <v>695</v>
      </c>
      <c r="J1198" s="2" t="s">
        <v>2537</v>
      </c>
      <c r="K1198" s="2" t="s">
        <v>1855</v>
      </c>
      <c r="L1198" s="2" t="s">
        <v>156</v>
      </c>
      <c r="M1198" s="2" t="str">
        <f t="shared" si="21"/>
        <v>15</v>
      </c>
      <c r="N1198" s="2" t="s">
        <v>1694</v>
      </c>
      <c r="O1198" s="2" t="s">
        <v>4373</v>
      </c>
      <c r="P1198" s="2" t="s">
        <v>4375</v>
      </c>
    </row>
    <row r="1199" spans="1:16">
      <c r="A1199" s="4">
        <v>46244.441469907404</v>
      </c>
      <c r="B1199" s="2" t="s">
        <v>3755</v>
      </c>
      <c r="C1199" s="2" t="s">
        <v>659</v>
      </c>
      <c r="D1199" s="2" t="s">
        <v>3664</v>
      </c>
      <c r="E1199" s="2">
        <v>140</v>
      </c>
      <c r="F1199" s="2"/>
      <c r="G1199" s="2">
        <v>140</v>
      </c>
      <c r="H1199" s="2" t="s">
        <v>364</v>
      </c>
      <c r="I1199" s="2" t="s">
        <v>695</v>
      </c>
      <c r="J1199" s="2" t="s">
        <v>2537</v>
      </c>
      <c r="K1199" s="2" t="s">
        <v>1855</v>
      </c>
      <c r="L1199" s="2" t="s">
        <v>156</v>
      </c>
      <c r="M1199" s="2" t="str">
        <f t="shared" si="21"/>
        <v>15</v>
      </c>
      <c r="N1199" s="2" t="s">
        <v>899</v>
      </c>
      <c r="O1199" s="2" t="s">
        <v>4373</v>
      </c>
      <c r="P1199" s="2" t="s">
        <v>4375</v>
      </c>
    </row>
    <row r="1200" spans="1:16">
      <c r="A1200" s="4">
        <v>46244.438460648147</v>
      </c>
      <c r="B1200" s="2" t="s">
        <v>1988</v>
      </c>
      <c r="C1200" s="2" t="s">
        <v>659</v>
      </c>
      <c r="D1200" s="2" t="s">
        <v>3664</v>
      </c>
      <c r="E1200" s="2">
        <v>140</v>
      </c>
      <c r="F1200" s="2"/>
      <c r="G1200" s="2">
        <v>140</v>
      </c>
      <c r="H1200" s="2" t="s">
        <v>364</v>
      </c>
      <c r="I1200" s="2" t="s">
        <v>695</v>
      </c>
      <c r="J1200" s="2" t="s">
        <v>2537</v>
      </c>
      <c r="K1200" s="2" t="s">
        <v>1855</v>
      </c>
      <c r="L1200" s="2" t="s">
        <v>156</v>
      </c>
      <c r="M1200" s="2" t="str">
        <f t="shared" si="21"/>
        <v>15</v>
      </c>
      <c r="N1200" s="2" t="s">
        <v>4369</v>
      </c>
      <c r="O1200" s="2" t="s">
        <v>4373</v>
      </c>
      <c r="P1200" s="2" t="s">
        <v>4375</v>
      </c>
    </row>
    <row r="1201" spans="1:16">
      <c r="A1201" s="4">
        <v>46244.438425925924</v>
      </c>
      <c r="B1201" s="2" t="s">
        <v>989</v>
      </c>
      <c r="C1201" s="2" t="s">
        <v>659</v>
      </c>
      <c r="D1201" s="2" t="s">
        <v>3664</v>
      </c>
      <c r="E1201" s="2">
        <v>140</v>
      </c>
      <c r="F1201" s="2"/>
      <c r="G1201" s="2">
        <v>140</v>
      </c>
      <c r="H1201" s="2" t="s">
        <v>364</v>
      </c>
      <c r="I1201" s="2" t="s">
        <v>695</v>
      </c>
      <c r="J1201" s="2" t="s">
        <v>2537</v>
      </c>
      <c r="K1201" s="2" t="s">
        <v>1855</v>
      </c>
      <c r="L1201" s="2" t="s">
        <v>156</v>
      </c>
      <c r="M1201" s="2" t="str">
        <f t="shared" si="21"/>
        <v>15</v>
      </c>
      <c r="N1201" s="2" t="s">
        <v>4345</v>
      </c>
      <c r="O1201" s="2" t="s">
        <v>4373</v>
      </c>
      <c r="P1201" s="2" t="s">
        <v>4375</v>
      </c>
    </row>
    <row r="1202" spans="1:16">
      <c r="A1202" s="4">
        <v>46244.436180555553</v>
      </c>
      <c r="B1202" s="2" t="s">
        <v>985</v>
      </c>
      <c r="C1202" s="2" t="s">
        <v>659</v>
      </c>
      <c r="D1202" s="2" t="s">
        <v>3664</v>
      </c>
      <c r="E1202" s="2">
        <v>140</v>
      </c>
      <c r="F1202" s="2"/>
      <c r="G1202" s="2">
        <v>140</v>
      </c>
      <c r="H1202" s="2" t="s">
        <v>364</v>
      </c>
      <c r="I1202" s="2" t="s">
        <v>695</v>
      </c>
      <c r="J1202" s="2" t="s">
        <v>2537</v>
      </c>
      <c r="K1202" s="2" t="s">
        <v>1855</v>
      </c>
      <c r="L1202" s="2" t="s">
        <v>156</v>
      </c>
      <c r="M1202" s="2" t="str">
        <f t="shared" si="21"/>
        <v>15</v>
      </c>
      <c r="N1202" s="2" t="s">
        <v>3224</v>
      </c>
      <c r="O1202" s="2" t="s">
        <v>4373</v>
      </c>
      <c r="P1202" s="2" t="s">
        <v>4375</v>
      </c>
    </row>
    <row r="1203" spans="1:16">
      <c r="A1203" s="4">
        <v>46244.435856481483</v>
      </c>
      <c r="B1203" s="2" t="s">
        <v>2914</v>
      </c>
      <c r="C1203" s="2" t="s">
        <v>659</v>
      </c>
      <c r="D1203" s="2" t="s">
        <v>3664</v>
      </c>
      <c r="E1203" s="2">
        <v>140</v>
      </c>
      <c r="F1203" s="2"/>
      <c r="G1203" s="2">
        <v>140</v>
      </c>
      <c r="H1203" s="2" t="s">
        <v>364</v>
      </c>
      <c r="I1203" s="2" t="s">
        <v>695</v>
      </c>
      <c r="J1203" s="2" t="s">
        <v>2537</v>
      </c>
      <c r="K1203" s="2" t="s">
        <v>1855</v>
      </c>
      <c r="L1203" s="2" t="s">
        <v>156</v>
      </c>
      <c r="M1203" s="2" t="str">
        <f t="shared" si="21"/>
        <v>15</v>
      </c>
      <c r="N1203" s="2" t="s">
        <v>134</v>
      </c>
      <c r="O1203" s="2" t="s">
        <v>4373</v>
      </c>
      <c r="P1203" s="2" t="s">
        <v>4375</v>
      </c>
    </row>
    <row r="1204" spans="1:16">
      <c r="A1204" s="4">
        <v>46244.433449074073</v>
      </c>
      <c r="B1204" s="2" t="s">
        <v>2977</v>
      </c>
      <c r="C1204" s="2" t="s">
        <v>659</v>
      </c>
      <c r="D1204" s="2" t="s">
        <v>3664</v>
      </c>
      <c r="E1204" s="2">
        <v>140</v>
      </c>
      <c r="F1204" s="2"/>
      <c r="G1204" s="2">
        <v>140</v>
      </c>
      <c r="H1204" s="2" t="s">
        <v>364</v>
      </c>
      <c r="I1204" s="2" t="s">
        <v>695</v>
      </c>
      <c r="J1204" s="2" t="s">
        <v>2537</v>
      </c>
      <c r="K1204" s="2" t="s">
        <v>1855</v>
      </c>
      <c r="L1204" s="2" t="s">
        <v>156</v>
      </c>
      <c r="M1204" s="2" t="str">
        <f t="shared" si="21"/>
        <v>15</v>
      </c>
      <c r="N1204" s="2" t="s">
        <v>1165</v>
      </c>
      <c r="O1204" s="2" t="s">
        <v>4373</v>
      </c>
      <c r="P1204" s="2" t="s">
        <v>4375</v>
      </c>
    </row>
    <row r="1205" spans="1:16">
      <c r="A1205" s="4">
        <v>46244.43341435185</v>
      </c>
      <c r="B1205" s="2" t="s">
        <v>3369</v>
      </c>
      <c r="C1205" s="2" t="s">
        <v>659</v>
      </c>
      <c r="D1205" s="2" t="s">
        <v>3664</v>
      </c>
      <c r="E1205" s="2">
        <v>140</v>
      </c>
      <c r="F1205" s="2"/>
      <c r="G1205" s="2">
        <v>140</v>
      </c>
      <c r="H1205" s="2" t="s">
        <v>364</v>
      </c>
      <c r="I1205" s="2" t="s">
        <v>695</v>
      </c>
      <c r="J1205" s="2" t="s">
        <v>2537</v>
      </c>
      <c r="K1205" s="2" t="s">
        <v>1855</v>
      </c>
      <c r="L1205" s="2" t="s">
        <v>156</v>
      </c>
      <c r="M1205" s="2" t="str">
        <f t="shared" si="21"/>
        <v>15</v>
      </c>
      <c r="N1205" s="2" t="s">
        <v>383</v>
      </c>
      <c r="O1205" s="2" t="s">
        <v>4373</v>
      </c>
      <c r="P1205" s="2" t="s">
        <v>4375</v>
      </c>
    </row>
    <row r="1206" spans="1:16">
      <c r="A1206" s="4">
        <v>46244.4296875</v>
      </c>
      <c r="B1206" s="2" t="s">
        <v>2755</v>
      </c>
      <c r="C1206" s="2" t="s">
        <v>659</v>
      </c>
      <c r="D1206" s="2" t="s">
        <v>3664</v>
      </c>
      <c r="E1206" s="2">
        <v>140</v>
      </c>
      <c r="F1206" s="2"/>
      <c r="G1206" s="2">
        <v>140</v>
      </c>
      <c r="H1206" s="2" t="s">
        <v>364</v>
      </c>
      <c r="I1206" s="2" t="s">
        <v>695</v>
      </c>
      <c r="J1206" s="2" t="s">
        <v>2537</v>
      </c>
      <c r="K1206" s="2" t="s">
        <v>1855</v>
      </c>
      <c r="L1206" s="2" t="s">
        <v>156</v>
      </c>
      <c r="M1206" s="2" t="str">
        <f t="shared" si="21"/>
        <v>15</v>
      </c>
      <c r="N1206" s="2" t="s">
        <v>518</v>
      </c>
      <c r="O1206" s="2" t="s">
        <v>4373</v>
      </c>
      <c r="P1206" s="2" t="s">
        <v>4375</v>
      </c>
    </row>
    <row r="1207" spans="1:16">
      <c r="A1207" s="4">
        <v>46244.429583333331</v>
      </c>
      <c r="B1207" s="2" t="s">
        <v>2012</v>
      </c>
      <c r="C1207" s="2" t="s">
        <v>659</v>
      </c>
      <c r="D1207" s="2" t="s">
        <v>3664</v>
      </c>
      <c r="E1207" s="2">
        <v>140</v>
      </c>
      <c r="F1207" s="2"/>
      <c r="G1207" s="2">
        <v>140</v>
      </c>
      <c r="H1207" s="2" t="s">
        <v>364</v>
      </c>
      <c r="I1207" s="2" t="s">
        <v>695</v>
      </c>
      <c r="J1207" s="2" t="s">
        <v>2537</v>
      </c>
      <c r="K1207" s="2" t="s">
        <v>1855</v>
      </c>
      <c r="L1207" s="2" t="s">
        <v>156</v>
      </c>
      <c r="M1207" s="2" t="str">
        <f t="shared" si="21"/>
        <v>15</v>
      </c>
      <c r="N1207" s="2" t="s">
        <v>963</v>
      </c>
      <c r="O1207" s="2" t="s">
        <v>4373</v>
      </c>
      <c r="P1207" s="2" t="s">
        <v>4375</v>
      </c>
    </row>
    <row r="1208" spans="1:16">
      <c r="A1208" s="4">
        <v>46244.414537037039</v>
      </c>
      <c r="B1208" s="2" t="s">
        <v>711</v>
      </c>
      <c r="C1208" s="2" t="s">
        <v>659</v>
      </c>
      <c r="D1208" s="2" t="s">
        <v>3664</v>
      </c>
      <c r="E1208" s="2">
        <v>140</v>
      </c>
      <c r="F1208" s="2"/>
      <c r="G1208" s="2">
        <v>140</v>
      </c>
      <c r="H1208" s="2" t="s">
        <v>364</v>
      </c>
      <c r="I1208" s="2" t="s">
        <v>695</v>
      </c>
      <c r="J1208" s="2" t="s">
        <v>2537</v>
      </c>
      <c r="K1208" s="2" t="s">
        <v>1855</v>
      </c>
      <c r="L1208" s="2" t="s">
        <v>156</v>
      </c>
      <c r="M1208" s="2" t="str">
        <f t="shared" si="21"/>
        <v>15</v>
      </c>
      <c r="N1208" s="2" t="s">
        <v>4064</v>
      </c>
      <c r="O1208" s="2" t="s">
        <v>4373</v>
      </c>
      <c r="P1208" s="2" t="s">
        <v>4375</v>
      </c>
    </row>
    <row r="1209" spans="1:16">
      <c r="A1209" s="4">
        <v>46244.414444444446</v>
      </c>
      <c r="B1209" s="2" t="s">
        <v>4146</v>
      </c>
      <c r="C1209" s="2" t="s">
        <v>659</v>
      </c>
      <c r="D1209" s="2" t="s">
        <v>3664</v>
      </c>
      <c r="E1209" s="2">
        <v>140</v>
      </c>
      <c r="F1209" s="2"/>
      <c r="G1209" s="2">
        <v>140</v>
      </c>
      <c r="H1209" s="2" t="s">
        <v>364</v>
      </c>
      <c r="I1209" s="2" t="s">
        <v>695</v>
      </c>
      <c r="J1209" s="2" t="s">
        <v>2537</v>
      </c>
      <c r="K1209" s="2" t="s">
        <v>1855</v>
      </c>
      <c r="L1209" s="2" t="s">
        <v>156</v>
      </c>
      <c r="M1209" s="2" t="str">
        <f t="shared" si="21"/>
        <v>15</v>
      </c>
      <c r="N1209" s="2" t="s">
        <v>732</v>
      </c>
      <c r="O1209" s="2" t="s">
        <v>4373</v>
      </c>
      <c r="P1209" s="2" t="s">
        <v>4375</v>
      </c>
    </row>
    <row r="1210" spans="1:16">
      <c r="A1210" s="4">
        <v>46244.412048611113</v>
      </c>
      <c r="B1210" s="2" t="s">
        <v>2108</v>
      </c>
      <c r="C1210" s="2" t="s">
        <v>659</v>
      </c>
      <c r="D1210" s="2" t="s">
        <v>3664</v>
      </c>
      <c r="E1210" s="2">
        <v>140</v>
      </c>
      <c r="F1210" s="2"/>
      <c r="G1210" s="2">
        <v>140</v>
      </c>
      <c r="H1210" s="2" t="s">
        <v>364</v>
      </c>
      <c r="I1210" s="2" t="s">
        <v>695</v>
      </c>
      <c r="J1210" s="2" t="s">
        <v>2537</v>
      </c>
      <c r="K1210" s="2" t="s">
        <v>1855</v>
      </c>
      <c r="L1210" s="2" t="s">
        <v>156</v>
      </c>
      <c r="M1210" s="2" t="str">
        <f t="shared" si="21"/>
        <v>15</v>
      </c>
      <c r="N1210" s="2" t="s">
        <v>3121</v>
      </c>
      <c r="O1210" s="2" t="s">
        <v>4373</v>
      </c>
      <c r="P1210" s="2" t="s">
        <v>4375</v>
      </c>
    </row>
    <row r="1211" spans="1:16">
      <c r="A1211" s="4">
        <v>46244.411956018521</v>
      </c>
      <c r="B1211" s="2" t="s">
        <v>2719</v>
      </c>
      <c r="C1211" s="2" t="s">
        <v>659</v>
      </c>
      <c r="D1211" s="2" t="s">
        <v>3664</v>
      </c>
      <c r="E1211" s="2">
        <v>140</v>
      </c>
      <c r="F1211" s="2"/>
      <c r="G1211" s="2">
        <v>140</v>
      </c>
      <c r="H1211" s="2" t="s">
        <v>364</v>
      </c>
      <c r="I1211" s="2" t="s">
        <v>695</v>
      </c>
      <c r="J1211" s="2" t="s">
        <v>2537</v>
      </c>
      <c r="K1211" s="2" t="s">
        <v>1855</v>
      </c>
      <c r="L1211" s="2" t="s">
        <v>156</v>
      </c>
      <c r="M1211" s="2" t="str">
        <f t="shared" si="21"/>
        <v>15</v>
      </c>
      <c r="N1211" s="2" t="s">
        <v>1120</v>
      </c>
      <c r="O1211" s="2" t="s">
        <v>4373</v>
      </c>
      <c r="P1211" s="2" t="s">
        <v>4375</v>
      </c>
    </row>
    <row r="1212" spans="1:16">
      <c r="A1212" s="4">
        <v>46244.407986111109</v>
      </c>
      <c r="B1212" s="2" t="s">
        <v>157</v>
      </c>
      <c r="C1212" s="2" t="s">
        <v>659</v>
      </c>
      <c r="D1212" s="2" t="s">
        <v>3664</v>
      </c>
      <c r="E1212" s="2">
        <v>140</v>
      </c>
      <c r="F1212" s="2"/>
      <c r="G1212" s="2">
        <v>140</v>
      </c>
      <c r="H1212" s="2" t="s">
        <v>364</v>
      </c>
      <c r="I1212" s="2" t="s">
        <v>695</v>
      </c>
      <c r="J1212" s="2" t="s">
        <v>2537</v>
      </c>
      <c r="K1212" s="2" t="s">
        <v>1855</v>
      </c>
      <c r="L1212" s="2" t="s">
        <v>156</v>
      </c>
      <c r="M1212" s="2" t="str">
        <f t="shared" si="21"/>
        <v>15</v>
      </c>
      <c r="N1212" s="2" t="s">
        <v>3989</v>
      </c>
      <c r="O1212" s="2" t="s">
        <v>4373</v>
      </c>
      <c r="P1212" s="2" t="s">
        <v>4375</v>
      </c>
    </row>
    <row r="1213" spans="1:16">
      <c r="A1213" s="4">
        <v>46244.407962962963</v>
      </c>
      <c r="B1213" s="2" t="s">
        <v>4013</v>
      </c>
      <c r="C1213" s="2" t="s">
        <v>659</v>
      </c>
      <c r="D1213" s="2" t="s">
        <v>3664</v>
      </c>
      <c r="E1213" s="2">
        <v>140</v>
      </c>
      <c r="F1213" s="2"/>
      <c r="G1213" s="2">
        <v>140</v>
      </c>
      <c r="H1213" s="2" t="s">
        <v>364</v>
      </c>
      <c r="I1213" s="2" t="s">
        <v>695</v>
      </c>
      <c r="J1213" s="2" t="s">
        <v>2537</v>
      </c>
      <c r="K1213" s="2" t="s">
        <v>1855</v>
      </c>
      <c r="L1213" s="2" t="s">
        <v>156</v>
      </c>
      <c r="M1213" s="2" t="str">
        <f t="shared" si="21"/>
        <v>15</v>
      </c>
      <c r="N1213" s="2" t="s">
        <v>2196</v>
      </c>
      <c r="O1213" s="2" t="s">
        <v>4373</v>
      </c>
      <c r="P1213" s="2" t="s">
        <v>4375</v>
      </c>
    </row>
    <row r="1214" spans="1:16">
      <c r="A1214" s="4">
        <v>46244.405532407407</v>
      </c>
      <c r="B1214" s="2" t="s">
        <v>1669</v>
      </c>
      <c r="C1214" s="2" t="s">
        <v>659</v>
      </c>
      <c r="D1214" s="2" t="s">
        <v>3664</v>
      </c>
      <c r="E1214" s="2">
        <v>140</v>
      </c>
      <c r="F1214" s="2"/>
      <c r="G1214" s="2">
        <v>140</v>
      </c>
      <c r="H1214" s="2" t="s">
        <v>364</v>
      </c>
      <c r="I1214" s="2" t="s">
        <v>695</v>
      </c>
      <c r="J1214" s="2" t="s">
        <v>2537</v>
      </c>
      <c r="K1214" s="2" t="s">
        <v>1855</v>
      </c>
      <c r="L1214" s="2" t="s">
        <v>156</v>
      </c>
      <c r="M1214" s="2" t="str">
        <f t="shared" si="21"/>
        <v>15</v>
      </c>
      <c r="N1214" s="2" t="s">
        <v>2566</v>
      </c>
      <c r="O1214" s="2" t="s">
        <v>4373</v>
      </c>
      <c r="P1214" s="2" t="s">
        <v>4375</v>
      </c>
    </row>
    <row r="1215" spans="1:16">
      <c r="A1215" s="4">
        <v>46244.405381944445</v>
      </c>
      <c r="B1215" s="2" t="s">
        <v>422</v>
      </c>
      <c r="C1215" s="2" t="s">
        <v>659</v>
      </c>
      <c r="D1215" s="2" t="s">
        <v>3664</v>
      </c>
      <c r="E1215" s="2">
        <v>140</v>
      </c>
      <c r="F1215" s="2"/>
      <c r="G1215" s="2">
        <v>140</v>
      </c>
      <c r="H1215" s="2" t="s">
        <v>364</v>
      </c>
      <c r="I1215" s="2" t="s">
        <v>695</v>
      </c>
      <c r="J1215" s="2" t="s">
        <v>2537</v>
      </c>
      <c r="K1215" s="2" t="s">
        <v>1855</v>
      </c>
      <c r="L1215" s="2" t="s">
        <v>156</v>
      </c>
      <c r="M1215" s="2" t="str">
        <f t="shared" si="21"/>
        <v>15</v>
      </c>
      <c r="N1215" s="2" t="s">
        <v>2276</v>
      </c>
      <c r="O1215" s="2" t="s">
        <v>4373</v>
      </c>
      <c r="P1215" s="2" t="s">
        <v>4375</v>
      </c>
    </row>
    <row r="1216" spans="1:16">
      <c r="A1216" s="4">
        <v>46244.402951388889</v>
      </c>
      <c r="B1216" s="2" t="s">
        <v>3626</v>
      </c>
      <c r="C1216" s="2" t="s">
        <v>659</v>
      </c>
      <c r="D1216" s="2" t="s">
        <v>3664</v>
      </c>
      <c r="E1216" s="2">
        <v>140</v>
      </c>
      <c r="F1216" s="2"/>
      <c r="G1216" s="2">
        <v>140</v>
      </c>
      <c r="H1216" s="2" t="s">
        <v>364</v>
      </c>
      <c r="I1216" s="2" t="s">
        <v>695</v>
      </c>
      <c r="J1216" s="2" t="s">
        <v>2537</v>
      </c>
      <c r="K1216" s="2" t="s">
        <v>1855</v>
      </c>
      <c r="L1216" s="2" t="s">
        <v>156</v>
      </c>
      <c r="M1216" s="2" t="str">
        <f t="shared" si="21"/>
        <v>15</v>
      </c>
      <c r="N1216" s="2" t="s">
        <v>470</v>
      </c>
      <c r="O1216" s="2" t="s">
        <v>4373</v>
      </c>
      <c r="P1216" s="2" t="s">
        <v>4375</v>
      </c>
    </row>
    <row r="1217" spans="1:16">
      <c r="A1217" s="4">
        <v>46244.402928240743</v>
      </c>
      <c r="B1217" s="2" t="s">
        <v>3223</v>
      </c>
      <c r="C1217" s="2" t="s">
        <v>659</v>
      </c>
      <c r="D1217" s="2" t="s">
        <v>3664</v>
      </c>
      <c r="E1217" s="2">
        <v>140</v>
      </c>
      <c r="F1217" s="2"/>
      <c r="G1217" s="2">
        <v>140</v>
      </c>
      <c r="H1217" s="2" t="s">
        <v>364</v>
      </c>
      <c r="I1217" s="2" t="s">
        <v>695</v>
      </c>
      <c r="J1217" s="2" t="s">
        <v>2537</v>
      </c>
      <c r="K1217" s="2" t="s">
        <v>1855</v>
      </c>
      <c r="L1217" s="2" t="s">
        <v>156</v>
      </c>
      <c r="M1217" s="2" t="str">
        <f t="shared" si="21"/>
        <v>15</v>
      </c>
      <c r="N1217" s="2" t="s">
        <v>981</v>
      </c>
      <c r="O1217" s="2" t="s">
        <v>4373</v>
      </c>
      <c r="P1217" s="2" t="s">
        <v>4375</v>
      </c>
    </row>
    <row r="1218" spans="1:16">
      <c r="A1218" s="4">
        <v>46244.399398148147</v>
      </c>
      <c r="B1218" s="2" t="s">
        <v>1250</v>
      </c>
      <c r="C1218" s="2" t="s">
        <v>659</v>
      </c>
      <c r="D1218" s="2" t="s">
        <v>3664</v>
      </c>
      <c r="E1218" s="2">
        <v>140</v>
      </c>
      <c r="F1218" s="2"/>
      <c r="G1218" s="2">
        <v>140</v>
      </c>
      <c r="H1218" s="2" t="s">
        <v>364</v>
      </c>
      <c r="I1218" s="2" t="s">
        <v>695</v>
      </c>
      <c r="J1218" s="2" t="s">
        <v>2537</v>
      </c>
      <c r="K1218" s="2" t="s">
        <v>1855</v>
      </c>
      <c r="L1218" s="2" t="s">
        <v>156</v>
      </c>
      <c r="M1218" s="2" t="str">
        <f t="shared" ref="M1218:M1281" si="22">RIGHT(L1218,2)</f>
        <v>15</v>
      </c>
      <c r="N1218" s="2" t="s">
        <v>1311</v>
      </c>
      <c r="O1218" s="2" t="s">
        <v>4373</v>
      </c>
      <c r="P1218" s="2" t="s">
        <v>4375</v>
      </c>
    </row>
    <row r="1219" spans="1:16">
      <c r="A1219" s="4">
        <v>46244.399317129632</v>
      </c>
      <c r="B1219" s="2" t="s">
        <v>762</v>
      </c>
      <c r="C1219" s="2" t="s">
        <v>659</v>
      </c>
      <c r="D1219" s="2" t="s">
        <v>3664</v>
      </c>
      <c r="E1219" s="2">
        <v>140</v>
      </c>
      <c r="F1219" s="2"/>
      <c r="G1219" s="2">
        <v>140</v>
      </c>
      <c r="H1219" s="2" t="s">
        <v>364</v>
      </c>
      <c r="I1219" s="2" t="s">
        <v>695</v>
      </c>
      <c r="J1219" s="2" t="s">
        <v>2537</v>
      </c>
      <c r="K1219" s="2" t="s">
        <v>1855</v>
      </c>
      <c r="L1219" s="2" t="s">
        <v>156</v>
      </c>
      <c r="M1219" s="2" t="str">
        <f t="shared" si="22"/>
        <v>15</v>
      </c>
      <c r="N1219" s="2" t="s">
        <v>3478</v>
      </c>
      <c r="O1219" s="2" t="s">
        <v>4373</v>
      </c>
      <c r="P1219" s="2" t="s">
        <v>4375</v>
      </c>
    </row>
    <row r="1220" spans="1:16">
      <c r="A1220" s="4">
        <v>46248.601701388892</v>
      </c>
      <c r="B1220" s="2" t="s">
        <v>86</v>
      </c>
      <c r="C1220" s="2" t="s">
        <v>2072</v>
      </c>
      <c r="D1220" s="2" t="s">
        <v>4177</v>
      </c>
      <c r="E1220" s="2">
        <v>16</v>
      </c>
      <c r="F1220" s="2"/>
      <c r="G1220" s="2">
        <v>16</v>
      </c>
      <c r="H1220" s="2" t="s">
        <v>3462</v>
      </c>
      <c r="I1220" s="2" t="s">
        <v>695</v>
      </c>
      <c r="J1220" s="2" t="s">
        <v>2537</v>
      </c>
      <c r="K1220" s="2" t="s">
        <v>1855</v>
      </c>
      <c r="L1220" s="2" t="s">
        <v>1847</v>
      </c>
      <c r="M1220" s="2" t="str">
        <f t="shared" si="22"/>
        <v>14</v>
      </c>
      <c r="N1220" s="2" t="s">
        <v>710</v>
      </c>
      <c r="O1220" s="2" t="s">
        <v>4373</v>
      </c>
      <c r="P1220" s="2" t="s">
        <v>4379</v>
      </c>
    </row>
    <row r="1221" spans="1:16">
      <c r="A1221" s="4">
        <v>46248.601678240739</v>
      </c>
      <c r="B1221" s="2" t="s">
        <v>768</v>
      </c>
      <c r="C1221" s="2" t="s">
        <v>2072</v>
      </c>
      <c r="D1221" s="2" t="s">
        <v>4177</v>
      </c>
      <c r="E1221" s="2">
        <v>16</v>
      </c>
      <c r="F1221" s="2"/>
      <c r="G1221" s="2">
        <v>16</v>
      </c>
      <c r="H1221" s="2" t="s">
        <v>3462</v>
      </c>
      <c r="I1221" s="2" t="s">
        <v>695</v>
      </c>
      <c r="J1221" s="2" t="s">
        <v>2537</v>
      </c>
      <c r="K1221" s="2" t="s">
        <v>1855</v>
      </c>
      <c r="L1221" s="2" t="s">
        <v>1847</v>
      </c>
      <c r="M1221" s="2" t="str">
        <f t="shared" si="22"/>
        <v>14</v>
      </c>
      <c r="N1221" s="2" t="s">
        <v>1187</v>
      </c>
      <c r="O1221" s="2" t="s">
        <v>4373</v>
      </c>
      <c r="P1221" s="2" t="s">
        <v>4379</v>
      </c>
    </row>
    <row r="1222" spans="1:16">
      <c r="A1222" s="4">
        <v>46248.601666666669</v>
      </c>
      <c r="B1222" s="2" t="s">
        <v>927</v>
      </c>
      <c r="C1222" s="2" t="s">
        <v>2072</v>
      </c>
      <c r="D1222" s="2" t="s">
        <v>4177</v>
      </c>
      <c r="E1222" s="2">
        <v>16</v>
      </c>
      <c r="F1222" s="2"/>
      <c r="G1222" s="2">
        <v>16</v>
      </c>
      <c r="H1222" s="2" t="s">
        <v>3462</v>
      </c>
      <c r="I1222" s="2" t="s">
        <v>695</v>
      </c>
      <c r="J1222" s="2" t="s">
        <v>2537</v>
      </c>
      <c r="K1222" s="2" t="s">
        <v>1855</v>
      </c>
      <c r="L1222" s="2" t="s">
        <v>1847</v>
      </c>
      <c r="M1222" s="2" t="str">
        <f t="shared" si="22"/>
        <v>14</v>
      </c>
      <c r="N1222" s="2" t="s">
        <v>2442</v>
      </c>
      <c r="O1222" s="2" t="s">
        <v>4373</v>
      </c>
      <c r="P1222" s="2" t="s">
        <v>4379</v>
      </c>
    </row>
    <row r="1223" spans="1:16">
      <c r="A1223" s="4">
        <v>46248.599583333336</v>
      </c>
      <c r="B1223" s="2" t="s">
        <v>4305</v>
      </c>
      <c r="C1223" s="2" t="s">
        <v>2072</v>
      </c>
      <c r="D1223" s="2" t="s">
        <v>4177</v>
      </c>
      <c r="E1223" s="2">
        <v>16</v>
      </c>
      <c r="F1223" s="2"/>
      <c r="G1223" s="2">
        <v>16</v>
      </c>
      <c r="H1223" s="2" t="s">
        <v>3462</v>
      </c>
      <c r="I1223" s="2" t="s">
        <v>695</v>
      </c>
      <c r="J1223" s="2" t="s">
        <v>2537</v>
      </c>
      <c r="K1223" s="2" t="s">
        <v>1855</v>
      </c>
      <c r="L1223" s="2" t="s">
        <v>1847</v>
      </c>
      <c r="M1223" s="2" t="str">
        <f t="shared" si="22"/>
        <v>14</v>
      </c>
      <c r="N1223" s="2" t="s">
        <v>3595</v>
      </c>
      <c r="O1223" s="2" t="s">
        <v>4373</v>
      </c>
      <c r="P1223" s="2" t="s">
        <v>4379</v>
      </c>
    </row>
    <row r="1224" spans="1:16">
      <c r="A1224" s="4">
        <v>46248.599560185183</v>
      </c>
      <c r="B1224" s="2" t="s">
        <v>2116</v>
      </c>
      <c r="C1224" s="2" t="s">
        <v>2072</v>
      </c>
      <c r="D1224" s="2" t="s">
        <v>4177</v>
      </c>
      <c r="E1224" s="2">
        <v>16</v>
      </c>
      <c r="F1224" s="2"/>
      <c r="G1224" s="2">
        <v>16</v>
      </c>
      <c r="H1224" s="2" t="s">
        <v>3462</v>
      </c>
      <c r="I1224" s="2" t="s">
        <v>695</v>
      </c>
      <c r="J1224" s="2" t="s">
        <v>2537</v>
      </c>
      <c r="K1224" s="2" t="s">
        <v>1855</v>
      </c>
      <c r="L1224" s="2" t="s">
        <v>1847</v>
      </c>
      <c r="M1224" s="2" t="str">
        <f t="shared" si="22"/>
        <v>14</v>
      </c>
      <c r="N1224" s="2" t="s">
        <v>2652</v>
      </c>
      <c r="O1224" s="2" t="s">
        <v>4373</v>
      </c>
      <c r="P1224" s="2" t="s">
        <v>4379</v>
      </c>
    </row>
    <row r="1225" spans="1:16">
      <c r="A1225" s="4">
        <v>46248.599143518521</v>
      </c>
      <c r="B1225" s="2" t="s">
        <v>790</v>
      </c>
      <c r="C1225" s="2" t="s">
        <v>2072</v>
      </c>
      <c r="D1225" s="2" t="s">
        <v>4177</v>
      </c>
      <c r="E1225" s="2">
        <v>16</v>
      </c>
      <c r="F1225" s="2"/>
      <c r="G1225" s="2">
        <v>16</v>
      </c>
      <c r="H1225" s="2" t="s">
        <v>3462</v>
      </c>
      <c r="I1225" s="2" t="s">
        <v>695</v>
      </c>
      <c r="J1225" s="2" t="s">
        <v>2537</v>
      </c>
      <c r="K1225" s="2" t="s">
        <v>1855</v>
      </c>
      <c r="L1225" s="2" t="s">
        <v>1847</v>
      </c>
      <c r="M1225" s="2" t="str">
        <f t="shared" si="22"/>
        <v>14</v>
      </c>
      <c r="N1225" s="2" t="s">
        <v>4265</v>
      </c>
      <c r="O1225" s="2" t="s">
        <v>4373</v>
      </c>
      <c r="P1225" s="2" t="s">
        <v>4379</v>
      </c>
    </row>
    <row r="1226" spans="1:16">
      <c r="A1226" s="4">
        <v>46248.597256944442</v>
      </c>
      <c r="B1226" s="2" t="s">
        <v>1012</v>
      </c>
      <c r="C1226" s="2" t="s">
        <v>2072</v>
      </c>
      <c r="D1226" s="2" t="s">
        <v>4177</v>
      </c>
      <c r="E1226" s="2">
        <v>16</v>
      </c>
      <c r="F1226" s="2"/>
      <c r="G1226" s="2">
        <v>16</v>
      </c>
      <c r="H1226" s="2" t="s">
        <v>3462</v>
      </c>
      <c r="I1226" s="2" t="s">
        <v>695</v>
      </c>
      <c r="J1226" s="2" t="s">
        <v>2537</v>
      </c>
      <c r="K1226" s="2" t="s">
        <v>1855</v>
      </c>
      <c r="L1226" s="2" t="s">
        <v>1847</v>
      </c>
      <c r="M1226" s="2" t="str">
        <f t="shared" si="22"/>
        <v>14</v>
      </c>
      <c r="N1226" s="2" t="s">
        <v>2018</v>
      </c>
      <c r="O1226" s="2" t="s">
        <v>4373</v>
      </c>
      <c r="P1226" s="2" t="s">
        <v>4379</v>
      </c>
    </row>
    <row r="1227" spans="1:16">
      <c r="A1227" s="4">
        <v>46248.596817129626</v>
      </c>
      <c r="B1227" s="2" t="s">
        <v>1590</v>
      </c>
      <c r="C1227" s="2" t="s">
        <v>2072</v>
      </c>
      <c r="D1227" s="2" t="s">
        <v>4177</v>
      </c>
      <c r="E1227" s="2">
        <v>16</v>
      </c>
      <c r="F1227" s="2"/>
      <c r="G1227" s="2">
        <v>16</v>
      </c>
      <c r="H1227" s="2" t="s">
        <v>3462</v>
      </c>
      <c r="I1227" s="2" t="s">
        <v>695</v>
      </c>
      <c r="J1227" s="2" t="s">
        <v>2537</v>
      </c>
      <c r="K1227" s="2" t="s">
        <v>1855</v>
      </c>
      <c r="L1227" s="2" t="s">
        <v>1847</v>
      </c>
      <c r="M1227" s="2" t="str">
        <f t="shared" si="22"/>
        <v>14</v>
      </c>
      <c r="N1227" s="2" t="s">
        <v>1177</v>
      </c>
      <c r="O1227" s="2" t="s">
        <v>4373</v>
      </c>
      <c r="P1227" s="2" t="s">
        <v>4379</v>
      </c>
    </row>
    <row r="1228" spans="1:16">
      <c r="A1228" s="4">
        <v>46248.596701388888</v>
      </c>
      <c r="B1228" s="2" t="s">
        <v>3565</v>
      </c>
      <c r="C1228" s="2" t="s">
        <v>2072</v>
      </c>
      <c r="D1228" s="2" t="s">
        <v>4177</v>
      </c>
      <c r="E1228" s="2">
        <v>16</v>
      </c>
      <c r="F1228" s="2"/>
      <c r="G1228" s="2">
        <v>16</v>
      </c>
      <c r="H1228" s="2" t="s">
        <v>3462</v>
      </c>
      <c r="I1228" s="2" t="s">
        <v>695</v>
      </c>
      <c r="J1228" s="2" t="s">
        <v>2537</v>
      </c>
      <c r="K1228" s="2" t="s">
        <v>1855</v>
      </c>
      <c r="L1228" s="2" t="s">
        <v>1847</v>
      </c>
      <c r="M1228" s="2" t="str">
        <f t="shared" si="22"/>
        <v>14</v>
      </c>
      <c r="N1228" s="2" t="s">
        <v>3555</v>
      </c>
      <c r="O1228" s="2" t="s">
        <v>4373</v>
      </c>
      <c r="P1228" s="2" t="s">
        <v>4379</v>
      </c>
    </row>
    <row r="1229" spans="1:16">
      <c r="A1229" s="4">
        <v>46248.594965277778</v>
      </c>
      <c r="B1229" s="2" t="s">
        <v>139</v>
      </c>
      <c r="C1229" s="2" t="s">
        <v>2072</v>
      </c>
      <c r="D1229" s="2" t="s">
        <v>4177</v>
      </c>
      <c r="E1229" s="2">
        <v>16</v>
      </c>
      <c r="F1229" s="2"/>
      <c r="G1229" s="2">
        <v>16</v>
      </c>
      <c r="H1229" s="2" t="s">
        <v>3462</v>
      </c>
      <c r="I1229" s="2" t="s">
        <v>695</v>
      </c>
      <c r="J1229" s="2" t="s">
        <v>2537</v>
      </c>
      <c r="K1229" s="2" t="s">
        <v>1855</v>
      </c>
      <c r="L1229" s="2" t="s">
        <v>1847</v>
      </c>
      <c r="M1229" s="2" t="str">
        <f t="shared" si="22"/>
        <v>14</v>
      </c>
      <c r="N1229" s="2" t="s">
        <v>3201</v>
      </c>
      <c r="O1229" s="2" t="s">
        <v>4373</v>
      </c>
      <c r="P1229" s="2" t="s">
        <v>4379</v>
      </c>
    </row>
    <row r="1230" spans="1:16">
      <c r="A1230" s="4">
        <v>46248.594571759262</v>
      </c>
      <c r="B1230" s="2" t="s">
        <v>2634</v>
      </c>
      <c r="C1230" s="2" t="s">
        <v>2072</v>
      </c>
      <c r="D1230" s="2" t="s">
        <v>4177</v>
      </c>
      <c r="E1230" s="2">
        <v>16</v>
      </c>
      <c r="F1230" s="2"/>
      <c r="G1230" s="2">
        <v>16</v>
      </c>
      <c r="H1230" s="2" t="s">
        <v>3462</v>
      </c>
      <c r="I1230" s="2" t="s">
        <v>695</v>
      </c>
      <c r="J1230" s="2" t="s">
        <v>2537</v>
      </c>
      <c r="K1230" s="2" t="s">
        <v>1855</v>
      </c>
      <c r="L1230" s="2" t="s">
        <v>1847</v>
      </c>
      <c r="M1230" s="2" t="str">
        <f t="shared" si="22"/>
        <v>14</v>
      </c>
      <c r="N1230" s="2" t="s">
        <v>1891</v>
      </c>
      <c r="O1230" s="2" t="s">
        <v>4373</v>
      </c>
      <c r="P1230" s="2" t="s">
        <v>4379</v>
      </c>
    </row>
    <row r="1231" spans="1:16">
      <c r="A1231" s="4">
        <v>46248.594560185185</v>
      </c>
      <c r="B1231" s="2" t="s">
        <v>2205</v>
      </c>
      <c r="C1231" s="2" t="s">
        <v>2072</v>
      </c>
      <c r="D1231" s="2" t="s">
        <v>4177</v>
      </c>
      <c r="E1231" s="2">
        <v>16</v>
      </c>
      <c r="F1231" s="2"/>
      <c r="G1231" s="2">
        <v>16</v>
      </c>
      <c r="H1231" s="2" t="s">
        <v>3462</v>
      </c>
      <c r="I1231" s="2" t="s">
        <v>695</v>
      </c>
      <c r="J1231" s="2" t="s">
        <v>2537</v>
      </c>
      <c r="K1231" s="2" t="s">
        <v>1855</v>
      </c>
      <c r="L1231" s="2" t="s">
        <v>1847</v>
      </c>
      <c r="M1231" s="2" t="str">
        <f t="shared" si="22"/>
        <v>14</v>
      </c>
      <c r="N1231" s="2" t="s">
        <v>2865</v>
      </c>
      <c r="O1231" s="2" t="s">
        <v>4373</v>
      </c>
      <c r="P1231" s="2" t="s">
        <v>4379</v>
      </c>
    </row>
    <row r="1232" spans="1:16">
      <c r="A1232" s="4">
        <v>46248.593657407408</v>
      </c>
      <c r="B1232" s="2" t="s">
        <v>1228</v>
      </c>
      <c r="C1232" s="2" t="s">
        <v>2072</v>
      </c>
      <c r="D1232" s="2" t="s">
        <v>4177</v>
      </c>
      <c r="E1232" s="2">
        <v>16</v>
      </c>
      <c r="F1232" s="2"/>
      <c r="G1232" s="2">
        <v>16</v>
      </c>
      <c r="H1232" s="2" t="s">
        <v>3462</v>
      </c>
      <c r="I1232" s="2" t="s">
        <v>695</v>
      </c>
      <c r="J1232" s="2" t="s">
        <v>2537</v>
      </c>
      <c r="K1232" s="2" t="s">
        <v>1855</v>
      </c>
      <c r="L1232" s="2" t="s">
        <v>1847</v>
      </c>
      <c r="M1232" s="2" t="str">
        <f t="shared" si="22"/>
        <v>14</v>
      </c>
      <c r="N1232" s="2" t="s">
        <v>149</v>
      </c>
      <c r="O1232" s="2" t="s">
        <v>4373</v>
      </c>
      <c r="P1232" s="2" t="s">
        <v>4379</v>
      </c>
    </row>
    <row r="1233" spans="1:16">
      <c r="A1233" s="4">
        <v>46248.592939814815</v>
      </c>
      <c r="B1233" s="2" t="s">
        <v>1858</v>
      </c>
      <c r="C1233" s="2" t="s">
        <v>2072</v>
      </c>
      <c r="D1233" s="2" t="s">
        <v>4177</v>
      </c>
      <c r="E1233" s="2">
        <v>16</v>
      </c>
      <c r="F1233" s="2"/>
      <c r="G1233" s="2">
        <v>16</v>
      </c>
      <c r="H1233" s="2" t="s">
        <v>3462</v>
      </c>
      <c r="I1233" s="2" t="s">
        <v>695</v>
      </c>
      <c r="J1233" s="2" t="s">
        <v>2537</v>
      </c>
      <c r="K1233" s="2" t="s">
        <v>1855</v>
      </c>
      <c r="L1233" s="2" t="s">
        <v>1847</v>
      </c>
      <c r="M1233" s="2" t="str">
        <f t="shared" si="22"/>
        <v>14</v>
      </c>
      <c r="N1233" s="2" t="s">
        <v>893</v>
      </c>
      <c r="O1233" s="2" t="s">
        <v>4373</v>
      </c>
      <c r="P1233" s="2" t="s">
        <v>4379</v>
      </c>
    </row>
    <row r="1234" spans="1:16">
      <c r="A1234" s="4">
        <v>46248.592604166668</v>
      </c>
      <c r="B1234" s="2" t="s">
        <v>455</v>
      </c>
      <c r="C1234" s="2" t="s">
        <v>2072</v>
      </c>
      <c r="D1234" s="2" t="s">
        <v>4177</v>
      </c>
      <c r="E1234" s="2">
        <v>16</v>
      </c>
      <c r="F1234" s="2"/>
      <c r="G1234" s="2">
        <v>16</v>
      </c>
      <c r="H1234" s="2" t="s">
        <v>3462</v>
      </c>
      <c r="I1234" s="2" t="s">
        <v>695</v>
      </c>
      <c r="J1234" s="2" t="s">
        <v>2537</v>
      </c>
      <c r="K1234" s="2" t="s">
        <v>1855</v>
      </c>
      <c r="L1234" s="2" t="s">
        <v>1847</v>
      </c>
      <c r="M1234" s="2" t="str">
        <f t="shared" si="22"/>
        <v>14</v>
      </c>
      <c r="N1234" s="2" t="s">
        <v>386</v>
      </c>
      <c r="O1234" s="2" t="s">
        <v>4373</v>
      </c>
      <c r="P1234" s="2" t="s">
        <v>4379</v>
      </c>
    </row>
    <row r="1235" spans="1:16">
      <c r="A1235" s="4">
        <v>46248.592546296299</v>
      </c>
      <c r="B1235" s="2" t="s">
        <v>3220</v>
      </c>
      <c r="C1235" s="2" t="s">
        <v>2072</v>
      </c>
      <c r="D1235" s="2" t="s">
        <v>4177</v>
      </c>
      <c r="E1235" s="2">
        <v>16</v>
      </c>
      <c r="F1235" s="2"/>
      <c r="G1235" s="2">
        <v>16</v>
      </c>
      <c r="H1235" s="2" t="s">
        <v>3462</v>
      </c>
      <c r="I1235" s="2" t="s">
        <v>695</v>
      </c>
      <c r="J1235" s="2" t="s">
        <v>2537</v>
      </c>
      <c r="K1235" s="2" t="s">
        <v>1855</v>
      </c>
      <c r="L1235" s="2" t="s">
        <v>1847</v>
      </c>
      <c r="M1235" s="2" t="str">
        <f t="shared" si="22"/>
        <v>14</v>
      </c>
      <c r="N1235" s="2" t="s">
        <v>84</v>
      </c>
      <c r="O1235" s="2" t="s">
        <v>4373</v>
      </c>
      <c r="P1235" s="2" t="s">
        <v>4379</v>
      </c>
    </row>
    <row r="1236" spans="1:16">
      <c r="A1236" s="4">
        <v>46248.591192129628</v>
      </c>
      <c r="B1236" s="2" t="s">
        <v>2770</v>
      </c>
      <c r="C1236" s="2" t="s">
        <v>2072</v>
      </c>
      <c r="D1236" s="2" t="s">
        <v>4177</v>
      </c>
      <c r="E1236" s="2">
        <v>16</v>
      </c>
      <c r="F1236" s="2"/>
      <c r="G1236" s="2">
        <v>16</v>
      </c>
      <c r="H1236" s="2" t="s">
        <v>3462</v>
      </c>
      <c r="I1236" s="2" t="s">
        <v>695</v>
      </c>
      <c r="J1236" s="2" t="s">
        <v>2537</v>
      </c>
      <c r="K1236" s="2" t="s">
        <v>1855</v>
      </c>
      <c r="L1236" s="2" t="s">
        <v>1847</v>
      </c>
      <c r="M1236" s="2" t="str">
        <f t="shared" si="22"/>
        <v>14</v>
      </c>
      <c r="N1236" s="2" t="s">
        <v>2151</v>
      </c>
      <c r="O1236" s="2" t="s">
        <v>4373</v>
      </c>
      <c r="P1236" s="2" t="s">
        <v>4379</v>
      </c>
    </row>
    <row r="1237" spans="1:16">
      <c r="A1237" s="4">
        <v>46248.591099537036</v>
      </c>
      <c r="B1237" s="2" t="s">
        <v>3480</v>
      </c>
      <c r="C1237" s="2" t="s">
        <v>2072</v>
      </c>
      <c r="D1237" s="2" t="s">
        <v>4177</v>
      </c>
      <c r="E1237" s="2">
        <v>16</v>
      </c>
      <c r="F1237" s="2"/>
      <c r="G1237" s="2">
        <v>16</v>
      </c>
      <c r="H1237" s="2" t="s">
        <v>3462</v>
      </c>
      <c r="I1237" s="2" t="s">
        <v>695</v>
      </c>
      <c r="J1237" s="2" t="s">
        <v>2537</v>
      </c>
      <c r="K1237" s="2" t="s">
        <v>1855</v>
      </c>
      <c r="L1237" s="2" t="s">
        <v>1847</v>
      </c>
      <c r="M1237" s="2" t="str">
        <f t="shared" si="22"/>
        <v>14</v>
      </c>
      <c r="N1237" s="2" t="s">
        <v>2847</v>
      </c>
      <c r="O1237" s="2" t="s">
        <v>4373</v>
      </c>
      <c r="P1237" s="2" t="s">
        <v>4379</v>
      </c>
    </row>
    <row r="1238" spans="1:16">
      <c r="A1238" s="4">
        <v>46248.591006944444</v>
      </c>
      <c r="B1238" s="2" t="s">
        <v>862</v>
      </c>
      <c r="C1238" s="2" t="s">
        <v>2072</v>
      </c>
      <c r="D1238" s="2" t="s">
        <v>4177</v>
      </c>
      <c r="E1238" s="2">
        <v>16</v>
      </c>
      <c r="F1238" s="2"/>
      <c r="G1238" s="2">
        <v>16</v>
      </c>
      <c r="H1238" s="2" t="s">
        <v>3462</v>
      </c>
      <c r="I1238" s="2" t="s">
        <v>695</v>
      </c>
      <c r="J1238" s="2" t="s">
        <v>2537</v>
      </c>
      <c r="K1238" s="2" t="s">
        <v>1855</v>
      </c>
      <c r="L1238" s="2" t="s">
        <v>1847</v>
      </c>
      <c r="M1238" s="2" t="str">
        <f t="shared" si="22"/>
        <v>14</v>
      </c>
      <c r="N1238" s="2" t="s">
        <v>2558</v>
      </c>
      <c r="O1238" s="2" t="s">
        <v>4373</v>
      </c>
      <c r="P1238" s="2" t="s">
        <v>4379</v>
      </c>
    </row>
    <row r="1239" spans="1:16">
      <c r="A1239" s="4">
        <v>46248.588692129626</v>
      </c>
      <c r="B1239" s="2" t="s">
        <v>385</v>
      </c>
      <c r="C1239" s="2" t="s">
        <v>2072</v>
      </c>
      <c r="D1239" s="2" t="s">
        <v>4177</v>
      </c>
      <c r="E1239" s="2">
        <v>16</v>
      </c>
      <c r="F1239" s="2"/>
      <c r="G1239" s="2">
        <v>16</v>
      </c>
      <c r="H1239" s="2" t="s">
        <v>3462</v>
      </c>
      <c r="I1239" s="2" t="s">
        <v>695</v>
      </c>
      <c r="J1239" s="2" t="s">
        <v>2537</v>
      </c>
      <c r="K1239" s="2" t="s">
        <v>1855</v>
      </c>
      <c r="L1239" s="2" t="s">
        <v>1847</v>
      </c>
      <c r="M1239" s="2" t="str">
        <f t="shared" si="22"/>
        <v>14</v>
      </c>
      <c r="N1239" s="2" t="s">
        <v>4359</v>
      </c>
      <c r="O1239" s="2" t="s">
        <v>4373</v>
      </c>
      <c r="P1239" s="2" t="s">
        <v>4379</v>
      </c>
    </row>
    <row r="1240" spans="1:16">
      <c r="A1240" s="4">
        <v>46248.588553240741</v>
      </c>
      <c r="B1240" s="2" t="s">
        <v>1296</v>
      </c>
      <c r="C1240" s="2" t="s">
        <v>2072</v>
      </c>
      <c r="D1240" s="2" t="s">
        <v>4177</v>
      </c>
      <c r="E1240" s="2">
        <v>16</v>
      </c>
      <c r="F1240" s="2"/>
      <c r="G1240" s="2">
        <v>16</v>
      </c>
      <c r="H1240" s="2" t="s">
        <v>3462</v>
      </c>
      <c r="I1240" s="2" t="s">
        <v>695</v>
      </c>
      <c r="J1240" s="2" t="s">
        <v>2537</v>
      </c>
      <c r="K1240" s="2" t="s">
        <v>1855</v>
      </c>
      <c r="L1240" s="2" t="s">
        <v>1847</v>
      </c>
      <c r="M1240" s="2" t="str">
        <f t="shared" si="22"/>
        <v>14</v>
      </c>
      <c r="N1240" s="2" t="s">
        <v>3515</v>
      </c>
      <c r="O1240" s="2" t="s">
        <v>4373</v>
      </c>
      <c r="P1240" s="2" t="s">
        <v>4379</v>
      </c>
    </row>
    <row r="1241" spans="1:16">
      <c r="A1241" s="4">
        <v>46248.588379629633</v>
      </c>
      <c r="B1241" s="2" t="s">
        <v>2722</v>
      </c>
      <c r="C1241" s="2" t="s">
        <v>2072</v>
      </c>
      <c r="D1241" s="2" t="s">
        <v>4177</v>
      </c>
      <c r="E1241" s="2">
        <v>16</v>
      </c>
      <c r="F1241" s="2"/>
      <c r="G1241" s="2">
        <v>16</v>
      </c>
      <c r="H1241" s="2" t="s">
        <v>3462</v>
      </c>
      <c r="I1241" s="2" t="s">
        <v>695</v>
      </c>
      <c r="J1241" s="2" t="s">
        <v>2537</v>
      </c>
      <c r="K1241" s="2" t="s">
        <v>1855</v>
      </c>
      <c r="L1241" s="2" t="s">
        <v>1847</v>
      </c>
      <c r="M1241" s="2" t="str">
        <f t="shared" si="22"/>
        <v>14</v>
      </c>
      <c r="N1241" s="2" t="s">
        <v>3278</v>
      </c>
      <c r="O1241" s="2" t="s">
        <v>4373</v>
      </c>
      <c r="P1241" s="2" t="s">
        <v>4379</v>
      </c>
    </row>
    <row r="1242" spans="1:16">
      <c r="A1242" s="4">
        <v>46248.587083333332</v>
      </c>
      <c r="B1242" s="2" t="s">
        <v>3502</v>
      </c>
      <c r="C1242" s="2" t="s">
        <v>2072</v>
      </c>
      <c r="D1242" s="2" t="s">
        <v>4177</v>
      </c>
      <c r="E1242" s="2">
        <v>16</v>
      </c>
      <c r="F1242" s="2"/>
      <c r="G1242" s="2">
        <v>16</v>
      </c>
      <c r="H1242" s="2" t="s">
        <v>3462</v>
      </c>
      <c r="I1242" s="2" t="s">
        <v>695</v>
      </c>
      <c r="J1242" s="2" t="s">
        <v>2537</v>
      </c>
      <c r="K1242" s="2" t="s">
        <v>1855</v>
      </c>
      <c r="L1242" s="2" t="s">
        <v>1847</v>
      </c>
      <c r="M1242" s="2" t="str">
        <f t="shared" si="22"/>
        <v>14</v>
      </c>
      <c r="N1242" s="2" t="s">
        <v>2305</v>
      </c>
      <c r="O1242" s="2" t="s">
        <v>4373</v>
      </c>
      <c r="P1242" s="2" t="s">
        <v>4379</v>
      </c>
    </row>
    <row r="1243" spans="1:16">
      <c r="A1243" s="4">
        <v>46248.587048611109</v>
      </c>
      <c r="B1243" s="2" t="s">
        <v>4149</v>
      </c>
      <c r="C1243" s="2" t="s">
        <v>2072</v>
      </c>
      <c r="D1243" s="2" t="s">
        <v>4177</v>
      </c>
      <c r="E1243" s="2">
        <v>16</v>
      </c>
      <c r="F1243" s="2"/>
      <c r="G1243" s="2">
        <v>16</v>
      </c>
      <c r="H1243" s="2" t="s">
        <v>3462</v>
      </c>
      <c r="I1243" s="2" t="s">
        <v>695</v>
      </c>
      <c r="J1243" s="2" t="s">
        <v>2537</v>
      </c>
      <c r="K1243" s="2" t="s">
        <v>1855</v>
      </c>
      <c r="L1243" s="2" t="s">
        <v>1847</v>
      </c>
      <c r="M1243" s="2" t="str">
        <f t="shared" si="22"/>
        <v>14</v>
      </c>
      <c r="N1243" s="2" t="s">
        <v>594</v>
      </c>
      <c r="O1243" s="2" t="s">
        <v>4373</v>
      </c>
      <c r="P1243" s="2" t="s">
        <v>4379</v>
      </c>
    </row>
    <row r="1244" spans="1:16">
      <c r="A1244" s="4">
        <v>46248.587025462963</v>
      </c>
      <c r="B1244" s="2" t="s">
        <v>1010</v>
      </c>
      <c r="C1244" s="2" t="s">
        <v>2072</v>
      </c>
      <c r="D1244" s="2" t="s">
        <v>4177</v>
      </c>
      <c r="E1244" s="2">
        <v>16</v>
      </c>
      <c r="F1244" s="2"/>
      <c r="G1244" s="2">
        <v>16</v>
      </c>
      <c r="H1244" s="2" t="s">
        <v>3462</v>
      </c>
      <c r="I1244" s="2" t="s">
        <v>695</v>
      </c>
      <c r="J1244" s="2" t="s">
        <v>2537</v>
      </c>
      <c r="K1244" s="2" t="s">
        <v>1855</v>
      </c>
      <c r="L1244" s="2" t="s">
        <v>1847</v>
      </c>
      <c r="M1244" s="2" t="str">
        <f t="shared" si="22"/>
        <v>14</v>
      </c>
      <c r="N1244" s="2" t="s">
        <v>4100</v>
      </c>
      <c r="O1244" s="2" t="s">
        <v>4373</v>
      </c>
      <c r="P1244" s="2" t="s">
        <v>4379</v>
      </c>
    </row>
    <row r="1245" spans="1:16">
      <c r="A1245" s="4">
        <v>46248.58489583333</v>
      </c>
      <c r="B1245" s="2" t="s">
        <v>4005</v>
      </c>
      <c r="C1245" s="2" t="s">
        <v>2072</v>
      </c>
      <c r="D1245" s="2" t="s">
        <v>4177</v>
      </c>
      <c r="E1245" s="2">
        <v>16</v>
      </c>
      <c r="F1245" s="2"/>
      <c r="G1245" s="2">
        <v>16</v>
      </c>
      <c r="H1245" s="2" t="s">
        <v>3462</v>
      </c>
      <c r="I1245" s="2" t="s">
        <v>695</v>
      </c>
      <c r="J1245" s="2" t="s">
        <v>2537</v>
      </c>
      <c r="K1245" s="2" t="s">
        <v>1855</v>
      </c>
      <c r="L1245" s="2" t="s">
        <v>1847</v>
      </c>
      <c r="M1245" s="2" t="str">
        <f t="shared" si="22"/>
        <v>14</v>
      </c>
      <c r="N1245" s="2" t="s">
        <v>1040</v>
      </c>
      <c r="O1245" s="2" t="s">
        <v>4373</v>
      </c>
      <c r="P1245" s="2" t="s">
        <v>4379</v>
      </c>
    </row>
    <row r="1246" spans="1:16">
      <c r="A1246" s="4">
        <v>46248.584675925929</v>
      </c>
      <c r="B1246" s="2" t="s">
        <v>2378</v>
      </c>
      <c r="C1246" s="2" t="s">
        <v>2072</v>
      </c>
      <c r="D1246" s="2" t="s">
        <v>4177</v>
      </c>
      <c r="E1246" s="2">
        <v>16</v>
      </c>
      <c r="F1246" s="2"/>
      <c r="G1246" s="2">
        <v>16</v>
      </c>
      <c r="H1246" s="2" t="s">
        <v>3462</v>
      </c>
      <c r="I1246" s="2" t="s">
        <v>695</v>
      </c>
      <c r="J1246" s="2" t="s">
        <v>2537</v>
      </c>
      <c r="K1246" s="2" t="s">
        <v>1855</v>
      </c>
      <c r="L1246" s="2" t="s">
        <v>1847</v>
      </c>
      <c r="M1246" s="2" t="str">
        <f t="shared" si="22"/>
        <v>14</v>
      </c>
      <c r="N1246" s="2" t="s">
        <v>1441</v>
      </c>
      <c r="O1246" s="2" t="s">
        <v>4373</v>
      </c>
      <c r="P1246" s="2" t="s">
        <v>4379</v>
      </c>
    </row>
    <row r="1247" spans="1:16">
      <c r="A1247" s="4">
        <v>46248.583009259259</v>
      </c>
      <c r="B1247" s="2" t="s">
        <v>247</v>
      </c>
      <c r="C1247" s="2" t="s">
        <v>2072</v>
      </c>
      <c r="D1247" s="2" t="s">
        <v>4177</v>
      </c>
      <c r="E1247" s="2">
        <v>16</v>
      </c>
      <c r="F1247" s="2"/>
      <c r="G1247" s="2">
        <v>16</v>
      </c>
      <c r="H1247" s="2" t="s">
        <v>3462</v>
      </c>
      <c r="I1247" s="2" t="s">
        <v>695</v>
      </c>
      <c r="J1247" s="2" t="s">
        <v>2537</v>
      </c>
      <c r="K1247" s="2" t="s">
        <v>1855</v>
      </c>
      <c r="L1247" s="2" t="s">
        <v>1847</v>
      </c>
      <c r="M1247" s="2" t="str">
        <f t="shared" si="22"/>
        <v>14</v>
      </c>
      <c r="N1247" s="2" t="s">
        <v>2188</v>
      </c>
      <c r="O1247" s="2" t="s">
        <v>4373</v>
      </c>
      <c r="P1247" s="2" t="s">
        <v>4379</v>
      </c>
    </row>
    <row r="1248" spans="1:16">
      <c r="A1248" s="4">
        <v>46248.582962962966</v>
      </c>
      <c r="B1248" s="2" t="s">
        <v>3734</v>
      </c>
      <c r="C1248" s="2" t="s">
        <v>2072</v>
      </c>
      <c r="D1248" s="2" t="s">
        <v>4177</v>
      </c>
      <c r="E1248" s="2">
        <v>16</v>
      </c>
      <c r="F1248" s="2"/>
      <c r="G1248" s="2">
        <v>16</v>
      </c>
      <c r="H1248" s="2" t="s">
        <v>3462</v>
      </c>
      <c r="I1248" s="2" t="s">
        <v>695</v>
      </c>
      <c r="J1248" s="2" t="s">
        <v>2537</v>
      </c>
      <c r="K1248" s="2" t="s">
        <v>1855</v>
      </c>
      <c r="L1248" s="2" t="s">
        <v>1847</v>
      </c>
      <c r="M1248" s="2" t="str">
        <f t="shared" si="22"/>
        <v>14</v>
      </c>
      <c r="N1248" s="2" t="s">
        <v>842</v>
      </c>
      <c r="O1248" s="2" t="s">
        <v>4373</v>
      </c>
      <c r="P1248" s="2" t="s">
        <v>4379</v>
      </c>
    </row>
    <row r="1249" spans="1:16">
      <c r="A1249" s="4">
        <v>46248.582858796297</v>
      </c>
      <c r="B1249" s="2" t="s">
        <v>3051</v>
      </c>
      <c r="C1249" s="2" t="s">
        <v>2072</v>
      </c>
      <c r="D1249" s="2" t="s">
        <v>4177</v>
      </c>
      <c r="E1249" s="2">
        <v>16</v>
      </c>
      <c r="F1249" s="2"/>
      <c r="G1249" s="2">
        <v>16</v>
      </c>
      <c r="H1249" s="2" t="s">
        <v>3462</v>
      </c>
      <c r="I1249" s="2" t="s">
        <v>695</v>
      </c>
      <c r="J1249" s="2" t="s">
        <v>2537</v>
      </c>
      <c r="K1249" s="2" t="s">
        <v>1855</v>
      </c>
      <c r="L1249" s="2" t="s">
        <v>1847</v>
      </c>
      <c r="M1249" s="2" t="str">
        <f t="shared" si="22"/>
        <v>14</v>
      </c>
      <c r="N1249" s="2" t="s">
        <v>2690</v>
      </c>
      <c r="O1249" s="2" t="s">
        <v>4373</v>
      </c>
      <c r="P1249" s="2" t="s">
        <v>4379</v>
      </c>
    </row>
    <row r="1250" spans="1:16">
      <c r="A1250" s="4">
        <v>46246.672233796293</v>
      </c>
      <c r="B1250" s="2" t="s">
        <v>980</v>
      </c>
      <c r="C1250" s="2" t="s">
        <v>2072</v>
      </c>
      <c r="D1250" s="2" t="s">
        <v>4177</v>
      </c>
      <c r="E1250" s="2">
        <v>4</v>
      </c>
      <c r="F1250" s="2"/>
      <c r="G1250" s="2">
        <v>4</v>
      </c>
      <c r="H1250" s="2" t="s">
        <v>3021</v>
      </c>
      <c r="I1250" s="2" t="s">
        <v>695</v>
      </c>
      <c r="J1250" s="2" t="s">
        <v>2537</v>
      </c>
      <c r="K1250" s="2" t="s">
        <v>1855</v>
      </c>
      <c r="L1250" s="2" t="s">
        <v>3386</v>
      </c>
      <c r="M1250" s="2" t="str">
        <f t="shared" si="22"/>
        <v>13</v>
      </c>
      <c r="N1250" s="2" t="s">
        <v>716</v>
      </c>
      <c r="O1250" s="2" t="s">
        <v>4373</v>
      </c>
      <c r="P1250" s="2" t="s">
        <v>4381</v>
      </c>
    </row>
    <row r="1251" spans="1:16">
      <c r="A1251" s="4">
        <v>46246.672002314815</v>
      </c>
      <c r="B1251" s="2" t="s">
        <v>133</v>
      </c>
      <c r="C1251" s="2" t="s">
        <v>2072</v>
      </c>
      <c r="D1251" s="2" t="s">
        <v>4177</v>
      </c>
      <c r="E1251" s="2">
        <v>16</v>
      </c>
      <c r="F1251" s="2"/>
      <c r="G1251" s="2">
        <v>16</v>
      </c>
      <c r="H1251" s="2" t="s">
        <v>3021</v>
      </c>
      <c r="I1251" s="2" t="s">
        <v>695</v>
      </c>
      <c r="J1251" s="2" t="s">
        <v>2537</v>
      </c>
      <c r="K1251" s="2" t="s">
        <v>1855</v>
      </c>
      <c r="L1251" s="2" t="s">
        <v>3386</v>
      </c>
      <c r="M1251" s="2" t="str">
        <f t="shared" si="22"/>
        <v>13</v>
      </c>
      <c r="N1251" s="2" t="s">
        <v>547</v>
      </c>
      <c r="O1251" s="2" t="s">
        <v>4373</v>
      </c>
      <c r="P1251" s="2" t="s">
        <v>4381</v>
      </c>
    </row>
    <row r="1252" spans="1:16">
      <c r="A1252" s="4">
        <v>46246.6716087963</v>
      </c>
      <c r="B1252" s="2" t="s">
        <v>692</v>
      </c>
      <c r="C1252" s="2" t="s">
        <v>2072</v>
      </c>
      <c r="D1252" s="2" t="s">
        <v>4177</v>
      </c>
      <c r="E1252" s="2">
        <v>16</v>
      </c>
      <c r="F1252" s="2"/>
      <c r="G1252" s="2">
        <v>16</v>
      </c>
      <c r="H1252" s="2" t="s">
        <v>3021</v>
      </c>
      <c r="I1252" s="2" t="s">
        <v>695</v>
      </c>
      <c r="J1252" s="2" t="s">
        <v>2537</v>
      </c>
      <c r="K1252" s="2" t="s">
        <v>1855</v>
      </c>
      <c r="L1252" s="2" t="s">
        <v>3386</v>
      </c>
      <c r="M1252" s="2" t="str">
        <f t="shared" si="22"/>
        <v>13</v>
      </c>
      <c r="N1252" s="2" t="s">
        <v>2244</v>
      </c>
      <c r="O1252" s="2" t="s">
        <v>4373</v>
      </c>
      <c r="P1252" s="2" t="s">
        <v>4381</v>
      </c>
    </row>
    <row r="1253" spans="1:16">
      <c r="A1253" s="4">
        <v>46246.671076388891</v>
      </c>
      <c r="B1253" s="2" t="s">
        <v>565</v>
      </c>
      <c r="C1253" s="2" t="s">
        <v>2072</v>
      </c>
      <c r="D1253" s="2" t="s">
        <v>4177</v>
      </c>
      <c r="E1253" s="2">
        <v>16</v>
      </c>
      <c r="F1253" s="2"/>
      <c r="G1253" s="2">
        <v>16</v>
      </c>
      <c r="H1253" s="2" t="s">
        <v>3021</v>
      </c>
      <c r="I1253" s="2" t="s">
        <v>695</v>
      </c>
      <c r="J1253" s="2" t="s">
        <v>2537</v>
      </c>
      <c r="K1253" s="2" t="s">
        <v>1855</v>
      </c>
      <c r="L1253" s="2" t="s">
        <v>3386</v>
      </c>
      <c r="M1253" s="2" t="str">
        <f t="shared" si="22"/>
        <v>13</v>
      </c>
      <c r="N1253" s="2" t="s">
        <v>783</v>
      </c>
      <c r="O1253" s="2" t="s">
        <v>4373</v>
      </c>
      <c r="P1253" s="2" t="s">
        <v>4381</v>
      </c>
    </row>
    <row r="1254" spans="1:16">
      <c r="A1254" s="4">
        <v>46246.670370370368</v>
      </c>
      <c r="B1254" s="2" t="s">
        <v>651</v>
      </c>
      <c r="C1254" s="2" t="s">
        <v>2072</v>
      </c>
      <c r="D1254" s="2" t="s">
        <v>4177</v>
      </c>
      <c r="E1254" s="2">
        <v>16</v>
      </c>
      <c r="F1254" s="2"/>
      <c r="G1254" s="2">
        <v>16</v>
      </c>
      <c r="H1254" s="2" t="s">
        <v>3021</v>
      </c>
      <c r="I1254" s="2" t="s">
        <v>695</v>
      </c>
      <c r="J1254" s="2" t="s">
        <v>2537</v>
      </c>
      <c r="K1254" s="2" t="s">
        <v>1855</v>
      </c>
      <c r="L1254" s="2" t="s">
        <v>3386</v>
      </c>
      <c r="M1254" s="2" t="str">
        <f t="shared" si="22"/>
        <v>13</v>
      </c>
      <c r="N1254" s="2" t="s">
        <v>3729</v>
      </c>
      <c r="O1254" s="2" t="s">
        <v>4373</v>
      </c>
      <c r="P1254" s="2" t="s">
        <v>4381</v>
      </c>
    </row>
    <row r="1255" spans="1:16">
      <c r="A1255" s="4">
        <v>46246.669074074074</v>
      </c>
      <c r="B1255" s="2" t="s">
        <v>2063</v>
      </c>
      <c r="C1255" s="2" t="s">
        <v>2072</v>
      </c>
      <c r="D1255" s="2" t="s">
        <v>4177</v>
      </c>
      <c r="E1255" s="2">
        <v>16</v>
      </c>
      <c r="F1255" s="2"/>
      <c r="G1255" s="2">
        <v>16</v>
      </c>
      <c r="H1255" s="2" t="s">
        <v>3021</v>
      </c>
      <c r="I1255" s="2" t="s">
        <v>695</v>
      </c>
      <c r="J1255" s="2" t="s">
        <v>2537</v>
      </c>
      <c r="K1255" s="2" t="s">
        <v>1855</v>
      </c>
      <c r="L1255" s="2" t="s">
        <v>3386</v>
      </c>
      <c r="M1255" s="2" t="str">
        <f t="shared" si="22"/>
        <v>13</v>
      </c>
      <c r="N1255" s="2" t="s">
        <v>3396</v>
      </c>
      <c r="O1255" s="2" t="s">
        <v>4373</v>
      </c>
      <c r="P1255" s="2" t="s">
        <v>4381</v>
      </c>
    </row>
    <row r="1256" spans="1:16">
      <c r="A1256" s="4">
        <v>46246.668807870374</v>
      </c>
      <c r="B1256" s="2" t="s">
        <v>497</v>
      </c>
      <c r="C1256" s="2" t="s">
        <v>2072</v>
      </c>
      <c r="D1256" s="2" t="s">
        <v>4177</v>
      </c>
      <c r="E1256" s="2">
        <v>16</v>
      </c>
      <c r="F1256" s="2"/>
      <c r="G1256" s="2">
        <v>16</v>
      </c>
      <c r="H1256" s="2" t="s">
        <v>3021</v>
      </c>
      <c r="I1256" s="2" t="s">
        <v>695</v>
      </c>
      <c r="J1256" s="2" t="s">
        <v>2537</v>
      </c>
      <c r="K1256" s="2" t="s">
        <v>1855</v>
      </c>
      <c r="L1256" s="2" t="s">
        <v>3386</v>
      </c>
      <c r="M1256" s="2" t="str">
        <f t="shared" si="22"/>
        <v>13</v>
      </c>
      <c r="N1256" s="2" t="s">
        <v>1460</v>
      </c>
      <c r="O1256" s="2" t="s">
        <v>4373</v>
      </c>
      <c r="P1256" s="2" t="s">
        <v>4381</v>
      </c>
    </row>
    <row r="1257" spans="1:16">
      <c r="A1257" s="4">
        <v>46246.667314814818</v>
      </c>
      <c r="B1257" s="2" t="s">
        <v>127</v>
      </c>
      <c r="C1257" s="2" t="s">
        <v>2072</v>
      </c>
      <c r="D1257" s="2" t="s">
        <v>4177</v>
      </c>
      <c r="E1257" s="2">
        <v>16</v>
      </c>
      <c r="F1257" s="2"/>
      <c r="G1257" s="2">
        <v>16</v>
      </c>
      <c r="H1257" s="2" t="s">
        <v>3021</v>
      </c>
      <c r="I1257" s="2" t="s">
        <v>695</v>
      </c>
      <c r="J1257" s="2" t="s">
        <v>2537</v>
      </c>
      <c r="K1257" s="2" t="s">
        <v>1855</v>
      </c>
      <c r="L1257" s="2" t="s">
        <v>3386</v>
      </c>
      <c r="M1257" s="2" t="str">
        <f t="shared" si="22"/>
        <v>13</v>
      </c>
      <c r="N1257" s="2" t="s">
        <v>1552</v>
      </c>
      <c r="O1257" s="2" t="s">
        <v>4373</v>
      </c>
      <c r="P1257" s="2" t="s">
        <v>4381</v>
      </c>
    </row>
    <row r="1258" spans="1:16">
      <c r="A1258" s="4">
        <v>46246.667256944442</v>
      </c>
      <c r="B1258" s="2" t="s">
        <v>1676</v>
      </c>
      <c r="C1258" s="2" t="s">
        <v>2072</v>
      </c>
      <c r="D1258" s="2" t="s">
        <v>4177</v>
      </c>
      <c r="E1258" s="2">
        <v>16</v>
      </c>
      <c r="F1258" s="2"/>
      <c r="G1258" s="2">
        <v>16</v>
      </c>
      <c r="H1258" s="2" t="s">
        <v>3021</v>
      </c>
      <c r="I1258" s="2" t="s">
        <v>695</v>
      </c>
      <c r="J1258" s="2" t="s">
        <v>2537</v>
      </c>
      <c r="K1258" s="2" t="s">
        <v>1855</v>
      </c>
      <c r="L1258" s="2" t="s">
        <v>3386</v>
      </c>
      <c r="M1258" s="2" t="str">
        <f t="shared" si="22"/>
        <v>13</v>
      </c>
      <c r="N1258" s="2" t="s">
        <v>1624</v>
      </c>
      <c r="O1258" s="2" t="s">
        <v>4373</v>
      </c>
      <c r="P1258" s="2" t="s">
        <v>4381</v>
      </c>
    </row>
    <row r="1259" spans="1:16">
      <c r="A1259" s="4">
        <v>46246.666168981479</v>
      </c>
      <c r="B1259" s="2" t="s">
        <v>1167</v>
      </c>
      <c r="C1259" s="2" t="s">
        <v>2072</v>
      </c>
      <c r="D1259" s="2" t="s">
        <v>4177</v>
      </c>
      <c r="E1259" s="2">
        <v>16</v>
      </c>
      <c r="F1259" s="2"/>
      <c r="G1259" s="2">
        <v>16</v>
      </c>
      <c r="H1259" s="2" t="s">
        <v>3021</v>
      </c>
      <c r="I1259" s="2" t="s">
        <v>695</v>
      </c>
      <c r="J1259" s="2" t="s">
        <v>2537</v>
      </c>
      <c r="K1259" s="2" t="s">
        <v>1855</v>
      </c>
      <c r="L1259" s="2" t="s">
        <v>3386</v>
      </c>
      <c r="M1259" s="2" t="str">
        <f t="shared" si="22"/>
        <v>13</v>
      </c>
      <c r="N1259" s="2" t="s">
        <v>3981</v>
      </c>
      <c r="O1259" s="2" t="s">
        <v>4373</v>
      </c>
      <c r="P1259" s="2" t="s">
        <v>4381</v>
      </c>
    </row>
    <row r="1260" spans="1:16">
      <c r="A1260" s="4">
        <v>46246.666041666664</v>
      </c>
      <c r="B1260" s="2" t="s">
        <v>3520</v>
      </c>
      <c r="C1260" s="2" t="s">
        <v>2072</v>
      </c>
      <c r="D1260" s="2" t="s">
        <v>4177</v>
      </c>
      <c r="E1260" s="2">
        <v>16</v>
      </c>
      <c r="F1260" s="2"/>
      <c r="G1260" s="2">
        <v>16</v>
      </c>
      <c r="H1260" s="2" t="s">
        <v>3021</v>
      </c>
      <c r="I1260" s="2" t="s">
        <v>695</v>
      </c>
      <c r="J1260" s="2" t="s">
        <v>2537</v>
      </c>
      <c r="K1260" s="2" t="s">
        <v>1855</v>
      </c>
      <c r="L1260" s="2" t="s">
        <v>3386</v>
      </c>
      <c r="M1260" s="2" t="str">
        <f t="shared" si="22"/>
        <v>13</v>
      </c>
      <c r="N1260" s="2" t="s">
        <v>83</v>
      </c>
      <c r="O1260" s="2" t="s">
        <v>4373</v>
      </c>
      <c r="P1260" s="2" t="s">
        <v>4381</v>
      </c>
    </row>
    <row r="1261" spans="1:16">
      <c r="A1261" s="4">
        <v>46246.664421296293</v>
      </c>
      <c r="B1261" s="2" t="s">
        <v>1487</v>
      </c>
      <c r="C1261" s="2" t="s">
        <v>2072</v>
      </c>
      <c r="D1261" s="2" t="s">
        <v>4177</v>
      </c>
      <c r="E1261" s="2">
        <v>16</v>
      </c>
      <c r="F1261" s="2"/>
      <c r="G1261" s="2">
        <v>16</v>
      </c>
      <c r="H1261" s="2" t="s">
        <v>3021</v>
      </c>
      <c r="I1261" s="2" t="s">
        <v>695</v>
      </c>
      <c r="J1261" s="2" t="s">
        <v>2537</v>
      </c>
      <c r="K1261" s="2" t="s">
        <v>1855</v>
      </c>
      <c r="L1261" s="2" t="s">
        <v>3386</v>
      </c>
      <c r="M1261" s="2" t="str">
        <f t="shared" si="22"/>
        <v>13</v>
      </c>
      <c r="N1261" s="2" t="s">
        <v>2779</v>
      </c>
      <c r="O1261" s="2" t="s">
        <v>4373</v>
      </c>
      <c r="P1261" s="2" t="s">
        <v>4381</v>
      </c>
    </row>
    <row r="1262" spans="1:16">
      <c r="A1262" s="4">
        <v>46246.664340277777</v>
      </c>
      <c r="B1262" s="2" t="s">
        <v>1412</v>
      </c>
      <c r="C1262" s="2" t="s">
        <v>2072</v>
      </c>
      <c r="D1262" s="2" t="s">
        <v>4177</v>
      </c>
      <c r="E1262" s="2">
        <v>16</v>
      </c>
      <c r="F1262" s="2"/>
      <c r="G1262" s="2">
        <v>16</v>
      </c>
      <c r="H1262" s="2" t="s">
        <v>3021</v>
      </c>
      <c r="I1262" s="2" t="s">
        <v>695</v>
      </c>
      <c r="J1262" s="2" t="s">
        <v>2537</v>
      </c>
      <c r="K1262" s="2" t="s">
        <v>1855</v>
      </c>
      <c r="L1262" s="2" t="s">
        <v>3386</v>
      </c>
      <c r="M1262" s="2" t="str">
        <f t="shared" si="22"/>
        <v>13</v>
      </c>
      <c r="N1262" s="2" t="s">
        <v>3016</v>
      </c>
      <c r="O1262" s="2" t="s">
        <v>4373</v>
      </c>
      <c r="P1262" s="2" t="s">
        <v>4381</v>
      </c>
    </row>
    <row r="1263" spans="1:16">
      <c r="A1263" s="4">
        <v>46246.663090277776</v>
      </c>
      <c r="B1263" s="2" t="s">
        <v>3943</v>
      </c>
      <c r="C1263" s="2" t="s">
        <v>2072</v>
      </c>
      <c r="D1263" s="2" t="s">
        <v>4177</v>
      </c>
      <c r="E1263" s="2">
        <v>16</v>
      </c>
      <c r="F1263" s="2"/>
      <c r="G1263" s="2">
        <v>16</v>
      </c>
      <c r="H1263" s="2" t="s">
        <v>3021</v>
      </c>
      <c r="I1263" s="2" t="s">
        <v>695</v>
      </c>
      <c r="J1263" s="2" t="s">
        <v>2537</v>
      </c>
      <c r="K1263" s="2" t="s">
        <v>1855</v>
      </c>
      <c r="L1263" s="2" t="s">
        <v>3386</v>
      </c>
      <c r="M1263" s="2" t="str">
        <f t="shared" si="22"/>
        <v>13</v>
      </c>
      <c r="N1263" s="2" t="s">
        <v>4009</v>
      </c>
      <c r="O1263" s="2" t="s">
        <v>4373</v>
      </c>
      <c r="P1263" s="2" t="s">
        <v>4381</v>
      </c>
    </row>
    <row r="1264" spans="1:16">
      <c r="A1264" s="4">
        <v>46246.66269675926</v>
      </c>
      <c r="B1264" s="2" t="s">
        <v>2195</v>
      </c>
      <c r="C1264" s="2" t="s">
        <v>2072</v>
      </c>
      <c r="D1264" s="2" t="s">
        <v>4177</v>
      </c>
      <c r="E1264" s="2">
        <v>16</v>
      </c>
      <c r="F1264" s="2"/>
      <c r="G1264" s="2">
        <v>16</v>
      </c>
      <c r="H1264" s="2" t="s">
        <v>3021</v>
      </c>
      <c r="I1264" s="2" t="s">
        <v>695</v>
      </c>
      <c r="J1264" s="2" t="s">
        <v>2537</v>
      </c>
      <c r="K1264" s="2" t="s">
        <v>1855</v>
      </c>
      <c r="L1264" s="2" t="s">
        <v>3386</v>
      </c>
      <c r="M1264" s="2" t="str">
        <f t="shared" si="22"/>
        <v>13</v>
      </c>
      <c r="N1264" s="2" t="s">
        <v>2049</v>
      </c>
      <c r="O1264" s="2" t="s">
        <v>4373</v>
      </c>
      <c r="P1264" s="2" t="s">
        <v>4381</v>
      </c>
    </row>
    <row r="1265" spans="1:16">
      <c r="A1265" s="4">
        <v>46246.661585648151</v>
      </c>
      <c r="B1265" s="2" t="s">
        <v>164</v>
      </c>
      <c r="C1265" s="2" t="s">
        <v>2072</v>
      </c>
      <c r="D1265" s="2" t="s">
        <v>4177</v>
      </c>
      <c r="E1265" s="2">
        <v>16</v>
      </c>
      <c r="F1265" s="2"/>
      <c r="G1265" s="2">
        <v>16</v>
      </c>
      <c r="H1265" s="2" t="s">
        <v>3021</v>
      </c>
      <c r="I1265" s="2" t="s">
        <v>695</v>
      </c>
      <c r="J1265" s="2" t="s">
        <v>2537</v>
      </c>
      <c r="K1265" s="2" t="s">
        <v>1855</v>
      </c>
      <c r="L1265" s="2" t="s">
        <v>3386</v>
      </c>
      <c r="M1265" s="2" t="str">
        <f t="shared" si="22"/>
        <v>13</v>
      </c>
      <c r="N1265" s="2" t="s">
        <v>598</v>
      </c>
      <c r="O1265" s="2" t="s">
        <v>4373</v>
      </c>
      <c r="P1265" s="2" t="s">
        <v>4381</v>
      </c>
    </row>
    <row r="1266" spans="1:16">
      <c r="A1266" s="4">
        <v>46246.661099537036</v>
      </c>
      <c r="B1266" s="2" t="s">
        <v>4358</v>
      </c>
      <c r="C1266" s="2" t="s">
        <v>2072</v>
      </c>
      <c r="D1266" s="2" t="s">
        <v>4177</v>
      </c>
      <c r="E1266" s="2">
        <v>16</v>
      </c>
      <c r="F1266" s="2"/>
      <c r="G1266" s="2">
        <v>16</v>
      </c>
      <c r="H1266" s="2" t="s">
        <v>3021</v>
      </c>
      <c r="I1266" s="2" t="s">
        <v>695</v>
      </c>
      <c r="J1266" s="2" t="s">
        <v>2537</v>
      </c>
      <c r="K1266" s="2" t="s">
        <v>1855</v>
      </c>
      <c r="L1266" s="2" t="s">
        <v>3386</v>
      </c>
      <c r="M1266" s="2" t="str">
        <f t="shared" si="22"/>
        <v>13</v>
      </c>
      <c r="N1266" s="2" t="s">
        <v>1949</v>
      </c>
      <c r="O1266" s="2" t="s">
        <v>4373</v>
      </c>
      <c r="P1266" s="2" t="s">
        <v>4381</v>
      </c>
    </row>
    <row r="1267" spans="1:16">
      <c r="A1267" s="4">
        <v>46246.660011574073</v>
      </c>
      <c r="B1267" s="2" t="s">
        <v>2413</v>
      </c>
      <c r="C1267" s="2" t="s">
        <v>2072</v>
      </c>
      <c r="D1267" s="2" t="s">
        <v>4177</v>
      </c>
      <c r="E1267" s="2">
        <v>16</v>
      </c>
      <c r="F1267" s="2"/>
      <c r="G1267" s="2">
        <v>16</v>
      </c>
      <c r="H1267" s="2" t="s">
        <v>3021</v>
      </c>
      <c r="I1267" s="2" t="s">
        <v>695</v>
      </c>
      <c r="J1267" s="2" t="s">
        <v>2537</v>
      </c>
      <c r="K1267" s="2" t="s">
        <v>1855</v>
      </c>
      <c r="L1267" s="2" t="s">
        <v>3386</v>
      </c>
      <c r="M1267" s="2" t="str">
        <f t="shared" si="22"/>
        <v>13</v>
      </c>
      <c r="N1267" s="2" t="s">
        <v>1741</v>
      </c>
      <c r="O1267" s="2" t="s">
        <v>4373</v>
      </c>
      <c r="P1267" s="2" t="s">
        <v>4381</v>
      </c>
    </row>
    <row r="1268" spans="1:16">
      <c r="A1268" s="4">
        <v>46246.65996527778</v>
      </c>
      <c r="B1268" s="2" t="s">
        <v>1803</v>
      </c>
      <c r="C1268" s="2" t="s">
        <v>2072</v>
      </c>
      <c r="D1268" s="2" t="s">
        <v>4177</v>
      </c>
      <c r="E1268" s="2">
        <v>16</v>
      </c>
      <c r="F1268" s="2"/>
      <c r="G1268" s="2">
        <v>16</v>
      </c>
      <c r="H1268" s="2" t="s">
        <v>3021</v>
      </c>
      <c r="I1268" s="2" t="s">
        <v>695</v>
      </c>
      <c r="J1268" s="2" t="s">
        <v>2537</v>
      </c>
      <c r="K1268" s="2" t="s">
        <v>1855</v>
      </c>
      <c r="L1268" s="2" t="s">
        <v>3386</v>
      </c>
      <c r="M1268" s="2" t="str">
        <f t="shared" si="22"/>
        <v>13</v>
      </c>
      <c r="N1268" s="2" t="s">
        <v>2427</v>
      </c>
      <c r="O1268" s="2" t="s">
        <v>4373</v>
      </c>
      <c r="P1268" s="2" t="s">
        <v>4381</v>
      </c>
    </row>
    <row r="1269" spans="1:16">
      <c r="A1269" s="4">
        <v>46246.658564814818</v>
      </c>
      <c r="B1269" s="2" t="s">
        <v>1910</v>
      </c>
      <c r="C1269" s="2" t="s">
        <v>2072</v>
      </c>
      <c r="D1269" s="2" t="s">
        <v>4177</v>
      </c>
      <c r="E1269" s="2">
        <v>16</v>
      </c>
      <c r="F1269" s="2"/>
      <c r="G1269" s="2">
        <v>16</v>
      </c>
      <c r="H1269" s="2" t="s">
        <v>3021</v>
      </c>
      <c r="I1269" s="2" t="s">
        <v>695</v>
      </c>
      <c r="J1269" s="2" t="s">
        <v>2537</v>
      </c>
      <c r="K1269" s="2" t="s">
        <v>1855</v>
      </c>
      <c r="L1269" s="2" t="s">
        <v>3386</v>
      </c>
      <c r="M1269" s="2" t="str">
        <f t="shared" si="22"/>
        <v>13</v>
      </c>
      <c r="N1269" s="2" t="s">
        <v>1924</v>
      </c>
      <c r="O1269" s="2" t="s">
        <v>4373</v>
      </c>
      <c r="P1269" s="2" t="s">
        <v>4381</v>
      </c>
    </row>
    <row r="1270" spans="1:16">
      <c r="A1270" s="4">
        <v>46246.658472222225</v>
      </c>
      <c r="B1270" s="2" t="s">
        <v>3166</v>
      </c>
      <c r="C1270" s="2" t="s">
        <v>2072</v>
      </c>
      <c r="D1270" s="2" t="s">
        <v>4177</v>
      </c>
      <c r="E1270" s="2">
        <v>16</v>
      </c>
      <c r="F1270" s="2"/>
      <c r="G1270" s="2">
        <v>16</v>
      </c>
      <c r="H1270" s="2" t="s">
        <v>3021</v>
      </c>
      <c r="I1270" s="2" t="s">
        <v>695</v>
      </c>
      <c r="J1270" s="2" t="s">
        <v>2537</v>
      </c>
      <c r="K1270" s="2" t="s">
        <v>1855</v>
      </c>
      <c r="L1270" s="2" t="s">
        <v>3386</v>
      </c>
      <c r="M1270" s="2" t="str">
        <f t="shared" si="22"/>
        <v>13</v>
      </c>
      <c r="N1270" s="2" t="s">
        <v>2838</v>
      </c>
      <c r="O1270" s="2" t="s">
        <v>4373</v>
      </c>
      <c r="P1270" s="2" t="s">
        <v>4381</v>
      </c>
    </row>
    <row r="1271" spans="1:16">
      <c r="A1271" s="4">
        <v>46246.657048611109</v>
      </c>
      <c r="B1271" s="2" t="s">
        <v>2651</v>
      </c>
      <c r="C1271" s="2" t="s">
        <v>2072</v>
      </c>
      <c r="D1271" s="2" t="s">
        <v>4177</v>
      </c>
      <c r="E1271" s="2">
        <v>16</v>
      </c>
      <c r="F1271" s="2"/>
      <c r="G1271" s="2">
        <v>16</v>
      </c>
      <c r="H1271" s="2" t="s">
        <v>3021</v>
      </c>
      <c r="I1271" s="2" t="s">
        <v>695</v>
      </c>
      <c r="J1271" s="2" t="s">
        <v>2537</v>
      </c>
      <c r="K1271" s="2" t="s">
        <v>1855</v>
      </c>
      <c r="L1271" s="2" t="s">
        <v>3386</v>
      </c>
      <c r="M1271" s="2" t="str">
        <f t="shared" si="22"/>
        <v>13</v>
      </c>
      <c r="N1271" s="2" t="s">
        <v>3349</v>
      </c>
      <c r="O1271" s="2" t="s">
        <v>4373</v>
      </c>
      <c r="P1271" s="2" t="s">
        <v>4381</v>
      </c>
    </row>
    <row r="1272" spans="1:16">
      <c r="A1272" s="4">
        <v>46246.657025462962</v>
      </c>
      <c r="B1272" s="2" t="s">
        <v>3944</v>
      </c>
      <c r="C1272" s="2" t="s">
        <v>2072</v>
      </c>
      <c r="D1272" s="2" t="s">
        <v>4177</v>
      </c>
      <c r="E1272" s="2">
        <v>16</v>
      </c>
      <c r="F1272" s="2"/>
      <c r="G1272" s="2">
        <v>16</v>
      </c>
      <c r="H1272" s="2" t="s">
        <v>3021</v>
      </c>
      <c r="I1272" s="2" t="s">
        <v>695</v>
      </c>
      <c r="J1272" s="2" t="s">
        <v>2537</v>
      </c>
      <c r="K1272" s="2" t="s">
        <v>1855</v>
      </c>
      <c r="L1272" s="2" t="s">
        <v>3386</v>
      </c>
      <c r="M1272" s="2" t="str">
        <f t="shared" si="22"/>
        <v>13</v>
      </c>
      <c r="N1272" s="2" t="s">
        <v>3617</v>
      </c>
      <c r="O1272" s="2" t="s">
        <v>4373</v>
      </c>
      <c r="P1272" s="2" t="s">
        <v>4381</v>
      </c>
    </row>
    <row r="1273" spans="1:16">
      <c r="A1273" s="4">
        <v>46246.656400462962</v>
      </c>
      <c r="B1273" s="2" t="s">
        <v>3558</v>
      </c>
      <c r="C1273" s="2" t="s">
        <v>2072</v>
      </c>
      <c r="D1273" s="2" t="s">
        <v>4177</v>
      </c>
      <c r="E1273" s="2">
        <v>16</v>
      </c>
      <c r="F1273" s="2"/>
      <c r="G1273" s="2">
        <v>16</v>
      </c>
      <c r="H1273" s="2" t="s">
        <v>3021</v>
      </c>
      <c r="I1273" s="2" t="s">
        <v>695</v>
      </c>
      <c r="J1273" s="2" t="s">
        <v>2537</v>
      </c>
      <c r="K1273" s="2" t="s">
        <v>1855</v>
      </c>
      <c r="L1273" s="2" t="s">
        <v>3386</v>
      </c>
      <c r="M1273" s="2" t="str">
        <f t="shared" si="22"/>
        <v>13</v>
      </c>
      <c r="N1273" s="2" t="s">
        <v>837</v>
      </c>
      <c r="O1273" s="2" t="s">
        <v>4373</v>
      </c>
      <c r="P1273" s="2" t="s">
        <v>4381</v>
      </c>
    </row>
    <row r="1274" spans="1:16">
      <c r="A1274" s="4">
        <v>46246.655694444446</v>
      </c>
      <c r="B1274" s="2" t="s">
        <v>4023</v>
      </c>
      <c r="C1274" s="2" t="s">
        <v>2072</v>
      </c>
      <c r="D1274" s="2" t="s">
        <v>4177</v>
      </c>
      <c r="E1274" s="2">
        <v>16</v>
      </c>
      <c r="F1274" s="2"/>
      <c r="G1274" s="2">
        <v>16</v>
      </c>
      <c r="H1274" s="2" t="s">
        <v>3021</v>
      </c>
      <c r="I1274" s="2" t="s">
        <v>695</v>
      </c>
      <c r="J1274" s="2" t="s">
        <v>2537</v>
      </c>
      <c r="K1274" s="2" t="s">
        <v>1855</v>
      </c>
      <c r="L1274" s="2" t="s">
        <v>3386</v>
      </c>
      <c r="M1274" s="2" t="str">
        <f t="shared" si="22"/>
        <v>13</v>
      </c>
      <c r="N1274" s="2" t="s">
        <v>370</v>
      </c>
      <c r="O1274" s="2" t="s">
        <v>4373</v>
      </c>
      <c r="P1274" s="2" t="s">
        <v>4381</v>
      </c>
    </row>
    <row r="1275" spans="1:16">
      <c r="A1275" s="4">
        <v>46246.65384259259</v>
      </c>
      <c r="B1275" s="2" t="s">
        <v>1908</v>
      </c>
      <c r="C1275" s="2" t="s">
        <v>2072</v>
      </c>
      <c r="D1275" s="2" t="s">
        <v>4177</v>
      </c>
      <c r="E1275" s="2">
        <v>16</v>
      </c>
      <c r="F1275" s="2"/>
      <c r="G1275" s="2">
        <v>16</v>
      </c>
      <c r="H1275" s="2" t="s">
        <v>3021</v>
      </c>
      <c r="I1275" s="2" t="s">
        <v>695</v>
      </c>
      <c r="J1275" s="2" t="s">
        <v>2537</v>
      </c>
      <c r="K1275" s="2" t="s">
        <v>1855</v>
      </c>
      <c r="L1275" s="2" t="s">
        <v>3386</v>
      </c>
      <c r="M1275" s="2" t="str">
        <f t="shared" si="22"/>
        <v>13</v>
      </c>
      <c r="N1275" s="2" t="s">
        <v>2349</v>
      </c>
      <c r="O1275" s="2" t="s">
        <v>4373</v>
      </c>
      <c r="P1275" s="2" t="s">
        <v>4381</v>
      </c>
    </row>
    <row r="1276" spans="1:16">
      <c r="A1276" s="4">
        <v>46246.653414351851</v>
      </c>
      <c r="B1276" s="2" t="s">
        <v>3250</v>
      </c>
      <c r="C1276" s="2" t="s">
        <v>2072</v>
      </c>
      <c r="D1276" s="2" t="s">
        <v>4177</v>
      </c>
      <c r="E1276" s="2">
        <v>16</v>
      </c>
      <c r="F1276" s="2"/>
      <c r="G1276" s="2">
        <v>16</v>
      </c>
      <c r="H1276" s="2" t="s">
        <v>3021</v>
      </c>
      <c r="I1276" s="2" t="s">
        <v>695</v>
      </c>
      <c r="J1276" s="2" t="s">
        <v>2537</v>
      </c>
      <c r="K1276" s="2" t="s">
        <v>1855</v>
      </c>
      <c r="L1276" s="2" t="s">
        <v>3386</v>
      </c>
      <c r="M1276" s="2" t="str">
        <f t="shared" si="22"/>
        <v>13</v>
      </c>
      <c r="N1276" s="2" t="s">
        <v>681</v>
      </c>
      <c r="O1276" s="2" t="s">
        <v>4373</v>
      </c>
      <c r="P1276" s="2" t="s">
        <v>4381</v>
      </c>
    </row>
    <row r="1277" spans="1:16">
      <c r="A1277" s="4">
        <v>46244.755856481483</v>
      </c>
      <c r="B1277" s="2" t="s">
        <v>2560</v>
      </c>
      <c r="C1277" s="2" t="s">
        <v>2072</v>
      </c>
      <c r="D1277" s="2" t="s">
        <v>4177</v>
      </c>
      <c r="E1277" s="2">
        <v>16</v>
      </c>
      <c r="F1277" s="2"/>
      <c r="G1277" s="2">
        <v>16</v>
      </c>
      <c r="H1277" s="2" t="s">
        <v>1531</v>
      </c>
      <c r="I1277" s="2" t="s">
        <v>695</v>
      </c>
      <c r="J1277" s="2" t="s">
        <v>2537</v>
      </c>
      <c r="K1277" s="2" t="s">
        <v>1855</v>
      </c>
      <c r="L1277" s="2" t="s">
        <v>3386</v>
      </c>
      <c r="M1277" s="2" t="str">
        <f t="shared" si="22"/>
        <v>13</v>
      </c>
      <c r="N1277" s="2" t="s">
        <v>2308</v>
      </c>
      <c r="O1277" s="2" t="s">
        <v>4373</v>
      </c>
      <c r="P1277" s="2" t="s">
        <v>4375</v>
      </c>
    </row>
    <row r="1278" spans="1:16">
      <c r="A1278" s="4">
        <v>46244.75545138889</v>
      </c>
      <c r="B1278" s="2" t="s">
        <v>1564</v>
      </c>
      <c r="C1278" s="2" t="s">
        <v>2072</v>
      </c>
      <c r="D1278" s="2" t="s">
        <v>4177</v>
      </c>
      <c r="E1278" s="2">
        <v>16</v>
      </c>
      <c r="F1278" s="2"/>
      <c r="G1278" s="2">
        <v>16</v>
      </c>
      <c r="H1278" s="2" t="s">
        <v>1531</v>
      </c>
      <c r="I1278" s="2" t="s">
        <v>695</v>
      </c>
      <c r="J1278" s="2" t="s">
        <v>2537</v>
      </c>
      <c r="K1278" s="2" t="s">
        <v>1855</v>
      </c>
      <c r="L1278" s="2" t="s">
        <v>3386</v>
      </c>
      <c r="M1278" s="2" t="str">
        <f t="shared" si="22"/>
        <v>13</v>
      </c>
      <c r="N1278" s="2" t="s">
        <v>193</v>
      </c>
      <c r="O1278" s="2" t="s">
        <v>4373</v>
      </c>
      <c r="P1278" s="2" t="s">
        <v>4375</v>
      </c>
    </row>
    <row r="1279" spans="1:16">
      <c r="A1279" s="4">
        <v>46244.752824074072</v>
      </c>
      <c r="B1279" s="2" t="s">
        <v>256</v>
      </c>
      <c r="C1279" s="2" t="s">
        <v>2072</v>
      </c>
      <c r="D1279" s="2" t="s">
        <v>4177</v>
      </c>
      <c r="E1279" s="2">
        <v>16</v>
      </c>
      <c r="F1279" s="2"/>
      <c r="G1279" s="2">
        <v>16</v>
      </c>
      <c r="H1279" s="2" t="s">
        <v>1531</v>
      </c>
      <c r="I1279" s="2" t="s">
        <v>695</v>
      </c>
      <c r="J1279" s="2" t="s">
        <v>2537</v>
      </c>
      <c r="K1279" s="2" t="s">
        <v>1855</v>
      </c>
      <c r="L1279" s="2" t="s">
        <v>3386</v>
      </c>
      <c r="M1279" s="2" t="str">
        <f t="shared" si="22"/>
        <v>13</v>
      </c>
      <c r="N1279" s="2" t="s">
        <v>1110</v>
      </c>
      <c r="O1279" s="2" t="s">
        <v>4373</v>
      </c>
      <c r="P1279" s="2" t="s">
        <v>4375</v>
      </c>
    </row>
    <row r="1280" spans="1:16">
      <c r="A1280" s="4">
        <v>46244.752685185187</v>
      </c>
      <c r="B1280" s="2" t="s">
        <v>1426</v>
      </c>
      <c r="C1280" s="2" t="s">
        <v>2072</v>
      </c>
      <c r="D1280" s="2" t="s">
        <v>4177</v>
      </c>
      <c r="E1280" s="2">
        <v>16</v>
      </c>
      <c r="F1280" s="2"/>
      <c r="G1280" s="2">
        <v>16</v>
      </c>
      <c r="H1280" s="2" t="s">
        <v>1531</v>
      </c>
      <c r="I1280" s="2" t="s">
        <v>695</v>
      </c>
      <c r="J1280" s="2" t="s">
        <v>2537</v>
      </c>
      <c r="K1280" s="2" t="s">
        <v>1855</v>
      </c>
      <c r="L1280" s="2" t="s">
        <v>3386</v>
      </c>
      <c r="M1280" s="2" t="str">
        <f t="shared" si="22"/>
        <v>13</v>
      </c>
      <c r="N1280" s="2" t="s">
        <v>2534</v>
      </c>
      <c r="O1280" s="2" t="s">
        <v>4373</v>
      </c>
      <c r="P1280" s="2" t="s">
        <v>4375</v>
      </c>
    </row>
    <row r="1281" spans="1:16">
      <c r="A1281" s="4">
        <v>46244.750208333331</v>
      </c>
      <c r="B1281" s="2" t="s">
        <v>2517</v>
      </c>
      <c r="C1281" s="2" t="s">
        <v>2072</v>
      </c>
      <c r="D1281" s="2" t="s">
        <v>4177</v>
      </c>
      <c r="E1281" s="2">
        <v>16</v>
      </c>
      <c r="F1281" s="2"/>
      <c r="G1281" s="2">
        <v>16</v>
      </c>
      <c r="H1281" s="2" t="s">
        <v>1531</v>
      </c>
      <c r="I1281" s="2" t="s">
        <v>695</v>
      </c>
      <c r="J1281" s="2" t="s">
        <v>2537</v>
      </c>
      <c r="K1281" s="2" t="s">
        <v>1855</v>
      </c>
      <c r="L1281" s="2" t="s">
        <v>3386</v>
      </c>
      <c r="M1281" s="2" t="str">
        <f t="shared" si="22"/>
        <v>13</v>
      </c>
      <c r="N1281" s="2" t="s">
        <v>2464</v>
      </c>
      <c r="O1281" s="2" t="s">
        <v>4373</v>
      </c>
      <c r="P1281" s="2" t="s">
        <v>4375</v>
      </c>
    </row>
    <row r="1282" spans="1:16">
      <c r="A1282" s="4">
        <v>46244.750069444446</v>
      </c>
      <c r="B1282" s="2" t="s">
        <v>868</v>
      </c>
      <c r="C1282" s="2" t="s">
        <v>2072</v>
      </c>
      <c r="D1282" s="2" t="s">
        <v>4177</v>
      </c>
      <c r="E1282" s="2">
        <v>16</v>
      </c>
      <c r="F1282" s="2"/>
      <c r="G1282" s="2">
        <v>16</v>
      </c>
      <c r="H1282" s="2" t="s">
        <v>1531</v>
      </c>
      <c r="I1282" s="2" t="s">
        <v>695</v>
      </c>
      <c r="J1282" s="2" t="s">
        <v>2537</v>
      </c>
      <c r="K1282" s="2" t="s">
        <v>1855</v>
      </c>
      <c r="L1282" s="2" t="s">
        <v>3386</v>
      </c>
      <c r="M1282" s="2" t="str">
        <f t="shared" ref="M1282:M1345" si="23">RIGHT(L1282,2)</f>
        <v>13</v>
      </c>
      <c r="N1282" s="2" t="s">
        <v>715</v>
      </c>
      <c r="O1282" s="2" t="s">
        <v>4373</v>
      </c>
      <c r="P1282" s="2" t="s">
        <v>4375</v>
      </c>
    </row>
    <row r="1283" spans="1:16">
      <c r="A1283" s="4">
        <v>46244.748541666668</v>
      </c>
      <c r="B1283" s="2" t="s">
        <v>3017</v>
      </c>
      <c r="C1283" s="2" t="s">
        <v>2072</v>
      </c>
      <c r="D1283" s="2" t="s">
        <v>4177</v>
      </c>
      <c r="E1283" s="2">
        <v>16</v>
      </c>
      <c r="F1283" s="2"/>
      <c r="G1283" s="2">
        <v>16</v>
      </c>
      <c r="H1283" s="2" t="s">
        <v>1531</v>
      </c>
      <c r="I1283" s="2" t="s">
        <v>695</v>
      </c>
      <c r="J1283" s="2" t="s">
        <v>2537</v>
      </c>
      <c r="K1283" s="2" t="s">
        <v>1855</v>
      </c>
      <c r="L1283" s="2" t="s">
        <v>3386</v>
      </c>
      <c r="M1283" s="2" t="str">
        <f t="shared" si="23"/>
        <v>13</v>
      </c>
      <c r="N1283" s="2" t="s">
        <v>2466</v>
      </c>
      <c r="O1283" s="2" t="s">
        <v>4373</v>
      </c>
      <c r="P1283" s="2" t="s">
        <v>4375</v>
      </c>
    </row>
    <row r="1284" spans="1:16">
      <c r="A1284" s="4">
        <v>46244.747719907406</v>
      </c>
      <c r="B1284" s="2" t="s">
        <v>1029</v>
      </c>
      <c r="C1284" s="2" t="s">
        <v>2072</v>
      </c>
      <c r="D1284" s="2" t="s">
        <v>4177</v>
      </c>
      <c r="E1284" s="2">
        <v>16</v>
      </c>
      <c r="F1284" s="2"/>
      <c r="G1284" s="2">
        <v>16</v>
      </c>
      <c r="H1284" s="2" t="s">
        <v>1531</v>
      </c>
      <c r="I1284" s="2" t="s">
        <v>695</v>
      </c>
      <c r="J1284" s="2" t="s">
        <v>2537</v>
      </c>
      <c r="K1284" s="2" t="s">
        <v>1855</v>
      </c>
      <c r="L1284" s="2" t="s">
        <v>3386</v>
      </c>
      <c r="M1284" s="2" t="str">
        <f t="shared" si="23"/>
        <v>13</v>
      </c>
      <c r="N1284" s="2" t="s">
        <v>3621</v>
      </c>
      <c r="O1284" s="2" t="s">
        <v>4373</v>
      </c>
      <c r="P1284" s="2" t="s">
        <v>4375</v>
      </c>
    </row>
    <row r="1285" spans="1:16">
      <c r="A1285" s="4">
        <v>46244.746898148151</v>
      </c>
      <c r="B1285" s="2" t="s">
        <v>4195</v>
      </c>
      <c r="C1285" s="2" t="s">
        <v>2072</v>
      </c>
      <c r="D1285" s="2" t="s">
        <v>4177</v>
      </c>
      <c r="E1285" s="2">
        <v>16</v>
      </c>
      <c r="F1285" s="2"/>
      <c r="G1285" s="2">
        <v>16</v>
      </c>
      <c r="H1285" s="2" t="s">
        <v>1531</v>
      </c>
      <c r="I1285" s="2" t="s">
        <v>695</v>
      </c>
      <c r="J1285" s="2" t="s">
        <v>2537</v>
      </c>
      <c r="K1285" s="2" t="s">
        <v>1855</v>
      </c>
      <c r="L1285" s="2" t="s">
        <v>3386</v>
      </c>
      <c r="M1285" s="2" t="str">
        <f t="shared" si="23"/>
        <v>13</v>
      </c>
      <c r="N1285" s="2" t="s">
        <v>2562</v>
      </c>
      <c r="O1285" s="2" t="s">
        <v>4373</v>
      </c>
      <c r="P1285" s="2" t="s">
        <v>4375</v>
      </c>
    </row>
    <row r="1286" spans="1:16">
      <c r="A1286" s="4">
        <v>46244.746817129628</v>
      </c>
      <c r="B1286" s="2" t="s">
        <v>2555</v>
      </c>
      <c r="C1286" s="2" t="s">
        <v>2072</v>
      </c>
      <c r="D1286" s="2" t="s">
        <v>4177</v>
      </c>
      <c r="E1286" s="2">
        <v>16</v>
      </c>
      <c r="F1286" s="2"/>
      <c r="G1286" s="2">
        <v>16</v>
      </c>
      <c r="H1286" s="2" t="s">
        <v>1531</v>
      </c>
      <c r="I1286" s="2" t="s">
        <v>695</v>
      </c>
      <c r="J1286" s="2" t="s">
        <v>2537</v>
      </c>
      <c r="K1286" s="2" t="s">
        <v>1855</v>
      </c>
      <c r="L1286" s="2" t="s">
        <v>3386</v>
      </c>
      <c r="M1286" s="2" t="str">
        <f t="shared" si="23"/>
        <v>13</v>
      </c>
      <c r="N1286" s="2" t="s">
        <v>2341</v>
      </c>
      <c r="O1286" s="2" t="s">
        <v>4373</v>
      </c>
      <c r="P1286" s="2" t="s">
        <v>4375</v>
      </c>
    </row>
    <row r="1287" spans="1:16">
      <c r="A1287" s="4">
        <v>46244.746307870373</v>
      </c>
      <c r="B1287" s="2" t="s">
        <v>916</v>
      </c>
      <c r="C1287" s="2" t="s">
        <v>2072</v>
      </c>
      <c r="D1287" s="2" t="s">
        <v>4177</v>
      </c>
      <c r="E1287" s="2">
        <v>16</v>
      </c>
      <c r="F1287" s="2"/>
      <c r="G1287" s="2">
        <v>16</v>
      </c>
      <c r="H1287" s="2" t="s">
        <v>1531</v>
      </c>
      <c r="I1287" s="2" t="s">
        <v>695</v>
      </c>
      <c r="J1287" s="2" t="s">
        <v>2537</v>
      </c>
      <c r="K1287" s="2" t="s">
        <v>1855</v>
      </c>
      <c r="L1287" s="2" t="s">
        <v>3386</v>
      </c>
      <c r="M1287" s="2" t="str">
        <f t="shared" si="23"/>
        <v>13</v>
      </c>
      <c r="N1287" s="2" t="s">
        <v>4140</v>
      </c>
      <c r="O1287" s="2" t="s">
        <v>4373</v>
      </c>
      <c r="P1287" s="2" t="s">
        <v>4375</v>
      </c>
    </row>
    <row r="1288" spans="1:16">
      <c r="A1288" s="4">
        <v>46244.74628472222</v>
      </c>
      <c r="B1288" s="2" t="s">
        <v>864</v>
      </c>
      <c r="C1288" s="2" t="s">
        <v>2072</v>
      </c>
      <c r="D1288" s="2" t="s">
        <v>4177</v>
      </c>
      <c r="E1288" s="2">
        <v>16</v>
      </c>
      <c r="F1288" s="2"/>
      <c r="G1288" s="2">
        <v>16</v>
      </c>
      <c r="H1288" s="2" t="s">
        <v>1531</v>
      </c>
      <c r="I1288" s="2" t="s">
        <v>695</v>
      </c>
      <c r="J1288" s="2" t="s">
        <v>2537</v>
      </c>
      <c r="K1288" s="2" t="s">
        <v>1855</v>
      </c>
      <c r="L1288" s="2" t="s">
        <v>3386</v>
      </c>
      <c r="M1288" s="2" t="str">
        <f t="shared" si="23"/>
        <v>13</v>
      </c>
      <c r="N1288" s="2" t="s">
        <v>2822</v>
      </c>
      <c r="O1288" s="2" t="s">
        <v>4373</v>
      </c>
      <c r="P1288" s="2" t="s">
        <v>4375</v>
      </c>
    </row>
    <row r="1289" spans="1:16">
      <c r="A1289" s="4">
        <v>46244.741701388892</v>
      </c>
      <c r="B1289" s="2" t="s">
        <v>1528</v>
      </c>
      <c r="C1289" s="2" t="s">
        <v>2072</v>
      </c>
      <c r="D1289" s="2" t="s">
        <v>4177</v>
      </c>
      <c r="E1289" s="2">
        <v>16</v>
      </c>
      <c r="F1289" s="2"/>
      <c r="G1289" s="2">
        <v>16</v>
      </c>
      <c r="H1289" s="2" t="s">
        <v>1531</v>
      </c>
      <c r="I1289" s="2" t="s">
        <v>695</v>
      </c>
      <c r="J1289" s="2" t="s">
        <v>2537</v>
      </c>
      <c r="K1289" s="2" t="s">
        <v>1855</v>
      </c>
      <c r="L1289" s="2" t="s">
        <v>3386</v>
      </c>
      <c r="M1289" s="2" t="str">
        <f t="shared" si="23"/>
        <v>13</v>
      </c>
      <c r="N1289" s="2" t="s">
        <v>2457</v>
      </c>
      <c r="O1289" s="2" t="s">
        <v>4373</v>
      </c>
      <c r="P1289" s="2" t="s">
        <v>4375</v>
      </c>
    </row>
    <row r="1290" spans="1:16">
      <c r="A1290" s="4">
        <v>46244.74145833333</v>
      </c>
      <c r="B1290" s="2" t="s">
        <v>3553</v>
      </c>
      <c r="C1290" s="2" t="s">
        <v>2072</v>
      </c>
      <c r="D1290" s="2" t="s">
        <v>4177</v>
      </c>
      <c r="E1290" s="2">
        <v>16</v>
      </c>
      <c r="F1290" s="2"/>
      <c r="G1290" s="2">
        <v>16</v>
      </c>
      <c r="H1290" s="2" t="s">
        <v>1531</v>
      </c>
      <c r="I1290" s="2" t="s">
        <v>695</v>
      </c>
      <c r="J1290" s="2" t="s">
        <v>2537</v>
      </c>
      <c r="K1290" s="2" t="s">
        <v>1855</v>
      </c>
      <c r="L1290" s="2" t="s">
        <v>3386</v>
      </c>
      <c r="M1290" s="2" t="str">
        <f t="shared" si="23"/>
        <v>13</v>
      </c>
      <c r="N1290" s="2" t="s">
        <v>755</v>
      </c>
      <c r="O1290" s="2" t="s">
        <v>4373</v>
      </c>
      <c r="P1290" s="2" t="s">
        <v>4375</v>
      </c>
    </row>
    <row r="1291" spans="1:16">
      <c r="A1291" s="4">
        <v>46244.739594907405</v>
      </c>
      <c r="B1291" s="2" t="s">
        <v>2161</v>
      </c>
      <c r="C1291" s="2" t="s">
        <v>2072</v>
      </c>
      <c r="D1291" s="2" t="s">
        <v>4177</v>
      </c>
      <c r="E1291" s="2">
        <v>16</v>
      </c>
      <c r="F1291" s="2"/>
      <c r="G1291" s="2">
        <v>16</v>
      </c>
      <c r="H1291" s="2" t="s">
        <v>1531</v>
      </c>
      <c r="I1291" s="2" t="s">
        <v>695</v>
      </c>
      <c r="J1291" s="2" t="s">
        <v>2537</v>
      </c>
      <c r="K1291" s="2" t="s">
        <v>1855</v>
      </c>
      <c r="L1291" s="2" t="s">
        <v>3386</v>
      </c>
      <c r="M1291" s="2" t="str">
        <f t="shared" si="23"/>
        <v>13</v>
      </c>
      <c r="N1291" s="2" t="s">
        <v>3100</v>
      </c>
      <c r="O1291" s="2" t="s">
        <v>4373</v>
      </c>
      <c r="P1291" s="2" t="s">
        <v>4375</v>
      </c>
    </row>
    <row r="1292" spans="1:16">
      <c r="A1292" s="4">
        <v>46244.739548611113</v>
      </c>
      <c r="B1292" s="2" t="s">
        <v>3802</v>
      </c>
      <c r="C1292" s="2" t="s">
        <v>2072</v>
      </c>
      <c r="D1292" s="2" t="s">
        <v>4177</v>
      </c>
      <c r="E1292" s="2">
        <v>16</v>
      </c>
      <c r="F1292" s="2"/>
      <c r="G1292" s="2">
        <v>16</v>
      </c>
      <c r="H1292" s="2" t="s">
        <v>1531</v>
      </c>
      <c r="I1292" s="2" t="s">
        <v>695</v>
      </c>
      <c r="J1292" s="2" t="s">
        <v>2537</v>
      </c>
      <c r="K1292" s="2" t="s">
        <v>1855</v>
      </c>
      <c r="L1292" s="2" t="s">
        <v>3386</v>
      </c>
      <c r="M1292" s="2" t="str">
        <f t="shared" si="23"/>
        <v>13</v>
      </c>
      <c r="N1292" s="2" t="s">
        <v>434</v>
      </c>
      <c r="O1292" s="2" t="s">
        <v>4373</v>
      </c>
      <c r="P1292" s="2" t="s">
        <v>4375</v>
      </c>
    </row>
    <row r="1293" spans="1:16">
      <c r="A1293" s="4">
        <v>46244.737002314818</v>
      </c>
      <c r="B1293" s="2" t="s">
        <v>2082</v>
      </c>
      <c r="C1293" s="2" t="s">
        <v>2072</v>
      </c>
      <c r="D1293" s="2" t="s">
        <v>4177</v>
      </c>
      <c r="E1293" s="2">
        <v>16</v>
      </c>
      <c r="F1293" s="2"/>
      <c r="G1293" s="2">
        <v>16</v>
      </c>
      <c r="H1293" s="2" t="s">
        <v>1531</v>
      </c>
      <c r="I1293" s="2" t="s">
        <v>695</v>
      </c>
      <c r="J1293" s="2" t="s">
        <v>2537</v>
      </c>
      <c r="K1293" s="2" t="s">
        <v>1855</v>
      </c>
      <c r="L1293" s="2" t="s">
        <v>3386</v>
      </c>
      <c r="M1293" s="2" t="str">
        <f t="shared" si="23"/>
        <v>13</v>
      </c>
      <c r="N1293" s="2" t="s">
        <v>4228</v>
      </c>
      <c r="O1293" s="2" t="s">
        <v>4373</v>
      </c>
      <c r="P1293" s="2" t="s">
        <v>4375</v>
      </c>
    </row>
    <row r="1294" spans="1:16">
      <c r="A1294" s="4">
        <v>46244.736875000002</v>
      </c>
      <c r="B1294" s="2" t="s">
        <v>3109</v>
      </c>
      <c r="C1294" s="2" t="s">
        <v>2072</v>
      </c>
      <c r="D1294" s="2" t="s">
        <v>4177</v>
      </c>
      <c r="E1294" s="2">
        <v>16</v>
      </c>
      <c r="F1294" s="2"/>
      <c r="G1294" s="2">
        <v>16</v>
      </c>
      <c r="H1294" s="2" t="s">
        <v>1531</v>
      </c>
      <c r="I1294" s="2" t="s">
        <v>695</v>
      </c>
      <c r="J1294" s="2" t="s">
        <v>2537</v>
      </c>
      <c r="K1294" s="2" t="s">
        <v>1855</v>
      </c>
      <c r="L1294" s="2" t="s">
        <v>3386</v>
      </c>
      <c r="M1294" s="2" t="str">
        <f t="shared" si="23"/>
        <v>13</v>
      </c>
      <c r="N1294" s="2" t="s">
        <v>1480</v>
      </c>
      <c r="O1294" s="2" t="s">
        <v>4373</v>
      </c>
      <c r="P1294" s="2" t="s">
        <v>4375</v>
      </c>
    </row>
    <row r="1295" spans="1:16">
      <c r="A1295" s="4">
        <v>46244.735000000001</v>
      </c>
      <c r="B1295" s="2" t="s">
        <v>2261</v>
      </c>
      <c r="C1295" s="2" t="s">
        <v>2072</v>
      </c>
      <c r="D1295" s="2" t="s">
        <v>4177</v>
      </c>
      <c r="E1295" s="2">
        <v>16</v>
      </c>
      <c r="F1295" s="2"/>
      <c r="G1295" s="2">
        <v>16</v>
      </c>
      <c r="H1295" s="2" t="s">
        <v>1531</v>
      </c>
      <c r="I1295" s="2" t="s">
        <v>695</v>
      </c>
      <c r="J1295" s="2" t="s">
        <v>2537</v>
      </c>
      <c r="K1295" s="2" t="s">
        <v>1855</v>
      </c>
      <c r="L1295" s="2" t="s">
        <v>3386</v>
      </c>
      <c r="M1295" s="2" t="str">
        <f t="shared" si="23"/>
        <v>13</v>
      </c>
      <c r="N1295" s="2" t="s">
        <v>2297</v>
      </c>
      <c r="O1295" s="2" t="s">
        <v>4373</v>
      </c>
      <c r="P1295" s="2" t="s">
        <v>4375</v>
      </c>
    </row>
    <row r="1296" spans="1:16">
      <c r="A1296" s="4">
        <v>46244.734699074077</v>
      </c>
      <c r="B1296" s="2" t="s">
        <v>2032</v>
      </c>
      <c r="C1296" s="2" t="s">
        <v>2072</v>
      </c>
      <c r="D1296" s="2" t="s">
        <v>4177</v>
      </c>
      <c r="E1296" s="2">
        <v>16</v>
      </c>
      <c r="F1296" s="2"/>
      <c r="G1296" s="2">
        <v>16</v>
      </c>
      <c r="H1296" s="2" t="s">
        <v>1531</v>
      </c>
      <c r="I1296" s="2" t="s">
        <v>695</v>
      </c>
      <c r="J1296" s="2" t="s">
        <v>2537</v>
      </c>
      <c r="K1296" s="2" t="s">
        <v>1855</v>
      </c>
      <c r="L1296" s="2" t="s">
        <v>3386</v>
      </c>
      <c r="M1296" s="2" t="str">
        <f t="shared" si="23"/>
        <v>13</v>
      </c>
      <c r="N1296" s="2" t="s">
        <v>1464</v>
      </c>
      <c r="O1296" s="2" t="s">
        <v>4373</v>
      </c>
      <c r="P1296" s="2" t="s">
        <v>4375</v>
      </c>
    </row>
    <row r="1297" spans="1:16">
      <c r="A1297" s="4">
        <v>46244.732708333337</v>
      </c>
      <c r="B1297" s="2" t="s">
        <v>1636</v>
      </c>
      <c r="C1297" s="2" t="s">
        <v>2072</v>
      </c>
      <c r="D1297" s="2" t="s">
        <v>4177</v>
      </c>
      <c r="E1297" s="2">
        <v>16</v>
      </c>
      <c r="F1297" s="2"/>
      <c r="G1297" s="2">
        <v>16</v>
      </c>
      <c r="H1297" s="2" t="s">
        <v>1531</v>
      </c>
      <c r="I1297" s="2" t="s">
        <v>695</v>
      </c>
      <c r="J1297" s="2" t="s">
        <v>2537</v>
      </c>
      <c r="K1297" s="2" t="s">
        <v>1855</v>
      </c>
      <c r="L1297" s="2" t="s">
        <v>3386</v>
      </c>
      <c r="M1297" s="2" t="str">
        <f t="shared" si="23"/>
        <v>13</v>
      </c>
      <c r="N1297" s="2" t="s">
        <v>3723</v>
      </c>
      <c r="O1297" s="2" t="s">
        <v>4373</v>
      </c>
      <c r="P1297" s="2" t="s">
        <v>4375</v>
      </c>
    </row>
    <row r="1298" spans="1:16">
      <c r="A1298" s="4">
        <v>46244.73238425926</v>
      </c>
      <c r="B1298" s="2" t="s">
        <v>900</v>
      </c>
      <c r="C1298" s="2" t="s">
        <v>2072</v>
      </c>
      <c r="D1298" s="2" t="s">
        <v>4177</v>
      </c>
      <c r="E1298" s="2">
        <v>16</v>
      </c>
      <c r="F1298" s="2"/>
      <c r="G1298" s="2">
        <v>16</v>
      </c>
      <c r="H1298" s="2" t="s">
        <v>1531</v>
      </c>
      <c r="I1298" s="2" t="s">
        <v>695</v>
      </c>
      <c r="J1298" s="2" t="s">
        <v>2537</v>
      </c>
      <c r="K1298" s="2" t="s">
        <v>1855</v>
      </c>
      <c r="L1298" s="2" t="s">
        <v>3386</v>
      </c>
      <c r="M1298" s="2" t="str">
        <f t="shared" si="23"/>
        <v>13</v>
      </c>
      <c r="N1298" s="2" t="s">
        <v>74</v>
      </c>
      <c r="O1298" s="2" t="s">
        <v>4373</v>
      </c>
      <c r="P1298" s="2" t="s">
        <v>4375</v>
      </c>
    </row>
    <row r="1299" spans="1:16">
      <c r="A1299" s="4">
        <v>46244.730185185188</v>
      </c>
      <c r="B1299" s="2" t="s">
        <v>170</v>
      </c>
      <c r="C1299" s="2" t="s">
        <v>2072</v>
      </c>
      <c r="D1299" s="2" t="s">
        <v>4177</v>
      </c>
      <c r="E1299" s="2">
        <v>16</v>
      </c>
      <c r="F1299" s="2"/>
      <c r="G1299" s="2">
        <v>16</v>
      </c>
      <c r="H1299" s="2" t="s">
        <v>1531</v>
      </c>
      <c r="I1299" s="2" t="s">
        <v>695</v>
      </c>
      <c r="J1299" s="2" t="s">
        <v>2537</v>
      </c>
      <c r="K1299" s="2" t="s">
        <v>1855</v>
      </c>
      <c r="L1299" s="2" t="s">
        <v>3386</v>
      </c>
      <c r="M1299" s="2" t="str">
        <f t="shared" si="23"/>
        <v>13</v>
      </c>
      <c r="N1299" s="2" t="s">
        <v>3034</v>
      </c>
      <c r="O1299" s="2" t="s">
        <v>4373</v>
      </c>
      <c r="P1299" s="2" t="s">
        <v>4375</v>
      </c>
    </row>
    <row r="1300" spans="1:16">
      <c r="A1300" s="4">
        <v>46244.729849537034</v>
      </c>
      <c r="B1300" s="2" t="s">
        <v>3242</v>
      </c>
      <c r="C1300" s="2" t="s">
        <v>2072</v>
      </c>
      <c r="D1300" s="2" t="s">
        <v>4177</v>
      </c>
      <c r="E1300" s="2">
        <v>16</v>
      </c>
      <c r="F1300" s="2"/>
      <c r="G1300" s="2">
        <v>16</v>
      </c>
      <c r="H1300" s="2" t="s">
        <v>1531</v>
      </c>
      <c r="I1300" s="2" t="s">
        <v>695</v>
      </c>
      <c r="J1300" s="2" t="s">
        <v>2537</v>
      </c>
      <c r="K1300" s="2" t="s">
        <v>1855</v>
      </c>
      <c r="L1300" s="2" t="s">
        <v>3386</v>
      </c>
      <c r="M1300" s="2" t="str">
        <f t="shared" si="23"/>
        <v>13</v>
      </c>
      <c r="N1300" s="2" t="s">
        <v>528</v>
      </c>
      <c r="O1300" s="2" t="s">
        <v>4373</v>
      </c>
      <c r="P1300" s="2" t="s">
        <v>4375</v>
      </c>
    </row>
    <row r="1301" spans="1:16">
      <c r="A1301" s="4">
        <v>46244.728067129632</v>
      </c>
      <c r="B1301" s="2" t="s">
        <v>1588</v>
      </c>
      <c r="C1301" s="2" t="s">
        <v>2072</v>
      </c>
      <c r="D1301" s="2" t="s">
        <v>4177</v>
      </c>
      <c r="E1301" s="2">
        <v>16</v>
      </c>
      <c r="F1301" s="2"/>
      <c r="G1301" s="2">
        <v>16</v>
      </c>
      <c r="H1301" s="2" t="s">
        <v>1531</v>
      </c>
      <c r="I1301" s="2" t="s">
        <v>695</v>
      </c>
      <c r="J1301" s="2" t="s">
        <v>2537</v>
      </c>
      <c r="K1301" s="2" t="s">
        <v>1855</v>
      </c>
      <c r="L1301" s="2" t="s">
        <v>3386</v>
      </c>
      <c r="M1301" s="2" t="str">
        <f t="shared" si="23"/>
        <v>13</v>
      </c>
      <c r="N1301" s="2" t="s">
        <v>313</v>
      </c>
      <c r="O1301" s="2" t="s">
        <v>4373</v>
      </c>
      <c r="P1301" s="2" t="s">
        <v>4375</v>
      </c>
    </row>
    <row r="1302" spans="1:16">
      <c r="A1302" s="4">
        <v>46244.727754629632</v>
      </c>
      <c r="B1302" s="2" t="s">
        <v>704</v>
      </c>
      <c r="C1302" s="2" t="s">
        <v>2072</v>
      </c>
      <c r="D1302" s="2" t="s">
        <v>4177</v>
      </c>
      <c r="E1302" s="2">
        <v>16</v>
      </c>
      <c r="F1302" s="2"/>
      <c r="G1302" s="2">
        <v>16</v>
      </c>
      <c r="H1302" s="2" t="s">
        <v>1531</v>
      </c>
      <c r="I1302" s="2" t="s">
        <v>695</v>
      </c>
      <c r="J1302" s="2" t="s">
        <v>2537</v>
      </c>
      <c r="K1302" s="2" t="s">
        <v>1855</v>
      </c>
      <c r="L1302" s="2" t="s">
        <v>3386</v>
      </c>
      <c r="M1302" s="2" t="str">
        <f t="shared" si="23"/>
        <v>13</v>
      </c>
      <c r="N1302" s="2" t="s">
        <v>3919</v>
      </c>
      <c r="O1302" s="2" t="s">
        <v>4373</v>
      </c>
      <c r="P1302" s="2" t="s">
        <v>4375</v>
      </c>
    </row>
    <row r="1303" spans="1:16">
      <c r="A1303" s="4">
        <v>46244.725370370368</v>
      </c>
      <c r="B1303" s="2" t="s">
        <v>2693</v>
      </c>
      <c r="C1303" s="2" t="s">
        <v>2072</v>
      </c>
      <c r="D1303" s="2" t="s">
        <v>4177</v>
      </c>
      <c r="E1303" s="2">
        <v>16</v>
      </c>
      <c r="F1303" s="2"/>
      <c r="G1303" s="2">
        <v>16</v>
      </c>
      <c r="H1303" s="2" t="s">
        <v>1531</v>
      </c>
      <c r="I1303" s="2" t="s">
        <v>695</v>
      </c>
      <c r="J1303" s="2" t="s">
        <v>2537</v>
      </c>
      <c r="K1303" s="2" t="s">
        <v>1855</v>
      </c>
      <c r="L1303" s="2" t="s">
        <v>3386</v>
      </c>
      <c r="M1303" s="2" t="str">
        <f t="shared" si="23"/>
        <v>13</v>
      </c>
      <c r="N1303" s="2" t="s">
        <v>560</v>
      </c>
      <c r="O1303" s="2" t="s">
        <v>4373</v>
      </c>
      <c r="P1303" s="2" t="s">
        <v>4375</v>
      </c>
    </row>
    <row r="1304" spans="1:16">
      <c r="A1304" s="4">
        <v>46244.72519675926</v>
      </c>
      <c r="B1304" s="2" t="s">
        <v>486</v>
      </c>
      <c r="C1304" s="2" t="s">
        <v>2072</v>
      </c>
      <c r="D1304" s="2" t="s">
        <v>4177</v>
      </c>
      <c r="E1304" s="2">
        <v>16</v>
      </c>
      <c r="F1304" s="2"/>
      <c r="G1304" s="2">
        <v>16</v>
      </c>
      <c r="H1304" s="2" t="s">
        <v>1531</v>
      </c>
      <c r="I1304" s="2" t="s">
        <v>695</v>
      </c>
      <c r="J1304" s="2" t="s">
        <v>2537</v>
      </c>
      <c r="K1304" s="2" t="s">
        <v>1855</v>
      </c>
      <c r="L1304" s="2" t="s">
        <v>3386</v>
      </c>
      <c r="M1304" s="2" t="str">
        <f t="shared" si="23"/>
        <v>13</v>
      </c>
      <c r="N1304" s="2" t="s">
        <v>1098</v>
      </c>
      <c r="O1304" s="2" t="s">
        <v>4373</v>
      </c>
      <c r="P1304" s="2" t="s">
        <v>4375</v>
      </c>
    </row>
    <row r="1305" spans="1:16">
      <c r="A1305" s="4">
        <v>46244.70648148148</v>
      </c>
      <c r="B1305" s="2" t="s">
        <v>3113</v>
      </c>
      <c r="C1305" s="2" t="s">
        <v>2072</v>
      </c>
      <c r="D1305" s="2" t="s">
        <v>4177</v>
      </c>
      <c r="E1305" s="2">
        <v>16</v>
      </c>
      <c r="F1305" s="2"/>
      <c r="G1305" s="2">
        <v>16</v>
      </c>
      <c r="H1305" s="2" t="s">
        <v>1531</v>
      </c>
      <c r="I1305" s="2" t="s">
        <v>695</v>
      </c>
      <c r="J1305" s="2" t="s">
        <v>2537</v>
      </c>
      <c r="K1305" s="2" t="s">
        <v>1855</v>
      </c>
      <c r="L1305" s="2" t="s">
        <v>3386</v>
      </c>
      <c r="M1305" s="2" t="str">
        <f t="shared" si="23"/>
        <v>13</v>
      </c>
      <c r="N1305" s="2" t="s">
        <v>93</v>
      </c>
      <c r="O1305" s="2" t="s">
        <v>4373</v>
      </c>
      <c r="P1305" s="2" t="s">
        <v>4375</v>
      </c>
    </row>
    <row r="1306" spans="1:16">
      <c r="A1306" s="4">
        <v>46244.706377314818</v>
      </c>
      <c r="B1306" s="2" t="s">
        <v>3769</v>
      </c>
      <c r="C1306" s="2" t="s">
        <v>2072</v>
      </c>
      <c r="D1306" s="2" t="s">
        <v>4177</v>
      </c>
      <c r="E1306" s="2">
        <v>16</v>
      </c>
      <c r="F1306" s="2"/>
      <c r="G1306" s="2">
        <v>16</v>
      </c>
      <c r="H1306" s="2" t="s">
        <v>1531</v>
      </c>
      <c r="I1306" s="2" t="s">
        <v>695</v>
      </c>
      <c r="J1306" s="2" t="s">
        <v>2537</v>
      </c>
      <c r="K1306" s="2" t="s">
        <v>1855</v>
      </c>
      <c r="L1306" s="2" t="s">
        <v>3386</v>
      </c>
      <c r="M1306" s="2" t="str">
        <f t="shared" si="23"/>
        <v>13</v>
      </c>
      <c r="N1306" s="2" t="s">
        <v>4034</v>
      </c>
      <c r="O1306" s="2" t="s">
        <v>4373</v>
      </c>
      <c r="P1306" s="2" t="s">
        <v>4375</v>
      </c>
    </row>
    <row r="1307" spans="1:16">
      <c r="A1307" s="4">
        <v>46247.988912037035</v>
      </c>
      <c r="B1307" s="2" t="s">
        <v>3330</v>
      </c>
      <c r="C1307" s="2" t="s">
        <v>3896</v>
      </c>
      <c r="D1307" s="2" t="s">
        <v>274</v>
      </c>
      <c r="E1307" s="2">
        <v>48</v>
      </c>
      <c r="F1307" s="2"/>
      <c r="G1307" s="2">
        <v>48</v>
      </c>
      <c r="H1307" s="2" t="s">
        <v>189</v>
      </c>
      <c r="I1307" s="2" t="s">
        <v>695</v>
      </c>
      <c r="J1307" s="2" t="s">
        <v>2537</v>
      </c>
      <c r="K1307" s="2" t="s">
        <v>1855</v>
      </c>
      <c r="L1307" s="2" t="s">
        <v>2699</v>
      </c>
      <c r="M1307" s="2" t="str">
        <f t="shared" si="23"/>
        <v>04</v>
      </c>
      <c r="N1307" s="2" t="s">
        <v>3598</v>
      </c>
      <c r="O1307" s="2" t="s">
        <v>4373</v>
      </c>
      <c r="P1307" s="2" t="s">
        <v>4380</v>
      </c>
    </row>
    <row r="1308" spans="1:16">
      <c r="A1308" s="4">
        <v>46247.988692129627</v>
      </c>
      <c r="B1308" s="2" t="s">
        <v>3685</v>
      </c>
      <c r="C1308" s="2" t="s">
        <v>3896</v>
      </c>
      <c r="D1308" s="2" t="s">
        <v>274</v>
      </c>
      <c r="E1308" s="2">
        <v>48</v>
      </c>
      <c r="F1308" s="2"/>
      <c r="G1308" s="2">
        <v>48</v>
      </c>
      <c r="H1308" s="2" t="s">
        <v>189</v>
      </c>
      <c r="I1308" s="2" t="s">
        <v>695</v>
      </c>
      <c r="J1308" s="2" t="s">
        <v>2537</v>
      </c>
      <c r="K1308" s="2" t="s">
        <v>1855</v>
      </c>
      <c r="L1308" s="2" t="s">
        <v>2699</v>
      </c>
      <c r="M1308" s="2" t="str">
        <f t="shared" si="23"/>
        <v>04</v>
      </c>
      <c r="N1308" s="2" t="s">
        <v>1767</v>
      </c>
      <c r="O1308" s="2" t="s">
        <v>4373</v>
      </c>
      <c r="P1308" s="2" t="s">
        <v>4380</v>
      </c>
    </row>
    <row r="1309" spans="1:16">
      <c r="A1309" s="4">
        <v>46247.988530092596</v>
      </c>
      <c r="B1309" s="2" t="s">
        <v>411</v>
      </c>
      <c r="C1309" s="2" t="s">
        <v>3896</v>
      </c>
      <c r="D1309" s="2" t="s">
        <v>274</v>
      </c>
      <c r="E1309" s="2">
        <v>48</v>
      </c>
      <c r="F1309" s="2"/>
      <c r="G1309" s="2">
        <v>48</v>
      </c>
      <c r="H1309" s="2" t="s">
        <v>189</v>
      </c>
      <c r="I1309" s="2" t="s">
        <v>695</v>
      </c>
      <c r="J1309" s="2" t="s">
        <v>2537</v>
      </c>
      <c r="K1309" s="2" t="s">
        <v>1855</v>
      </c>
      <c r="L1309" s="2" t="s">
        <v>2399</v>
      </c>
      <c r="M1309" s="2" t="str">
        <f t="shared" si="23"/>
        <v>05</v>
      </c>
      <c r="N1309" s="2" t="s">
        <v>3991</v>
      </c>
      <c r="O1309" s="2" t="s">
        <v>4373</v>
      </c>
      <c r="P1309" s="2" t="s">
        <v>4380</v>
      </c>
    </row>
    <row r="1310" spans="1:16">
      <c r="A1310" s="4">
        <v>46247.988402777781</v>
      </c>
      <c r="B1310" s="2" t="s">
        <v>65</v>
      </c>
      <c r="C1310" s="2" t="s">
        <v>3896</v>
      </c>
      <c r="D1310" s="2" t="s">
        <v>274</v>
      </c>
      <c r="E1310" s="2">
        <v>48</v>
      </c>
      <c r="F1310" s="2"/>
      <c r="G1310" s="2">
        <v>48</v>
      </c>
      <c r="H1310" s="2" t="s">
        <v>189</v>
      </c>
      <c r="I1310" s="2" t="s">
        <v>695</v>
      </c>
      <c r="J1310" s="2" t="s">
        <v>2537</v>
      </c>
      <c r="K1310" s="2" t="s">
        <v>1855</v>
      </c>
      <c r="L1310" s="2" t="s">
        <v>2399</v>
      </c>
      <c r="M1310" s="2" t="str">
        <f t="shared" si="23"/>
        <v>05</v>
      </c>
      <c r="N1310" s="2" t="s">
        <v>1630</v>
      </c>
      <c r="O1310" s="2" t="s">
        <v>4373</v>
      </c>
      <c r="P1310" s="2" t="s">
        <v>4380</v>
      </c>
    </row>
    <row r="1311" spans="1:16">
      <c r="A1311" s="4">
        <v>46247.988391203704</v>
      </c>
      <c r="B1311" s="2" t="s">
        <v>1795</v>
      </c>
      <c r="C1311" s="2" t="s">
        <v>3896</v>
      </c>
      <c r="D1311" s="2" t="s">
        <v>274</v>
      </c>
      <c r="E1311" s="2">
        <v>48</v>
      </c>
      <c r="F1311" s="2"/>
      <c r="G1311" s="2">
        <v>48</v>
      </c>
      <c r="H1311" s="2" t="s">
        <v>189</v>
      </c>
      <c r="I1311" s="2" t="s">
        <v>695</v>
      </c>
      <c r="J1311" s="2" t="s">
        <v>2537</v>
      </c>
      <c r="K1311" s="2" t="s">
        <v>1855</v>
      </c>
      <c r="L1311" s="2" t="s">
        <v>2399</v>
      </c>
      <c r="M1311" s="2" t="str">
        <f t="shared" si="23"/>
        <v>05</v>
      </c>
      <c r="N1311" s="2" t="s">
        <v>4147</v>
      </c>
      <c r="O1311" s="2" t="s">
        <v>4373</v>
      </c>
      <c r="P1311" s="2" t="s">
        <v>4380</v>
      </c>
    </row>
    <row r="1312" spans="1:16">
      <c r="A1312" s="4">
        <v>46247.988344907404</v>
      </c>
      <c r="B1312" s="2" t="s">
        <v>2733</v>
      </c>
      <c r="C1312" s="2" t="s">
        <v>3896</v>
      </c>
      <c r="D1312" s="2" t="s">
        <v>274</v>
      </c>
      <c r="E1312" s="2">
        <v>48</v>
      </c>
      <c r="F1312" s="2"/>
      <c r="G1312" s="2">
        <v>48</v>
      </c>
      <c r="H1312" s="2" t="s">
        <v>189</v>
      </c>
      <c r="I1312" s="2" t="s">
        <v>695</v>
      </c>
      <c r="J1312" s="2" t="s">
        <v>2537</v>
      </c>
      <c r="K1312" s="2" t="s">
        <v>1855</v>
      </c>
      <c r="L1312" s="2" t="s">
        <v>2399</v>
      </c>
      <c r="M1312" s="2" t="str">
        <f t="shared" si="23"/>
        <v>05</v>
      </c>
      <c r="N1312" s="2" t="s">
        <v>3851</v>
      </c>
      <c r="O1312" s="2" t="s">
        <v>4373</v>
      </c>
      <c r="P1312" s="2" t="s">
        <v>4380</v>
      </c>
    </row>
    <row r="1313" spans="1:16">
      <c r="A1313" s="4">
        <v>46247.987847222219</v>
      </c>
      <c r="B1313" s="2" t="s">
        <v>1976</v>
      </c>
      <c r="C1313" s="2" t="s">
        <v>3896</v>
      </c>
      <c r="D1313" s="2" t="s">
        <v>274</v>
      </c>
      <c r="E1313" s="2">
        <v>48</v>
      </c>
      <c r="F1313" s="2"/>
      <c r="G1313" s="2">
        <v>48</v>
      </c>
      <c r="H1313" s="2" t="s">
        <v>189</v>
      </c>
      <c r="I1313" s="2" t="s">
        <v>695</v>
      </c>
      <c r="J1313" s="2" t="s">
        <v>2537</v>
      </c>
      <c r="K1313" s="2" t="s">
        <v>1855</v>
      </c>
      <c r="L1313" s="2" t="s">
        <v>2399</v>
      </c>
      <c r="M1313" s="2" t="str">
        <f t="shared" si="23"/>
        <v>05</v>
      </c>
      <c r="N1313" s="2" t="s">
        <v>2731</v>
      </c>
      <c r="O1313" s="2" t="s">
        <v>4373</v>
      </c>
      <c r="P1313" s="2" t="s">
        <v>4380</v>
      </c>
    </row>
    <row r="1314" spans="1:16">
      <c r="A1314" s="4">
        <v>46247.987719907411</v>
      </c>
      <c r="B1314" s="2" t="s">
        <v>1653</v>
      </c>
      <c r="C1314" s="2" t="s">
        <v>3896</v>
      </c>
      <c r="D1314" s="2" t="s">
        <v>274</v>
      </c>
      <c r="E1314" s="2">
        <v>48</v>
      </c>
      <c r="F1314" s="2"/>
      <c r="G1314" s="2">
        <v>48</v>
      </c>
      <c r="H1314" s="2" t="s">
        <v>189</v>
      </c>
      <c r="I1314" s="2" t="s">
        <v>695</v>
      </c>
      <c r="J1314" s="2" t="s">
        <v>2537</v>
      </c>
      <c r="K1314" s="2" t="s">
        <v>1855</v>
      </c>
      <c r="L1314" s="2" t="s">
        <v>2699</v>
      </c>
      <c r="M1314" s="2" t="str">
        <f t="shared" si="23"/>
        <v>04</v>
      </c>
      <c r="N1314" s="2" t="s">
        <v>576</v>
      </c>
      <c r="O1314" s="2" t="s">
        <v>4373</v>
      </c>
      <c r="P1314" s="2" t="s">
        <v>4380</v>
      </c>
    </row>
    <row r="1315" spans="1:16">
      <c r="A1315" s="4">
        <v>46247.987453703703</v>
      </c>
      <c r="B1315" s="2" t="s">
        <v>796</v>
      </c>
      <c r="C1315" s="2" t="s">
        <v>3896</v>
      </c>
      <c r="D1315" s="2" t="s">
        <v>274</v>
      </c>
      <c r="E1315" s="2">
        <v>48</v>
      </c>
      <c r="F1315" s="2"/>
      <c r="G1315" s="2">
        <v>48</v>
      </c>
      <c r="H1315" s="2" t="s">
        <v>189</v>
      </c>
      <c r="I1315" s="2" t="s">
        <v>695</v>
      </c>
      <c r="J1315" s="2" t="s">
        <v>2537</v>
      </c>
      <c r="K1315" s="2" t="s">
        <v>1855</v>
      </c>
      <c r="L1315" s="2" t="s">
        <v>2699</v>
      </c>
      <c r="M1315" s="2" t="str">
        <f t="shared" si="23"/>
        <v>04</v>
      </c>
      <c r="N1315" s="2" t="s">
        <v>325</v>
      </c>
      <c r="O1315" s="2" t="s">
        <v>4373</v>
      </c>
      <c r="P1315" s="2" t="s">
        <v>4380</v>
      </c>
    </row>
    <row r="1316" spans="1:16">
      <c r="A1316" s="4">
        <v>46247.987118055556</v>
      </c>
      <c r="B1316" s="2" t="s">
        <v>3058</v>
      </c>
      <c r="C1316" s="2" t="s">
        <v>3896</v>
      </c>
      <c r="D1316" s="2" t="s">
        <v>274</v>
      </c>
      <c r="E1316" s="2">
        <v>48</v>
      </c>
      <c r="F1316" s="2"/>
      <c r="G1316" s="2">
        <v>48</v>
      </c>
      <c r="H1316" s="2" t="s">
        <v>189</v>
      </c>
      <c r="I1316" s="2" t="s">
        <v>695</v>
      </c>
      <c r="J1316" s="2" t="s">
        <v>2537</v>
      </c>
      <c r="K1316" s="2" t="s">
        <v>1855</v>
      </c>
      <c r="L1316" s="2" t="s">
        <v>2399</v>
      </c>
      <c r="M1316" s="2" t="str">
        <f t="shared" si="23"/>
        <v>05</v>
      </c>
      <c r="N1316" s="2" t="s">
        <v>1936</v>
      </c>
      <c r="O1316" s="2" t="s">
        <v>4373</v>
      </c>
      <c r="P1316" s="2" t="s">
        <v>4380</v>
      </c>
    </row>
    <row r="1317" spans="1:16">
      <c r="A1317" s="4">
        <v>46247.987025462964</v>
      </c>
      <c r="B1317" s="2" t="s">
        <v>1597</v>
      </c>
      <c r="C1317" s="2" t="s">
        <v>3896</v>
      </c>
      <c r="D1317" s="2" t="s">
        <v>274</v>
      </c>
      <c r="E1317" s="2">
        <v>48</v>
      </c>
      <c r="F1317" s="2"/>
      <c r="G1317" s="2">
        <v>48</v>
      </c>
      <c r="H1317" s="2" t="s">
        <v>189</v>
      </c>
      <c r="I1317" s="2" t="s">
        <v>695</v>
      </c>
      <c r="J1317" s="2" t="s">
        <v>2537</v>
      </c>
      <c r="K1317" s="2" t="s">
        <v>1855</v>
      </c>
      <c r="L1317" s="2" t="s">
        <v>2399</v>
      </c>
      <c r="M1317" s="2" t="str">
        <f t="shared" si="23"/>
        <v>05</v>
      </c>
      <c r="N1317" s="2" t="s">
        <v>3025</v>
      </c>
      <c r="O1317" s="2" t="s">
        <v>4373</v>
      </c>
      <c r="P1317" s="2" t="s">
        <v>4380</v>
      </c>
    </row>
    <row r="1318" spans="1:16">
      <c r="A1318" s="4">
        <v>46247.986643518518</v>
      </c>
      <c r="B1318" s="2" t="s">
        <v>3133</v>
      </c>
      <c r="C1318" s="2" t="s">
        <v>3896</v>
      </c>
      <c r="D1318" s="2" t="s">
        <v>274</v>
      </c>
      <c r="E1318" s="2">
        <v>48</v>
      </c>
      <c r="F1318" s="2"/>
      <c r="G1318" s="2">
        <v>48</v>
      </c>
      <c r="H1318" s="2" t="s">
        <v>189</v>
      </c>
      <c r="I1318" s="2" t="s">
        <v>695</v>
      </c>
      <c r="J1318" s="2" t="s">
        <v>2537</v>
      </c>
      <c r="K1318" s="2" t="s">
        <v>1855</v>
      </c>
      <c r="L1318" s="2" t="s">
        <v>2699</v>
      </c>
      <c r="M1318" s="2" t="str">
        <f t="shared" si="23"/>
        <v>04</v>
      </c>
      <c r="N1318" s="2" t="s">
        <v>3668</v>
      </c>
      <c r="O1318" s="2" t="s">
        <v>4373</v>
      </c>
      <c r="P1318" s="2" t="s">
        <v>4380</v>
      </c>
    </row>
    <row r="1319" spans="1:16">
      <c r="A1319" s="4">
        <v>46247.986550925925</v>
      </c>
      <c r="B1319" s="2" t="s">
        <v>1541</v>
      </c>
      <c r="C1319" s="2" t="s">
        <v>3896</v>
      </c>
      <c r="D1319" s="2" t="s">
        <v>274</v>
      </c>
      <c r="E1319" s="2">
        <v>48</v>
      </c>
      <c r="F1319" s="2"/>
      <c r="G1319" s="2">
        <v>48</v>
      </c>
      <c r="H1319" s="2" t="s">
        <v>189</v>
      </c>
      <c r="I1319" s="2" t="s">
        <v>695</v>
      </c>
      <c r="J1319" s="2" t="s">
        <v>2537</v>
      </c>
      <c r="K1319" s="2" t="s">
        <v>1855</v>
      </c>
      <c r="L1319" s="2" t="s">
        <v>2699</v>
      </c>
      <c r="M1319" s="2" t="str">
        <f t="shared" si="23"/>
        <v>04</v>
      </c>
      <c r="N1319" s="2" t="s">
        <v>3412</v>
      </c>
      <c r="O1319" s="2" t="s">
        <v>4373</v>
      </c>
      <c r="P1319" s="2" t="s">
        <v>4380</v>
      </c>
    </row>
    <row r="1320" spans="1:16">
      <c r="A1320" s="4">
        <v>46247.98605324074</v>
      </c>
      <c r="B1320" s="2" t="s">
        <v>2162</v>
      </c>
      <c r="C1320" s="2" t="s">
        <v>3896</v>
      </c>
      <c r="D1320" s="2" t="s">
        <v>274</v>
      </c>
      <c r="E1320" s="2">
        <v>48</v>
      </c>
      <c r="F1320" s="2"/>
      <c r="G1320" s="2">
        <v>48</v>
      </c>
      <c r="H1320" s="2" t="s">
        <v>189</v>
      </c>
      <c r="I1320" s="2" t="s">
        <v>695</v>
      </c>
      <c r="J1320" s="2" t="s">
        <v>2537</v>
      </c>
      <c r="K1320" s="2" t="s">
        <v>1855</v>
      </c>
      <c r="L1320" s="2" t="s">
        <v>2399</v>
      </c>
      <c r="M1320" s="2" t="str">
        <f t="shared" si="23"/>
        <v>05</v>
      </c>
      <c r="N1320" s="2" t="s">
        <v>2282</v>
      </c>
      <c r="O1320" s="2" t="s">
        <v>4373</v>
      </c>
      <c r="P1320" s="2" t="s">
        <v>4380</v>
      </c>
    </row>
    <row r="1321" spans="1:16">
      <c r="A1321" s="4">
        <v>46247.986006944448</v>
      </c>
      <c r="B1321" s="2" t="s">
        <v>1366</v>
      </c>
      <c r="C1321" s="2" t="s">
        <v>3896</v>
      </c>
      <c r="D1321" s="2" t="s">
        <v>274</v>
      </c>
      <c r="E1321" s="2">
        <v>48</v>
      </c>
      <c r="F1321" s="2"/>
      <c r="G1321" s="2">
        <v>48</v>
      </c>
      <c r="H1321" s="2" t="s">
        <v>189</v>
      </c>
      <c r="I1321" s="2" t="s">
        <v>695</v>
      </c>
      <c r="J1321" s="2" t="s">
        <v>2537</v>
      </c>
      <c r="K1321" s="2" t="s">
        <v>1855</v>
      </c>
      <c r="L1321" s="2" t="s">
        <v>2399</v>
      </c>
      <c r="M1321" s="2" t="str">
        <f t="shared" si="23"/>
        <v>05</v>
      </c>
      <c r="N1321" s="2" t="s">
        <v>217</v>
      </c>
      <c r="O1321" s="2" t="s">
        <v>4373</v>
      </c>
      <c r="P1321" s="2" t="s">
        <v>4380</v>
      </c>
    </row>
    <row r="1322" spans="1:16">
      <c r="A1322" s="4">
        <v>46247.985555555555</v>
      </c>
      <c r="B1322" s="2" t="s">
        <v>2210</v>
      </c>
      <c r="C1322" s="2" t="s">
        <v>3896</v>
      </c>
      <c r="D1322" s="2" t="s">
        <v>274</v>
      </c>
      <c r="E1322" s="2">
        <v>48</v>
      </c>
      <c r="F1322" s="2"/>
      <c r="G1322" s="2">
        <v>48</v>
      </c>
      <c r="H1322" s="2" t="s">
        <v>189</v>
      </c>
      <c r="I1322" s="2" t="s">
        <v>695</v>
      </c>
      <c r="J1322" s="2" t="s">
        <v>2537</v>
      </c>
      <c r="K1322" s="2" t="s">
        <v>1855</v>
      </c>
      <c r="L1322" s="2" t="s">
        <v>2699</v>
      </c>
      <c r="M1322" s="2" t="str">
        <f t="shared" si="23"/>
        <v>04</v>
      </c>
      <c r="N1322" s="2" t="s">
        <v>3761</v>
      </c>
      <c r="O1322" s="2" t="s">
        <v>4373</v>
      </c>
      <c r="P1322" s="2" t="s">
        <v>4380</v>
      </c>
    </row>
    <row r="1323" spans="1:16">
      <c r="A1323" s="4">
        <v>46247.98537037037</v>
      </c>
      <c r="B1323" s="2" t="s">
        <v>4041</v>
      </c>
      <c r="C1323" s="2" t="s">
        <v>3896</v>
      </c>
      <c r="D1323" s="2" t="s">
        <v>274</v>
      </c>
      <c r="E1323" s="2">
        <v>48</v>
      </c>
      <c r="F1323" s="2"/>
      <c r="G1323" s="2">
        <v>48</v>
      </c>
      <c r="H1323" s="2" t="s">
        <v>189</v>
      </c>
      <c r="I1323" s="2" t="s">
        <v>695</v>
      </c>
      <c r="J1323" s="2" t="s">
        <v>2537</v>
      </c>
      <c r="K1323" s="2" t="s">
        <v>1855</v>
      </c>
      <c r="L1323" s="2" t="s">
        <v>2699</v>
      </c>
      <c r="M1323" s="2" t="str">
        <f t="shared" si="23"/>
        <v>04</v>
      </c>
      <c r="N1323" s="2" t="s">
        <v>1789</v>
      </c>
      <c r="O1323" s="2" t="s">
        <v>4373</v>
      </c>
      <c r="P1323" s="2" t="s">
        <v>4380</v>
      </c>
    </row>
    <row r="1324" spans="1:16">
      <c r="A1324" s="4">
        <v>46247.985254629632</v>
      </c>
      <c r="B1324" s="2" t="s">
        <v>3140</v>
      </c>
      <c r="C1324" s="2" t="s">
        <v>3896</v>
      </c>
      <c r="D1324" s="2" t="s">
        <v>274</v>
      </c>
      <c r="E1324" s="2">
        <v>48</v>
      </c>
      <c r="F1324" s="2"/>
      <c r="G1324" s="2">
        <v>48</v>
      </c>
      <c r="H1324" s="2" t="s">
        <v>189</v>
      </c>
      <c r="I1324" s="2" t="s">
        <v>695</v>
      </c>
      <c r="J1324" s="2" t="s">
        <v>2537</v>
      </c>
      <c r="K1324" s="2" t="s">
        <v>1855</v>
      </c>
      <c r="L1324" s="2" t="s">
        <v>2399</v>
      </c>
      <c r="M1324" s="2" t="str">
        <f t="shared" si="23"/>
        <v>05</v>
      </c>
      <c r="N1324" s="2" t="s">
        <v>2661</v>
      </c>
      <c r="O1324" s="2" t="s">
        <v>4373</v>
      </c>
      <c r="P1324" s="2" t="s">
        <v>4380</v>
      </c>
    </row>
    <row r="1325" spans="1:16">
      <c r="A1325" s="4">
        <v>46247.985208333332</v>
      </c>
      <c r="B1325" s="2" t="s">
        <v>824</v>
      </c>
      <c r="C1325" s="2" t="s">
        <v>3896</v>
      </c>
      <c r="D1325" s="2" t="s">
        <v>274</v>
      </c>
      <c r="E1325" s="2">
        <v>48</v>
      </c>
      <c r="F1325" s="2"/>
      <c r="G1325" s="2">
        <v>48</v>
      </c>
      <c r="H1325" s="2" t="s">
        <v>189</v>
      </c>
      <c r="I1325" s="2" t="s">
        <v>695</v>
      </c>
      <c r="J1325" s="2" t="s">
        <v>2537</v>
      </c>
      <c r="K1325" s="2" t="s">
        <v>1855</v>
      </c>
      <c r="L1325" s="2" t="s">
        <v>2399</v>
      </c>
      <c r="M1325" s="2" t="str">
        <f t="shared" si="23"/>
        <v>05</v>
      </c>
      <c r="N1325" s="2" t="s">
        <v>2926</v>
      </c>
      <c r="O1325" s="2" t="s">
        <v>4373</v>
      </c>
      <c r="P1325" s="2" t="s">
        <v>4380</v>
      </c>
    </row>
    <row r="1326" spans="1:16">
      <c r="A1326" s="4">
        <v>46247.984930555554</v>
      </c>
      <c r="B1326" s="2" t="s">
        <v>3826</v>
      </c>
      <c r="C1326" s="2" t="s">
        <v>3896</v>
      </c>
      <c r="D1326" s="2" t="s">
        <v>274</v>
      </c>
      <c r="E1326" s="2">
        <v>48</v>
      </c>
      <c r="F1326" s="2"/>
      <c r="G1326" s="2">
        <v>48</v>
      </c>
      <c r="H1326" s="2" t="s">
        <v>189</v>
      </c>
      <c r="I1326" s="2" t="s">
        <v>695</v>
      </c>
      <c r="J1326" s="2" t="s">
        <v>2537</v>
      </c>
      <c r="K1326" s="2" t="s">
        <v>1855</v>
      </c>
      <c r="L1326" s="2" t="s">
        <v>2699</v>
      </c>
      <c r="M1326" s="2" t="str">
        <f t="shared" si="23"/>
        <v>04</v>
      </c>
      <c r="N1326" s="2" t="s">
        <v>818</v>
      </c>
      <c r="O1326" s="2" t="s">
        <v>4373</v>
      </c>
      <c r="P1326" s="2" t="s">
        <v>4380</v>
      </c>
    </row>
    <row r="1327" spans="1:16">
      <c r="A1327" s="4">
        <v>46247.984548611108</v>
      </c>
      <c r="B1327" s="2" t="s">
        <v>3417</v>
      </c>
      <c r="C1327" s="2" t="s">
        <v>3896</v>
      </c>
      <c r="D1327" s="2" t="s">
        <v>274</v>
      </c>
      <c r="E1327" s="2">
        <v>48</v>
      </c>
      <c r="F1327" s="2"/>
      <c r="G1327" s="2">
        <v>48</v>
      </c>
      <c r="H1327" s="2" t="s">
        <v>189</v>
      </c>
      <c r="I1327" s="2" t="s">
        <v>695</v>
      </c>
      <c r="J1327" s="2" t="s">
        <v>2537</v>
      </c>
      <c r="K1327" s="2" t="s">
        <v>1855</v>
      </c>
      <c r="L1327" s="2" t="s">
        <v>2399</v>
      </c>
      <c r="M1327" s="2" t="str">
        <f t="shared" si="23"/>
        <v>05</v>
      </c>
      <c r="N1327" s="2" t="s">
        <v>3226</v>
      </c>
      <c r="O1327" s="2" t="s">
        <v>4373</v>
      </c>
      <c r="P1327" s="2" t="s">
        <v>4380</v>
      </c>
    </row>
    <row r="1328" spans="1:16">
      <c r="A1328" s="4">
        <v>46247.984317129631</v>
      </c>
      <c r="B1328" s="2" t="s">
        <v>3225</v>
      </c>
      <c r="C1328" s="2" t="s">
        <v>3896</v>
      </c>
      <c r="D1328" s="2" t="s">
        <v>274</v>
      </c>
      <c r="E1328" s="2">
        <v>48</v>
      </c>
      <c r="F1328" s="2"/>
      <c r="G1328" s="2">
        <v>48</v>
      </c>
      <c r="H1328" s="2" t="s">
        <v>189</v>
      </c>
      <c r="I1328" s="2" t="s">
        <v>695</v>
      </c>
      <c r="J1328" s="2" t="s">
        <v>2537</v>
      </c>
      <c r="K1328" s="2" t="s">
        <v>1855</v>
      </c>
      <c r="L1328" s="2" t="s">
        <v>2399</v>
      </c>
      <c r="M1328" s="2" t="str">
        <f t="shared" si="23"/>
        <v>05</v>
      </c>
      <c r="N1328" s="2" t="s">
        <v>4246</v>
      </c>
      <c r="O1328" s="2" t="s">
        <v>4373</v>
      </c>
      <c r="P1328" s="2" t="s">
        <v>4380</v>
      </c>
    </row>
    <row r="1329" spans="1:16">
      <c r="A1329" s="4">
        <v>46247.984166666669</v>
      </c>
      <c r="B1329" s="2" t="s">
        <v>1322</v>
      </c>
      <c r="C1329" s="2" t="s">
        <v>3896</v>
      </c>
      <c r="D1329" s="2" t="s">
        <v>274</v>
      </c>
      <c r="E1329" s="2">
        <v>48</v>
      </c>
      <c r="F1329" s="2"/>
      <c r="G1329" s="2">
        <v>48</v>
      </c>
      <c r="H1329" s="2" t="s">
        <v>189</v>
      </c>
      <c r="I1329" s="2" t="s">
        <v>695</v>
      </c>
      <c r="J1329" s="2" t="s">
        <v>2537</v>
      </c>
      <c r="K1329" s="2" t="s">
        <v>1855</v>
      </c>
      <c r="L1329" s="2" t="s">
        <v>2699</v>
      </c>
      <c r="M1329" s="2" t="str">
        <f t="shared" si="23"/>
        <v>04</v>
      </c>
      <c r="N1329" s="2" t="s">
        <v>539</v>
      </c>
      <c r="O1329" s="2" t="s">
        <v>4373</v>
      </c>
      <c r="P1329" s="2" t="s">
        <v>4380</v>
      </c>
    </row>
    <row r="1330" spans="1:16">
      <c r="A1330" s="4">
        <v>46247.983506944445</v>
      </c>
      <c r="B1330" s="2" t="s">
        <v>4198</v>
      </c>
      <c r="C1330" s="2" t="s">
        <v>3896</v>
      </c>
      <c r="D1330" s="2" t="s">
        <v>274</v>
      </c>
      <c r="E1330" s="2">
        <v>48</v>
      </c>
      <c r="F1330" s="2"/>
      <c r="G1330" s="2">
        <v>48</v>
      </c>
      <c r="H1330" s="2" t="s">
        <v>189</v>
      </c>
      <c r="I1330" s="2" t="s">
        <v>695</v>
      </c>
      <c r="J1330" s="2" t="s">
        <v>2537</v>
      </c>
      <c r="K1330" s="2" t="s">
        <v>1855</v>
      </c>
      <c r="L1330" s="2" t="s">
        <v>2399</v>
      </c>
      <c r="M1330" s="2" t="str">
        <f t="shared" si="23"/>
        <v>05</v>
      </c>
      <c r="N1330" s="2" t="s">
        <v>1726</v>
      </c>
      <c r="O1330" s="2" t="s">
        <v>4373</v>
      </c>
      <c r="P1330" s="2" t="s">
        <v>4380</v>
      </c>
    </row>
    <row r="1331" spans="1:16">
      <c r="A1331" s="4">
        <v>46247.983310185184</v>
      </c>
      <c r="B1331" s="2" t="s">
        <v>925</v>
      </c>
      <c r="C1331" s="2" t="s">
        <v>3896</v>
      </c>
      <c r="D1331" s="2" t="s">
        <v>274</v>
      </c>
      <c r="E1331" s="2">
        <v>48</v>
      </c>
      <c r="F1331" s="2"/>
      <c r="G1331" s="2">
        <v>48</v>
      </c>
      <c r="H1331" s="2" t="s">
        <v>189</v>
      </c>
      <c r="I1331" s="2" t="s">
        <v>695</v>
      </c>
      <c r="J1331" s="2" t="s">
        <v>2537</v>
      </c>
      <c r="K1331" s="2" t="s">
        <v>1855</v>
      </c>
      <c r="L1331" s="2" t="s">
        <v>2399</v>
      </c>
      <c r="M1331" s="2" t="str">
        <f t="shared" si="23"/>
        <v>05</v>
      </c>
      <c r="N1331" s="2" t="s">
        <v>25</v>
      </c>
      <c r="O1331" s="2" t="s">
        <v>4373</v>
      </c>
      <c r="P1331" s="2" t="s">
        <v>4380</v>
      </c>
    </row>
    <row r="1332" spans="1:16">
      <c r="A1332" s="4">
        <v>46247.982627314814</v>
      </c>
      <c r="B1332" s="2" t="s">
        <v>4125</v>
      </c>
      <c r="C1332" s="2" t="s">
        <v>3896</v>
      </c>
      <c r="D1332" s="2" t="s">
        <v>274</v>
      </c>
      <c r="E1332" s="2">
        <v>48</v>
      </c>
      <c r="F1332" s="2"/>
      <c r="G1332" s="2">
        <v>48</v>
      </c>
      <c r="H1332" s="2" t="s">
        <v>189</v>
      </c>
      <c r="I1332" s="2" t="s">
        <v>695</v>
      </c>
      <c r="J1332" s="2" t="s">
        <v>2537</v>
      </c>
      <c r="K1332" s="2" t="s">
        <v>1855</v>
      </c>
      <c r="L1332" s="2" t="s">
        <v>2399</v>
      </c>
      <c r="M1332" s="2" t="str">
        <f t="shared" si="23"/>
        <v>05</v>
      </c>
      <c r="N1332" s="2" t="s">
        <v>3862</v>
      </c>
      <c r="O1332" s="2" t="s">
        <v>4373</v>
      </c>
      <c r="P1332" s="2" t="s">
        <v>4380</v>
      </c>
    </row>
    <row r="1333" spans="1:16">
      <c r="A1333" s="4">
        <v>46247.982465277775</v>
      </c>
      <c r="B1333" s="2" t="s">
        <v>4156</v>
      </c>
      <c r="C1333" s="2" t="s">
        <v>3896</v>
      </c>
      <c r="D1333" s="2" t="s">
        <v>274</v>
      </c>
      <c r="E1333" s="2">
        <v>48</v>
      </c>
      <c r="F1333" s="2"/>
      <c r="G1333" s="2">
        <v>48</v>
      </c>
      <c r="H1333" s="2" t="s">
        <v>189</v>
      </c>
      <c r="I1333" s="2" t="s">
        <v>695</v>
      </c>
      <c r="J1333" s="2" t="s">
        <v>2537</v>
      </c>
      <c r="K1333" s="2" t="s">
        <v>1855</v>
      </c>
      <c r="L1333" s="2" t="s">
        <v>2399</v>
      </c>
      <c r="M1333" s="2" t="str">
        <f t="shared" si="23"/>
        <v>05</v>
      </c>
      <c r="N1333" s="2" t="s">
        <v>832</v>
      </c>
      <c r="O1333" s="2" t="s">
        <v>4373</v>
      </c>
      <c r="P1333" s="2" t="s">
        <v>4380</v>
      </c>
    </row>
    <row r="1334" spans="1:16">
      <c r="A1334" s="4">
        <v>46247.982442129629</v>
      </c>
      <c r="B1334" s="2" t="s">
        <v>1918</v>
      </c>
      <c r="C1334" s="2" t="s">
        <v>3896</v>
      </c>
      <c r="D1334" s="2" t="s">
        <v>274</v>
      </c>
      <c r="E1334" s="2">
        <v>48</v>
      </c>
      <c r="F1334" s="2"/>
      <c r="G1334" s="2">
        <v>48</v>
      </c>
      <c r="H1334" s="2" t="s">
        <v>189</v>
      </c>
      <c r="I1334" s="2" t="s">
        <v>695</v>
      </c>
      <c r="J1334" s="2" t="s">
        <v>2537</v>
      </c>
      <c r="K1334" s="2" t="s">
        <v>1855</v>
      </c>
      <c r="L1334" s="2" t="s">
        <v>2699</v>
      </c>
      <c r="M1334" s="2" t="str">
        <f t="shared" si="23"/>
        <v>04</v>
      </c>
      <c r="N1334" s="2" t="s">
        <v>3817</v>
      </c>
      <c r="O1334" s="2" t="s">
        <v>4373</v>
      </c>
      <c r="P1334" s="2" t="s">
        <v>4380</v>
      </c>
    </row>
    <row r="1335" spans="1:16">
      <c r="A1335" s="4">
        <v>46247.982372685183</v>
      </c>
      <c r="B1335" s="2" t="s">
        <v>440</v>
      </c>
      <c r="C1335" s="2" t="s">
        <v>3896</v>
      </c>
      <c r="D1335" s="2" t="s">
        <v>274</v>
      </c>
      <c r="E1335" s="2">
        <v>48</v>
      </c>
      <c r="F1335" s="2"/>
      <c r="G1335" s="2">
        <v>48</v>
      </c>
      <c r="H1335" s="2" t="s">
        <v>189</v>
      </c>
      <c r="I1335" s="2" t="s">
        <v>695</v>
      </c>
      <c r="J1335" s="2" t="s">
        <v>2537</v>
      </c>
      <c r="K1335" s="2" t="s">
        <v>1855</v>
      </c>
      <c r="L1335" s="2" t="s">
        <v>2699</v>
      </c>
      <c r="M1335" s="2" t="str">
        <f t="shared" si="23"/>
        <v>04</v>
      </c>
      <c r="N1335" s="2" t="s">
        <v>1519</v>
      </c>
      <c r="O1335" s="2" t="s">
        <v>4373</v>
      </c>
      <c r="P1335" s="2" t="s">
        <v>4380</v>
      </c>
    </row>
    <row r="1336" spans="1:16">
      <c r="A1336" s="4">
        <v>46247.981793981482</v>
      </c>
      <c r="B1336" s="2" t="s">
        <v>3650</v>
      </c>
      <c r="C1336" s="2" t="s">
        <v>3896</v>
      </c>
      <c r="D1336" s="2" t="s">
        <v>274</v>
      </c>
      <c r="E1336" s="2">
        <v>48</v>
      </c>
      <c r="F1336" s="2"/>
      <c r="G1336" s="2">
        <v>48</v>
      </c>
      <c r="H1336" s="2" t="s">
        <v>189</v>
      </c>
      <c r="I1336" s="2" t="s">
        <v>695</v>
      </c>
      <c r="J1336" s="2" t="s">
        <v>2537</v>
      </c>
      <c r="K1336" s="2" t="s">
        <v>1855</v>
      </c>
      <c r="L1336" s="2" t="s">
        <v>2699</v>
      </c>
      <c r="M1336" s="2" t="str">
        <f t="shared" si="23"/>
        <v>04</v>
      </c>
      <c r="N1336" s="2" t="s">
        <v>4366</v>
      </c>
      <c r="O1336" s="2" t="s">
        <v>4373</v>
      </c>
      <c r="P1336" s="2" t="s">
        <v>4380</v>
      </c>
    </row>
    <row r="1337" spans="1:16">
      <c r="A1337" s="4">
        <v>46247.981678240743</v>
      </c>
      <c r="B1337" s="2" t="s">
        <v>1490</v>
      </c>
      <c r="C1337" s="2" t="s">
        <v>3896</v>
      </c>
      <c r="D1337" s="2" t="s">
        <v>274</v>
      </c>
      <c r="E1337" s="2">
        <v>48</v>
      </c>
      <c r="F1337" s="2"/>
      <c r="G1337" s="2">
        <v>48</v>
      </c>
      <c r="H1337" s="2" t="s">
        <v>189</v>
      </c>
      <c r="I1337" s="2" t="s">
        <v>695</v>
      </c>
      <c r="J1337" s="2" t="s">
        <v>2537</v>
      </c>
      <c r="K1337" s="2" t="s">
        <v>1855</v>
      </c>
      <c r="L1337" s="2" t="s">
        <v>2699</v>
      </c>
      <c r="M1337" s="2" t="str">
        <f t="shared" si="23"/>
        <v>04</v>
      </c>
      <c r="N1337" s="2" t="s">
        <v>2698</v>
      </c>
      <c r="O1337" s="2" t="s">
        <v>4373</v>
      </c>
      <c r="P1337" s="2" t="s">
        <v>4380</v>
      </c>
    </row>
    <row r="1338" spans="1:16">
      <c r="A1338" s="4">
        <v>46247.981481481482</v>
      </c>
      <c r="B1338" s="2" t="s">
        <v>1127</v>
      </c>
      <c r="C1338" s="2" t="s">
        <v>3896</v>
      </c>
      <c r="D1338" s="2" t="s">
        <v>274</v>
      </c>
      <c r="E1338" s="2">
        <v>48</v>
      </c>
      <c r="F1338" s="2"/>
      <c r="G1338" s="2">
        <v>48</v>
      </c>
      <c r="H1338" s="2" t="s">
        <v>189</v>
      </c>
      <c r="I1338" s="2" t="s">
        <v>695</v>
      </c>
      <c r="J1338" s="2" t="s">
        <v>2537</v>
      </c>
      <c r="K1338" s="2" t="s">
        <v>1855</v>
      </c>
      <c r="L1338" s="2" t="s">
        <v>2399</v>
      </c>
      <c r="M1338" s="2" t="str">
        <f t="shared" si="23"/>
        <v>05</v>
      </c>
      <c r="N1338" s="2" t="s">
        <v>533</v>
      </c>
      <c r="O1338" s="2" t="s">
        <v>4373</v>
      </c>
      <c r="P1338" s="2" t="s">
        <v>4380</v>
      </c>
    </row>
    <row r="1339" spans="1:16">
      <c r="A1339" s="4">
        <v>46247.981423611112</v>
      </c>
      <c r="B1339" s="2" t="s">
        <v>1134</v>
      </c>
      <c r="C1339" s="2" t="s">
        <v>3896</v>
      </c>
      <c r="D1339" s="2" t="s">
        <v>274</v>
      </c>
      <c r="E1339" s="2">
        <v>48</v>
      </c>
      <c r="F1339" s="2"/>
      <c r="G1339" s="2">
        <v>48</v>
      </c>
      <c r="H1339" s="2" t="s">
        <v>189</v>
      </c>
      <c r="I1339" s="2" t="s">
        <v>695</v>
      </c>
      <c r="J1339" s="2" t="s">
        <v>2537</v>
      </c>
      <c r="K1339" s="2" t="s">
        <v>1855</v>
      </c>
      <c r="L1339" s="2" t="s">
        <v>2399</v>
      </c>
      <c r="M1339" s="2" t="str">
        <f t="shared" si="23"/>
        <v>05</v>
      </c>
      <c r="N1339" s="2" t="s">
        <v>586</v>
      </c>
      <c r="O1339" s="2" t="s">
        <v>4373</v>
      </c>
      <c r="P1339" s="2" t="s">
        <v>4380</v>
      </c>
    </row>
    <row r="1340" spans="1:16">
      <c r="A1340" s="4">
        <v>46247.98065972222</v>
      </c>
      <c r="B1340" s="2" t="s">
        <v>2313</v>
      </c>
      <c r="C1340" s="2" t="s">
        <v>3896</v>
      </c>
      <c r="D1340" s="2" t="s">
        <v>274</v>
      </c>
      <c r="E1340" s="2">
        <v>48</v>
      </c>
      <c r="F1340" s="2"/>
      <c r="G1340" s="2">
        <v>48</v>
      </c>
      <c r="H1340" s="2" t="s">
        <v>189</v>
      </c>
      <c r="I1340" s="2" t="s">
        <v>695</v>
      </c>
      <c r="J1340" s="2" t="s">
        <v>2537</v>
      </c>
      <c r="K1340" s="2" t="s">
        <v>1855</v>
      </c>
      <c r="L1340" s="2" t="s">
        <v>2399</v>
      </c>
      <c r="M1340" s="2" t="str">
        <f t="shared" si="23"/>
        <v>05</v>
      </c>
      <c r="N1340" s="2" t="s">
        <v>587</v>
      </c>
      <c r="O1340" s="2" t="s">
        <v>4373</v>
      </c>
      <c r="P1340" s="2" t="s">
        <v>4380</v>
      </c>
    </row>
    <row r="1341" spans="1:16">
      <c r="A1341" s="4">
        <v>46247.980567129627</v>
      </c>
      <c r="B1341" s="2" t="s">
        <v>135</v>
      </c>
      <c r="C1341" s="2" t="s">
        <v>3896</v>
      </c>
      <c r="D1341" s="2" t="s">
        <v>274</v>
      </c>
      <c r="E1341" s="2">
        <v>48</v>
      </c>
      <c r="F1341" s="2"/>
      <c r="G1341" s="2">
        <v>48</v>
      </c>
      <c r="H1341" s="2" t="s">
        <v>189</v>
      </c>
      <c r="I1341" s="2" t="s">
        <v>695</v>
      </c>
      <c r="J1341" s="2" t="s">
        <v>2537</v>
      </c>
      <c r="K1341" s="2" t="s">
        <v>1855</v>
      </c>
      <c r="L1341" s="2" t="s">
        <v>2399</v>
      </c>
      <c r="M1341" s="2" t="str">
        <f t="shared" si="23"/>
        <v>05</v>
      </c>
      <c r="N1341" s="2" t="s">
        <v>1645</v>
      </c>
      <c r="O1341" s="2" t="s">
        <v>4373</v>
      </c>
      <c r="P1341" s="2" t="s">
        <v>4380</v>
      </c>
    </row>
    <row r="1342" spans="1:16">
      <c r="A1342" s="4">
        <v>46247.980057870373</v>
      </c>
      <c r="B1342" s="2" t="s">
        <v>954</v>
      </c>
      <c r="C1342" s="2" t="s">
        <v>3896</v>
      </c>
      <c r="D1342" s="2" t="s">
        <v>274</v>
      </c>
      <c r="E1342" s="2">
        <v>48</v>
      </c>
      <c r="F1342" s="2"/>
      <c r="G1342" s="2">
        <v>48</v>
      </c>
      <c r="H1342" s="2" t="s">
        <v>189</v>
      </c>
      <c r="I1342" s="2" t="s">
        <v>695</v>
      </c>
      <c r="J1342" s="2" t="s">
        <v>2537</v>
      </c>
      <c r="K1342" s="2" t="s">
        <v>1855</v>
      </c>
      <c r="L1342" s="2" t="s">
        <v>2399</v>
      </c>
      <c r="M1342" s="2" t="str">
        <f t="shared" si="23"/>
        <v>05</v>
      </c>
      <c r="N1342" s="2" t="s">
        <v>2092</v>
      </c>
      <c r="O1342" s="2" t="s">
        <v>4373</v>
      </c>
      <c r="P1342" s="2" t="s">
        <v>4380</v>
      </c>
    </row>
    <row r="1343" spans="1:16">
      <c r="A1343" s="4">
        <v>46247.979618055557</v>
      </c>
      <c r="B1343" s="2" t="s">
        <v>4174</v>
      </c>
      <c r="C1343" s="2" t="s">
        <v>3896</v>
      </c>
      <c r="D1343" s="2" t="s">
        <v>274</v>
      </c>
      <c r="E1343" s="2">
        <v>48</v>
      </c>
      <c r="F1343" s="2"/>
      <c r="G1343" s="2">
        <v>48</v>
      </c>
      <c r="H1343" s="2" t="s">
        <v>189</v>
      </c>
      <c r="I1343" s="2" t="s">
        <v>695</v>
      </c>
      <c r="J1343" s="2" t="s">
        <v>2537</v>
      </c>
      <c r="K1343" s="2" t="s">
        <v>1855</v>
      </c>
      <c r="L1343" s="2" t="s">
        <v>2399</v>
      </c>
      <c r="M1343" s="2" t="str">
        <f t="shared" si="23"/>
        <v>05</v>
      </c>
      <c r="N1343" s="2" t="s">
        <v>3762</v>
      </c>
      <c r="O1343" s="2" t="s">
        <v>4373</v>
      </c>
      <c r="P1343" s="2" t="s">
        <v>4380</v>
      </c>
    </row>
    <row r="1344" spans="1:16">
      <c r="A1344" s="4">
        <v>46247.979502314818</v>
      </c>
      <c r="B1344" s="2" t="s">
        <v>2750</v>
      </c>
      <c r="C1344" s="2" t="s">
        <v>3896</v>
      </c>
      <c r="D1344" s="2" t="s">
        <v>274</v>
      </c>
      <c r="E1344" s="2">
        <v>48</v>
      </c>
      <c r="F1344" s="2"/>
      <c r="G1344" s="2">
        <v>48</v>
      </c>
      <c r="H1344" s="2" t="s">
        <v>189</v>
      </c>
      <c r="I1344" s="2" t="s">
        <v>695</v>
      </c>
      <c r="J1344" s="2" t="s">
        <v>2537</v>
      </c>
      <c r="K1344" s="2" t="s">
        <v>1855</v>
      </c>
      <c r="L1344" s="2" t="s">
        <v>2699</v>
      </c>
      <c r="M1344" s="2" t="str">
        <f t="shared" si="23"/>
        <v>04</v>
      </c>
      <c r="N1344" s="2" t="s">
        <v>3827</v>
      </c>
      <c r="O1344" s="2" t="s">
        <v>4373</v>
      </c>
      <c r="P1344" s="2" t="s">
        <v>4380</v>
      </c>
    </row>
    <row r="1345" spans="1:16">
      <c r="A1345" s="4">
        <v>46247.979409722226</v>
      </c>
      <c r="B1345" s="2" t="s">
        <v>1605</v>
      </c>
      <c r="C1345" s="2" t="s">
        <v>3896</v>
      </c>
      <c r="D1345" s="2" t="s">
        <v>274</v>
      </c>
      <c r="E1345" s="2">
        <v>48</v>
      </c>
      <c r="F1345" s="2"/>
      <c r="G1345" s="2">
        <v>48</v>
      </c>
      <c r="H1345" s="2" t="s">
        <v>189</v>
      </c>
      <c r="I1345" s="2" t="s">
        <v>695</v>
      </c>
      <c r="J1345" s="2" t="s">
        <v>2537</v>
      </c>
      <c r="K1345" s="2" t="s">
        <v>1855</v>
      </c>
      <c r="L1345" s="2" t="s">
        <v>2699</v>
      </c>
      <c r="M1345" s="2" t="str">
        <f t="shared" si="23"/>
        <v>04</v>
      </c>
      <c r="N1345" s="2" t="s">
        <v>1085</v>
      </c>
      <c r="O1345" s="2" t="s">
        <v>4373</v>
      </c>
      <c r="P1345" s="2" t="s">
        <v>4380</v>
      </c>
    </row>
    <row r="1346" spans="1:16">
      <c r="A1346" s="4">
        <v>46247.978831018518</v>
      </c>
      <c r="B1346" s="2" t="s">
        <v>430</v>
      </c>
      <c r="C1346" s="2" t="s">
        <v>3896</v>
      </c>
      <c r="D1346" s="2" t="s">
        <v>274</v>
      </c>
      <c r="E1346" s="2">
        <v>48</v>
      </c>
      <c r="F1346" s="2"/>
      <c r="G1346" s="2">
        <v>48</v>
      </c>
      <c r="H1346" s="2" t="s">
        <v>189</v>
      </c>
      <c r="I1346" s="2" t="s">
        <v>695</v>
      </c>
      <c r="J1346" s="2" t="s">
        <v>2537</v>
      </c>
      <c r="K1346" s="2" t="s">
        <v>1855</v>
      </c>
      <c r="L1346" s="2" t="s">
        <v>2399</v>
      </c>
      <c r="M1346" s="2" t="str">
        <f t="shared" ref="M1346:M1409" si="24">RIGHT(L1346,2)</f>
        <v>05</v>
      </c>
      <c r="N1346" s="2" t="s">
        <v>443</v>
      </c>
      <c r="O1346" s="2" t="s">
        <v>4373</v>
      </c>
      <c r="P1346" s="2" t="s">
        <v>4380</v>
      </c>
    </row>
    <row r="1347" spans="1:16">
      <c r="A1347" s="4">
        <v>46247.978703703702</v>
      </c>
      <c r="B1347" s="2" t="s">
        <v>2862</v>
      </c>
      <c r="C1347" s="2" t="s">
        <v>3896</v>
      </c>
      <c r="D1347" s="2" t="s">
        <v>274</v>
      </c>
      <c r="E1347" s="2">
        <v>48</v>
      </c>
      <c r="F1347" s="2"/>
      <c r="G1347" s="2">
        <v>48</v>
      </c>
      <c r="H1347" s="2" t="s">
        <v>189</v>
      </c>
      <c r="I1347" s="2" t="s">
        <v>695</v>
      </c>
      <c r="J1347" s="2" t="s">
        <v>2537</v>
      </c>
      <c r="K1347" s="2" t="s">
        <v>1855</v>
      </c>
      <c r="L1347" s="2" t="s">
        <v>2399</v>
      </c>
      <c r="M1347" s="2" t="str">
        <f t="shared" si="24"/>
        <v>05</v>
      </c>
      <c r="N1347" s="2" t="s">
        <v>592</v>
      </c>
      <c r="O1347" s="2" t="s">
        <v>4373</v>
      </c>
      <c r="P1347" s="2" t="s">
        <v>4380</v>
      </c>
    </row>
    <row r="1348" spans="1:16">
      <c r="A1348" s="4">
        <v>46247.97859953704</v>
      </c>
      <c r="B1348" s="2" t="s">
        <v>914</v>
      </c>
      <c r="C1348" s="2" t="s">
        <v>3896</v>
      </c>
      <c r="D1348" s="2" t="s">
        <v>274</v>
      </c>
      <c r="E1348" s="2">
        <v>48</v>
      </c>
      <c r="F1348" s="2"/>
      <c r="G1348" s="2">
        <v>48</v>
      </c>
      <c r="H1348" s="2" t="s">
        <v>189</v>
      </c>
      <c r="I1348" s="2" t="s">
        <v>695</v>
      </c>
      <c r="J1348" s="2" t="s">
        <v>2537</v>
      </c>
      <c r="K1348" s="2" t="s">
        <v>1855</v>
      </c>
      <c r="L1348" s="2" t="s">
        <v>2699</v>
      </c>
      <c r="M1348" s="2" t="str">
        <f t="shared" si="24"/>
        <v>04</v>
      </c>
      <c r="N1348" s="2" t="s">
        <v>1454</v>
      </c>
      <c r="O1348" s="2" t="s">
        <v>4373</v>
      </c>
      <c r="P1348" s="2" t="s">
        <v>4380</v>
      </c>
    </row>
    <row r="1349" spans="1:16">
      <c r="A1349" s="4">
        <v>46247.978518518517</v>
      </c>
      <c r="B1349" s="2" t="s">
        <v>3871</v>
      </c>
      <c r="C1349" s="2" t="s">
        <v>3896</v>
      </c>
      <c r="D1349" s="2" t="s">
        <v>274</v>
      </c>
      <c r="E1349" s="2">
        <v>48</v>
      </c>
      <c r="F1349" s="2"/>
      <c r="G1349" s="2">
        <v>48</v>
      </c>
      <c r="H1349" s="2" t="s">
        <v>189</v>
      </c>
      <c r="I1349" s="2" t="s">
        <v>695</v>
      </c>
      <c r="J1349" s="2" t="s">
        <v>2537</v>
      </c>
      <c r="K1349" s="2" t="s">
        <v>1855</v>
      </c>
      <c r="L1349" s="2" t="s">
        <v>2699</v>
      </c>
      <c r="M1349" s="2" t="str">
        <f t="shared" si="24"/>
        <v>04</v>
      </c>
      <c r="N1349" s="2" t="s">
        <v>763</v>
      </c>
      <c r="O1349" s="2" t="s">
        <v>4373</v>
      </c>
      <c r="P1349" s="2" t="s">
        <v>4380</v>
      </c>
    </row>
    <row r="1350" spans="1:16">
      <c r="A1350" s="4">
        <v>46247.977442129632</v>
      </c>
      <c r="B1350" s="2" t="s">
        <v>1951</v>
      </c>
      <c r="C1350" s="2" t="s">
        <v>3896</v>
      </c>
      <c r="D1350" s="2" t="s">
        <v>274</v>
      </c>
      <c r="E1350" s="2">
        <v>48</v>
      </c>
      <c r="F1350" s="2"/>
      <c r="G1350" s="2">
        <v>48</v>
      </c>
      <c r="H1350" s="2" t="s">
        <v>189</v>
      </c>
      <c r="I1350" s="2" t="s">
        <v>695</v>
      </c>
      <c r="J1350" s="2" t="s">
        <v>2537</v>
      </c>
      <c r="K1350" s="2" t="s">
        <v>1855</v>
      </c>
      <c r="L1350" s="2" t="s">
        <v>2399</v>
      </c>
      <c r="M1350" s="2" t="str">
        <f t="shared" si="24"/>
        <v>05</v>
      </c>
      <c r="N1350" s="2" t="s">
        <v>3001</v>
      </c>
      <c r="O1350" s="2" t="s">
        <v>4373</v>
      </c>
      <c r="P1350" s="2" t="s">
        <v>4380</v>
      </c>
    </row>
    <row r="1351" spans="1:16">
      <c r="A1351" s="4">
        <v>46247.977314814816</v>
      </c>
      <c r="B1351" s="2" t="s">
        <v>103</v>
      </c>
      <c r="C1351" s="2" t="s">
        <v>3896</v>
      </c>
      <c r="D1351" s="2" t="s">
        <v>274</v>
      </c>
      <c r="E1351" s="2">
        <v>48</v>
      </c>
      <c r="F1351" s="2"/>
      <c r="G1351" s="2">
        <v>48</v>
      </c>
      <c r="H1351" s="2" t="s">
        <v>189</v>
      </c>
      <c r="I1351" s="2" t="s">
        <v>695</v>
      </c>
      <c r="J1351" s="2" t="s">
        <v>2537</v>
      </c>
      <c r="K1351" s="2" t="s">
        <v>1855</v>
      </c>
      <c r="L1351" s="2" t="s">
        <v>2399</v>
      </c>
      <c r="M1351" s="2" t="str">
        <f t="shared" si="24"/>
        <v>05</v>
      </c>
      <c r="N1351" s="2" t="s">
        <v>3913</v>
      </c>
      <c r="O1351" s="2" t="s">
        <v>4373</v>
      </c>
      <c r="P1351" s="2" t="s">
        <v>4380</v>
      </c>
    </row>
    <row r="1352" spans="1:16">
      <c r="A1352" s="4">
        <v>46247.976666666669</v>
      </c>
      <c r="B1352" s="2" t="s">
        <v>1033</v>
      </c>
      <c r="C1352" s="2" t="s">
        <v>3896</v>
      </c>
      <c r="D1352" s="2" t="s">
        <v>274</v>
      </c>
      <c r="E1352" s="2">
        <v>48</v>
      </c>
      <c r="F1352" s="2"/>
      <c r="G1352" s="2">
        <v>48</v>
      </c>
      <c r="H1352" s="2" t="s">
        <v>189</v>
      </c>
      <c r="I1352" s="2" t="s">
        <v>695</v>
      </c>
      <c r="J1352" s="2" t="s">
        <v>2537</v>
      </c>
      <c r="K1352" s="2" t="s">
        <v>1855</v>
      </c>
      <c r="L1352" s="2" t="s">
        <v>2399</v>
      </c>
      <c r="M1352" s="2" t="str">
        <f t="shared" si="24"/>
        <v>05</v>
      </c>
      <c r="N1352" s="2" t="s">
        <v>3446</v>
      </c>
      <c r="O1352" s="2" t="s">
        <v>4373</v>
      </c>
      <c r="P1352" s="2" t="s">
        <v>4380</v>
      </c>
    </row>
    <row r="1353" spans="1:16">
      <c r="A1353" s="4">
        <v>46247.976006944446</v>
      </c>
      <c r="B1353" s="2" t="s">
        <v>266</v>
      </c>
      <c r="C1353" s="2" t="s">
        <v>3896</v>
      </c>
      <c r="D1353" s="2" t="s">
        <v>274</v>
      </c>
      <c r="E1353" s="2">
        <v>48</v>
      </c>
      <c r="F1353" s="2"/>
      <c r="G1353" s="2">
        <v>48</v>
      </c>
      <c r="H1353" s="2" t="s">
        <v>189</v>
      </c>
      <c r="I1353" s="2" t="s">
        <v>695</v>
      </c>
      <c r="J1353" s="2" t="s">
        <v>2537</v>
      </c>
      <c r="K1353" s="2" t="s">
        <v>1855</v>
      </c>
      <c r="L1353" s="2" t="s">
        <v>2399</v>
      </c>
      <c r="M1353" s="2" t="str">
        <f t="shared" si="24"/>
        <v>05</v>
      </c>
      <c r="N1353" s="2" t="s">
        <v>3472</v>
      </c>
      <c r="O1353" s="2" t="s">
        <v>4373</v>
      </c>
      <c r="P1353" s="2" t="s">
        <v>4380</v>
      </c>
    </row>
    <row r="1354" spans="1:16">
      <c r="A1354" s="4">
        <v>46247.975312499999</v>
      </c>
      <c r="B1354" s="2" t="s">
        <v>474</v>
      </c>
      <c r="C1354" s="2" t="s">
        <v>3896</v>
      </c>
      <c r="D1354" s="2" t="s">
        <v>274</v>
      </c>
      <c r="E1354" s="2">
        <v>48</v>
      </c>
      <c r="F1354" s="2"/>
      <c r="G1354" s="2">
        <v>48</v>
      </c>
      <c r="H1354" s="2" t="s">
        <v>189</v>
      </c>
      <c r="I1354" s="2" t="s">
        <v>695</v>
      </c>
      <c r="J1354" s="2" t="s">
        <v>2537</v>
      </c>
      <c r="K1354" s="2" t="s">
        <v>1855</v>
      </c>
      <c r="L1354" s="2" t="s">
        <v>2399</v>
      </c>
      <c r="M1354" s="2" t="str">
        <f t="shared" si="24"/>
        <v>05</v>
      </c>
      <c r="N1354" s="2" t="s">
        <v>3895</v>
      </c>
      <c r="O1354" s="2" t="s">
        <v>4373</v>
      </c>
      <c r="P1354" s="2" t="s">
        <v>4380</v>
      </c>
    </row>
    <row r="1355" spans="1:16">
      <c r="A1355" s="4">
        <v>46247.974444444444</v>
      </c>
      <c r="B1355" s="2" t="s">
        <v>2573</v>
      </c>
      <c r="C1355" s="2" t="s">
        <v>3896</v>
      </c>
      <c r="D1355" s="2" t="s">
        <v>274</v>
      </c>
      <c r="E1355" s="2">
        <v>48</v>
      </c>
      <c r="F1355" s="2"/>
      <c r="G1355" s="2">
        <v>48</v>
      </c>
      <c r="H1355" s="2" t="s">
        <v>189</v>
      </c>
      <c r="I1355" s="2" t="s">
        <v>695</v>
      </c>
      <c r="J1355" s="2" t="s">
        <v>2537</v>
      </c>
      <c r="K1355" s="2" t="s">
        <v>1855</v>
      </c>
      <c r="L1355" s="2" t="s">
        <v>2399</v>
      </c>
      <c r="M1355" s="2" t="str">
        <f t="shared" si="24"/>
        <v>05</v>
      </c>
      <c r="N1355" s="2" t="s">
        <v>2323</v>
      </c>
      <c r="O1355" s="2" t="s">
        <v>4373</v>
      </c>
      <c r="P1355" s="2" t="s">
        <v>4380</v>
      </c>
    </row>
    <row r="1356" spans="1:16">
      <c r="A1356" s="4">
        <v>46247.974097222221</v>
      </c>
      <c r="B1356" s="2" t="s">
        <v>920</v>
      </c>
      <c r="C1356" s="2" t="s">
        <v>3896</v>
      </c>
      <c r="D1356" s="2" t="s">
        <v>274</v>
      </c>
      <c r="E1356" s="2">
        <v>48</v>
      </c>
      <c r="F1356" s="2"/>
      <c r="G1356" s="2">
        <v>48</v>
      </c>
      <c r="H1356" s="2" t="s">
        <v>189</v>
      </c>
      <c r="I1356" s="2" t="s">
        <v>695</v>
      </c>
      <c r="J1356" s="2" t="s">
        <v>2537</v>
      </c>
      <c r="K1356" s="2" t="s">
        <v>1855</v>
      </c>
      <c r="L1356" s="2" t="s">
        <v>2399</v>
      </c>
      <c r="M1356" s="2" t="str">
        <f t="shared" si="24"/>
        <v>05</v>
      </c>
      <c r="N1356" s="2" t="s">
        <v>4077</v>
      </c>
      <c r="O1356" s="2" t="s">
        <v>4373</v>
      </c>
      <c r="P1356" s="2" t="s">
        <v>4380</v>
      </c>
    </row>
    <row r="1357" spans="1:16">
      <c r="A1357" s="4">
        <v>46247.973530092589</v>
      </c>
      <c r="B1357" s="2" t="s">
        <v>2724</v>
      </c>
      <c r="C1357" s="2" t="s">
        <v>3896</v>
      </c>
      <c r="D1357" s="2" t="s">
        <v>274</v>
      </c>
      <c r="E1357" s="2">
        <v>48</v>
      </c>
      <c r="F1357" s="2"/>
      <c r="G1357" s="2">
        <v>48</v>
      </c>
      <c r="H1357" s="2" t="s">
        <v>189</v>
      </c>
      <c r="I1357" s="2" t="s">
        <v>695</v>
      </c>
      <c r="J1357" s="2" t="s">
        <v>2537</v>
      </c>
      <c r="K1357" s="2" t="s">
        <v>1855</v>
      </c>
      <c r="L1357" s="2" t="s">
        <v>2399</v>
      </c>
      <c r="M1357" s="2" t="str">
        <f t="shared" si="24"/>
        <v>05</v>
      </c>
      <c r="N1357" s="2" t="s">
        <v>1799</v>
      </c>
      <c r="O1357" s="2" t="s">
        <v>4373</v>
      </c>
      <c r="P1357" s="2" t="s">
        <v>4380</v>
      </c>
    </row>
    <row r="1358" spans="1:16">
      <c r="A1358" s="4">
        <v>46247.973252314812</v>
      </c>
      <c r="B1358" s="2" t="s">
        <v>3869</v>
      </c>
      <c r="C1358" s="2" t="s">
        <v>3896</v>
      </c>
      <c r="D1358" s="2" t="s">
        <v>274</v>
      </c>
      <c r="E1358" s="2">
        <v>48</v>
      </c>
      <c r="F1358" s="2"/>
      <c r="G1358" s="2">
        <v>48</v>
      </c>
      <c r="H1358" s="2" t="s">
        <v>189</v>
      </c>
      <c r="I1358" s="2" t="s">
        <v>695</v>
      </c>
      <c r="J1358" s="2" t="s">
        <v>2537</v>
      </c>
      <c r="K1358" s="2" t="s">
        <v>1855</v>
      </c>
      <c r="L1358" s="2" t="s">
        <v>2399</v>
      </c>
      <c r="M1358" s="2" t="str">
        <f t="shared" si="24"/>
        <v>05</v>
      </c>
      <c r="N1358" s="2" t="s">
        <v>2495</v>
      </c>
      <c r="O1358" s="2" t="s">
        <v>4373</v>
      </c>
      <c r="P1358" s="2" t="s">
        <v>4380</v>
      </c>
    </row>
    <row r="1359" spans="1:16">
      <c r="A1359" s="4">
        <v>46247.971585648149</v>
      </c>
      <c r="B1359" s="2" t="s">
        <v>1381</v>
      </c>
      <c r="C1359" s="2" t="s">
        <v>3896</v>
      </c>
      <c r="D1359" s="2" t="s">
        <v>274</v>
      </c>
      <c r="E1359" s="2">
        <v>48</v>
      </c>
      <c r="F1359" s="2"/>
      <c r="G1359" s="2">
        <v>48</v>
      </c>
      <c r="H1359" s="2" t="s">
        <v>189</v>
      </c>
      <c r="I1359" s="2" t="s">
        <v>695</v>
      </c>
      <c r="J1359" s="2" t="s">
        <v>2537</v>
      </c>
      <c r="K1359" s="2" t="s">
        <v>1855</v>
      </c>
      <c r="L1359" s="2" t="s">
        <v>2399</v>
      </c>
      <c r="M1359" s="2" t="str">
        <f t="shared" si="24"/>
        <v>05</v>
      </c>
      <c r="N1359" s="2" t="s">
        <v>554</v>
      </c>
      <c r="O1359" s="2" t="s">
        <v>4373</v>
      </c>
      <c r="P1359" s="2" t="s">
        <v>4380</v>
      </c>
    </row>
    <row r="1360" spans="1:16">
      <c r="A1360" s="4">
        <v>46247.97152777778</v>
      </c>
      <c r="B1360" s="2" t="s">
        <v>3170</v>
      </c>
      <c r="C1360" s="2" t="s">
        <v>3896</v>
      </c>
      <c r="D1360" s="2" t="s">
        <v>274</v>
      </c>
      <c r="E1360" s="2">
        <v>48</v>
      </c>
      <c r="F1360" s="2"/>
      <c r="G1360" s="2">
        <v>48</v>
      </c>
      <c r="H1360" s="2" t="s">
        <v>189</v>
      </c>
      <c r="I1360" s="2" t="s">
        <v>695</v>
      </c>
      <c r="J1360" s="2" t="s">
        <v>2537</v>
      </c>
      <c r="K1360" s="2" t="s">
        <v>1855</v>
      </c>
      <c r="L1360" s="2" t="s">
        <v>2399</v>
      </c>
      <c r="M1360" s="2" t="str">
        <f t="shared" si="24"/>
        <v>05</v>
      </c>
      <c r="N1360" s="2" t="s">
        <v>1338</v>
      </c>
      <c r="O1360" s="2" t="s">
        <v>4373</v>
      </c>
      <c r="P1360" s="2" t="s">
        <v>4380</v>
      </c>
    </row>
    <row r="1361" spans="1:16">
      <c r="A1361" s="4">
        <v>46247.970706018517</v>
      </c>
      <c r="B1361" s="2" t="s">
        <v>155</v>
      </c>
      <c r="C1361" s="2" t="s">
        <v>3896</v>
      </c>
      <c r="D1361" s="2" t="s">
        <v>274</v>
      </c>
      <c r="E1361" s="2">
        <v>48</v>
      </c>
      <c r="F1361" s="2"/>
      <c r="G1361" s="2">
        <v>48</v>
      </c>
      <c r="H1361" s="2" t="s">
        <v>189</v>
      </c>
      <c r="I1361" s="2" t="s">
        <v>695</v>
      </c>
      <c r="J1361" s="2" t="s">
        <v>2537</v>
      </c>
      <c r="K1361" s="2" t="s">
        <v>1855</v>
      </c>
      <c r="L1361" s="2" t="s">
        <v>2399</v>
      </c>
      <c r="M1361" s="2" t="str">
        <f t="shared" si="24"/>
        <v>05</v>
      </c>
      <c r="N1361" s="2" t="s">
        <v>876</v>
      </c>
      <c r="O1361" s="2" t="s">
        <v>4373</v>
      </c>
      <c r="P1361" s="2" t="s">
        <v>4380</v>
      </c>
    </row>
    <row r="1362" spans="1:16">
      <c r="A1362" s="4">
        <v>46247.970659722225</v>
      </c>
      <c r="B1362" s="2" t="s">
        <v>2780</v>
      </c>
      <c r="C1362" s="2" t="s">
        <v>3896</v>
      </c>
      <c r="D1362" s="2" t="s">
        <v>274</v>
      </c>
      <c r="E1362" s="2">
        <v>48</v>
      </c>
      <c r="F1362" s="2"/>
      <c r="G1362" s="2">
        <v>48</v>
      </c>
      <c r="H1362" s="2" t="s">
        <v>189</v>
      </c>
      <c r="I1362" s="2" t="s">
        <v>695</v>
      </c>
      <c r="J1362" s="2" t="s">
        <v>2537</v>
      </c>
      <c r="K1362" s="2" t="s">
        <v>1855</v>
      </c>
      <c r="L1362" s="2" t="s">
        <v>2399</v>
      </c>
      <c r="M1362" s="2" t="str">
        <f t="shared" si="24"/>
        <v>05</v>
      </c>
      <c r="N1362" s="2" t="s">
        <v>2753</v>
      </c>
      <c r="O1362" s="2" t="s">
        <v>4373</v>
      </c>
      <c r="P1362" s="2" t="s">
        <v>4380</v>
      </c>
    </row>
    <row r="1363" spans="1:16">
      <c r="A1363" s="4">
        <v>46247.96980324074</v>
      </c>
      <c r="B1363" s="2" t="s">
        <v>3394</v>
      </c>
      <c r="C1363" s="2" t="s">
        <v>3896</v>
      </c>
      <c r="D1363" s="2" t="s">
        <v>274</v>
      </c>
      <c r="E1363" s="2">
        <v>48</v>
      </c>
      <c r="F1363" s="2"/>
      <c r="G1363" s="2">
        <v>48</v>
      </c>
      <c r="H1363" s="2" t="s">
        <v>189</v>
      </c>
      <c r="I1363" s="2" t="s">
        <v>695</v>
      </c>
      <c r="J1363" s="2" t="s">
        <v>2537</v>
      </c>
      <c r="K1363" s="2" t="s">
        <v>1855</v>
      </c>
      <c r="L1363" s="2" t="s">
        <v>2399</v>
      </c>
      <c r="M1363" s="2" t="str">
        <f t="shared" si="24"/>
        <v>05</v>
      </c>
      <c r="N1363" s="2" t="s">
        <v>171</v>
      </c>
      <c r="O1363" s="2" t="s">
        <v>4373</v>
      </c>
      <c r="P1363" s="2" t="s">
        <v>4380</v>
      </c>
    </row>
    <row r="1364" spans="1:16">
      <c r="A1364" s="4">
        <v>46247.969421296293</v>
      </c>
      <c r="B1364" s="2" t="s">
        <v>905</v>
      </c>
      <c r="C1364" s="2" t="s">
        <v>3896</v>
      </c>
      <c r="D1364" s="2" t="s">
        <v>274</v>
      </c>
      <c r="E1364" s="2">
        <v>48</v>
      </c>
      <c r="F1364" s="2"/>
      <c r="G1364" s="2">
        <v>48</v>
      </c>
      <c r="H1364" s="2" t="s">
        <v>189</v>
      </c>
      <c r="I1364" s="2" t="s">
        <v>695</v>
      </c>
      <c r="J1364" s="2" t="s">
        <v>2537</v>
      </c>
      <c r="K1364" s="2" t="s">
        <v>1855</v>
      </c>
      <c r="L1364" s="2" t="s">
        <v>2399</v>
      </c>
      <c r="M1364" s="2" t="str">
        <f t="shared" si="24"/>
        <v>05</v>
      </c>
      <c r="N1364" s="2" t="s">
        <v>3864</v>
      </c>
      <c r="O1364" s="2" t="s">
        <v>4373</v>
      </c>
      <c r="P1364" s="2" t="s">
        <v>4380</v>
      </c>
    </row>
    <row r="1365" spans="1:16">
      <c r="A1365" s="4">
        <v>46247.968761574077</v>
      </c>
      <c r="B1365" s="2" t="s">
        <v>1959</v>
      </c>
      <c r="C1365" s="2" t="s">
        <v>3896</v>
      </c>
      <c r="D1365" s="2" t="s">
        <v>274</v>
      </c>
      <c r="E1365" s="2">
        <v>48</v>
      </c>
      <c r="F1365" s="2"/>
      <c r="G1365" s="2">
        <v>48</v>
      </c>
      <c r="H1365" s="2" t="s">
        <v>189</v>
      </c>
      <c r="I1365" s="2" t="s">
        <v>695</v>
      </c>
      <c r="J1365" s="2" t="s">
        <v>2537</v>
      </c>
      <c r="K1365" s="2" t="s">
        <v>1855</v>
      </c>
      <c r="L1365" s="2" t="s">
        <v>2399</v>
      </c>
      <c r="M1365" s="2" t="str">
        <f t="shared" si="24"/>
        <v>05</v>
      </c>
      <c r="N1365" s="2" t="s">
        <v>1673</v>
      </c>
      <c r="O1365" s="2" t="s">
        <v>4373</v>
      </c>
      <c r="P1365" s="2" t="s">
        <v>4380</v>
      </c>
    </row>
    <row r="1366" spans="1:16">
      <c r="A1366" s="4">
        <v>46247.96875</v>
      </c>
      <c r="B1366" s="2" t="s">
        <v>3162</v>
      </c>
      <c r="C1366" s="2" t="s">
        <v>3896</v>
      </c>
      <c r="D1366" s="2" t="s">
        <v>274</v>
      </c>
      <c r="E1366" s="2">
        <v>48</v>
      </c>
      <c r="F1366" s="2"/>
      <c r="G1366" s="2">
        <v>48</v>
      </c>
      <c r="H1366" s="2" t="s">
        <v>189</v>
      </c>
      <c r="I1366" s="2" t="s">
        <v>695</v>
      </c>
      <c r="J1366" s="2" t="s">
        <v>2537</v>
      </c>
      <c r="K1366" s="2" t="s">
        <v>1855</v>
      </c>
      <c r="L1366" s="2" t="s">
        <v>2399</v>
      </c>
      <c r="M1366" s="2" t="str">
        <f t="shared" si="24"/>
        <v>05</v>
      </c>
      <c r="N1366" s="2" t="s">
        <v>3781</v>
      </c>
      <c r="O1366" s="2" t="s">
        <v>4373</v>
      </c>
      <c r="P1366" s="2" t="s">
        <v>4380</v>
      </c>
    </row>
    <row r="1367" spans="1:16">
      <c r="A1367" s="4">
        <v>46247.967858796299</v>
      </c>
      <c r="B1367" s="2" t="s">
        <v>4004</v>
      </c>
      <c r="C1367" s="2" t="s">
        <v>3896</v>
      </c>
      <c r="D1367" s="2" t="s">
        <v>274</v>
      </c>
      <c r="E1367" s="2">
        <v>48</v>
      </c>
      <c r="F1367" s="2"/>
      <c r="G1367" s="2">
        <v>48</v>
      </c>
      <c r="H1367" s="2" t="s">
        <v>189</v>
      </c>
      <c r="I1367" s="2" t="s">
        <v>695</v>
      </c>
      <c r="J1367" s="2" t="s">
        <v>2537</v>
      </c>
      <c r="K1367" s="2" t="s">
        <v>1855</v>
      </c>
      <c r="L1367" s="2" t="s">
        <v>2399</v>
      </c>
      <c r="M1367" s="2" t="str">
        <f t="shared" si="24"/>
        <v>05</v>
      </c>
      <c r="N1367" s="2" t="s">
        <v>4026</v>
      </c>
      <c r="O1367" s="2" t="s">
        <v>4373</v>
      </c>
      <c r="P1367" s="2" t="s">
        <v>4380</v>
      </c>
    </row>
    <row r="1368" spans="1:16">
      <c r="A1368" s="4">
        <v>46247.967673611114</v>
      </c>
      <c r="B1368" s="2" t="s">
        <v>2701</v>
      </c>
      <c r="C1368" s="2" t="s">
        <v>3896</v>
      </c>
      <c r="D1368" s="2" t="s">
        <v>274</v>
      </c>
      <c r="E1368" s="2">
        <v>48</v>
      </c>
      <c r="F1368" s="2"/>
      <c r="G1368" s="2">
        <v>48</v>
      </c>
      <c r="H1368" s="2" t="s">
        <v>189</v>
      </c>
      <c r="I1368" s="2" t="s">
        <v>695</v>
      </c>
      <c r="J1368" s="2" t="s">
        <v>2537</v>
      </c>
      <c r="K1368" s="2" t="s">
        <v>1855</v>
      </c>
      <c r="L1368" s="2" t="s">
        <v>2399</v>
      </c>
      <c r="M1368" s="2" t="str">
        <f t="shared" si="24"/>
        <v>05</v>
      </c>
      <c r="N1368" s="2" t="s">
        <v>2739</v>
      </c>
      <c r="O1368" s="2" t="s">
        <v>4373</v>
      </c>
      <c r="P1368" s="2" t="s">
        <v>4380</v>
      </c>
    </row>
    <row r="1369" spans="1:16">
      <c r="A1369" s="4">
        <v>46247.966481481482</v>
      </c>
      <c r="B1369" s="2" t="s">
        <v>2296</v>
      </c>
      <c r="C1369" s="2" t="s">
        <v>3896</v>
      </c>
      <c r="D1369" s="2" t="s">
        <v>274</v>
      </c>
      <c r="E1369" s="2">
        <v>48</v>
      </c>
      <c r="F1369" s="2"/>
      <c r="G1369" s="2">
        <v>48</v>
      </c>
      <c r="H1369" s="2" t="s">
        <v>189</v>
      </c>
      <c r="I1369" s="2" t="s">
        <v>695</v>
      </c>
      <c r="J1369" s="2" t="s">
        <v>2537</v>
      </c>
      <c r="K1369" s="2" t="s">
        <v>1855</v>
      </c>
      <c r="L1369" s="2" t="s">
        <v>2399</v>
      </c>
      <c r="M1369" s="2" t="str">
        <f t="shared" si="24"/>
        <v>05</v>
      </c>
      <c r="N1369" s="2" t="s">
        <v>961</v>
      </c>
      <c r="O1369" s="2" t="s">
        <v>4373</v>
      </c>
      <c r="P1369" s="2" t="s">
        <v>4380</v>
      </c>
    </row>
    <row r="1370" spans="1:16">
      <c r="A1370" s="4">
        <v>46247.96634259259</v>
      </c>
      <c r="B1370" s="2" t="s">
        <v>185</v>
      </c>
      <c r="C1370" s="2" t="s">
        <v>3896</v>
      </c>
      <c r="D1370" s="2" t="s">
        <v>274</v>
      </c>
      <c r="E1370" s="2">
        <v>48</v>
      </c>
      <c r="F1370" s="2"/>
      <c r="G1370" s="2">
        <v>48</v>
      </c>
      <c r="H1370" s="2" t="s">
        <v>189</v>
      </c>
      <c r="I1370" s="2" t="s">
        <v>695</v>
      </c>
      <c r="J1370" s="2" t="s">
        <v>2537</v>
      </c>
      <c r="K1370" s="2" t="s">
        <v>1855</v>
      </c>
      <c r="L1370" s="2" t="s">
        <v>2399</v>
      </c>
      <c r="M1370" s="2" t="str">
        <f t="shared" si="24"/>
        <v>05</v>
      </c>
      <c r="N1370" s="2" t="s">
        <v>187</v>
      </c>
      <c r="O1370" s="2" t="s">
        <v>4373</v>
      </c>
      <c r="P1370" s="2" t="s">
        <v>4380</v>
      </c>
    </row>
    <row r="1371" spans="1:16">
      <c r="A1371" s="4">
        <v>46246.370717592596</v>
      </c>
      <c r="B1371" s="2" t="s">
        <v>1112</v>
      </c>
      <c r="C1371" s="2" t="s">
        <v>3896</v>
      </c>
      <c r="D1371" s="2" t="s">
        <v>274</v>
      </c>
      <c r="E1371" s="2">
        <v>48</v>
      </c>
      <c r="F1371" s="2"/>
      <c r="G1371" s="2">
        <v>48</v>
      </c>
      <c r="H1371" s="2" t="s">
        <v>189</v>
      </c>
      <c r="I1371" s="2" t="s">
        <v>695</v>
      </c>
      <c r="J1371" s="2" t="s">
        <v>2537</v>
      </c>
      <c r="K1371" s="2" t="s">
        <v>1855</v>
      </c>
      <c r="L1371" s="2" t="s">
        <v>4243</v>
      </c>
      <c r="M1371" s="2" t="str">
        <f t="shared" si="24"/>
        <v>12</v>
      </c>
      <c r="N1371" s="2" t="s">
        <v>2463</v>
      </c>
      <c r="O1371" s="2" t="s">
        <v>4373</v>
      </c>
      <c r="P1371" s="2" t="s">
        <v>4381</v>
      </c>
    </row>
    <row r="1372" spans="1:16">
      <c r="A1372" s="4">
        <v>46246.37060185185</v>
      </c>
      <c r="B1372" s="2" t="s">
        <v>627</v>
      </c>
      <c r="C1372" s="2" t="s">
        <v>3896</v>
      </c>
      <c r="D1372" s="2" t="s">
        <v>274</v>
      </c>
      <c r="E1372" s="2">
        <v>48</v>
      </c>
      <c r="F1372" s="2"/>
      <c r="G1372" s="2">
        <v>48</v>
      </c>
      <c r="H1372" s="2" t="s">
        <v>189</v>
      </c>
      <c r="I1372" s="2" t="s">
        <v>695</v>
      </c>
      <c r="J1372" s="2" t="s">
        <v>2537</v>
      </c>
      <c r="K1372" s="2" t="s">
        <v>1855</v>
      </c>
      <c r="L1372" s="2" t="s">
        <v>4243</v>
      </c>
      <c r="M1372" s="2" t="str">
        <f t="shared" si="24"/>
        <v>12</v>
      </c>
      <c r="N1372" s="2" t="s">
        <v>2333</v>
      </c>
      <c r="O1372" s="2" t="s">
        <v>4373</v>
      </c>
      <c r="P1372" s="2" t="s">
        <v>4381</v>
      </c>
    </row>
    <row r="1373" spans="1:16">
      <c r="A1373" s="4">
        <v>46246.37059027778</v>
      </c>
      <c r="B1373" s="2" t="s">
        <v>1405</v>
      </c>
      <c r="C1373" s="2" t="s">
        <v>3896</v>
      </c>
      <c r="D1373" s="2" t="s">
        <v>274</v>
      </c>
      <c r="E1373" s="2">
        <v>48</v>
      </c>
      <c r="F1373" s="2"/>
      <c r="G1373" s="2">
        <v>48</v>
      </c>
      <c r="H1373" s="2" t="s">
        <v>189</v>
      </c>
      <c r="I1373" s="2" t="s">
        <v>695</v>
      </c>
      <c r="J1373" s="2" t="s">
        <v>2537</v>
      </c>
      <c r="K1373" s="2" t="s">
        <v>1855</v>
      </c>
      <c r="L1373" s="2" t="s">
        <v>4243</v>
      </c>
      <c r="M1373" s="2" t="str">
        <f t="shared" si="24"/>
        <v>12</v>
      </c>
      <c r="N1373" s="2" t="s">
        <v>2910</v>
      </c>
      <c r="O1373" s="2" t="s">
        <v>4373</v>
      </c>
      <c r="P1373" s="2" t="s">
        <v>4381</v>
      </c>
    </row>
    <row r="1374" spans="1:16">
      <c r="A1374" s="4">
        <v>46246.369050925925</v>
      </c>
      <c r="B1374" s="2" t="s">
        <v>945</v>
      </c>
      <c r="C1374" s="2" t="s">
        <v>3896</v>
      </c>
      <c r="D1374" s="2" t="s">
        <v>274</v>
      </c>
      <c r="E1374" s="2">
        <v>48</v>
      </c>
      <c r="F1374" s="2"/>
      <c r="G1374" s="2">
        <v>48</v>
      </c>
      <c r="H1374" s="2" t="s">
        <v>189</v>
      </c>
      <c r="I1374" s="2" t="s">
        <v>695</v>
      </c>
      <c r="J1374" s="2" t="s">
        <v>2537</v>
      </c>
      <c r="K1374" s="2" t="s">
        <v>1855</v>
      </c>
      <c r="L1374" s="2" t="s">
        <v>4243</v>
      </c>
      <c r="M1374" s="2" t="str">
        <f t="shared" si="24"/>
        <v>12</v>
      </c>
      <c r="N1374" s="2" t="s">
        <v>495</v>
      </c>
      <c r="O1374" s="2" t="s">
        <v>4373</v>
      </c>
      <c r="P1374" s="2" t="s">
        <v>4381</v>
      </c>
    </row>
    <row r="1375" spans="1:16">
      <c r="A1375" s="4">
        <v>46246.369016203702</v>
      </c>
      <c r="B1375" s="2" t="s">
        <v>1658</v>
      </c>
      <c r="C1375" s="2" t="s">
        <v>3896</v>
      </c>
      <c r="D1375" s="2" t="s">
        <v>274</v>
      </c>
      <c r="E1375" s="2">
        <v>48</v>
      </c>
      <c r="F1375" s="2"/>
      <c r="G1375" s="2">
        <v>48</v>
      </c>
      <c r="H1375" s="2" t="s">
        <v>189</v>
      </c>
      <c r="I1375" s="2" t="s">
        <v>695</v>
      </c>
      <c r="J1375" s="2" t="s">
        <v>2537</v>
      </c>
      <c r="K1375" s="2" t="s">
        <v>1855</v>
      </c>
      <c r="L1375" s="2" t="s">
        <v>4243</v>
      </c>
      <c r="M1375" s="2" t="str">
        <f t="shared" si="24"/>
        <v>12</v>
      </c>
      <c r="N1375" s="2" t="s">
        <v>698</v>
      </c>
      <c r="O1375" s="2" t="s">
        <v>4373</v>
      </c>
      <c r="P1375" s="2" t="s">
        <v>4381</v>
      </c>
    </row>
    <row r="1376" spans="1:16">
      <c r="A1376" s="4">
        <v>46246.369004629632</v>
      </c>
      <c r="B1376" s="2" t="s">
        <v>415</v>
      </c>
      <c r="C1376" s="2" t="s">
        <v>3896</v>
      </c>
      <c r="D1376" s="2" t="s">
        <v>274</v>
      </c>
      <c r="E1376" s="2">
        <v>48</v>
      </c>
      <c r="F1376" s="2"/>
      <c r="G1376" s="2">
        <v>48</v>
      </c>
      <c r="H1376" s="2" t="s">
        <v>189</v>
      </c>
      <c r="I1376" s="2" t="s">
        <v>695</v>
      </c>
      <c r="J1376" s="2" t="s">
        <v>2537</v>
      </c>
      <c r="K1376" s="2" t="s">
        <v>1855</v>
      </c>
      <c r="L1376" s="2" t="s">
        <v>4243</v>
      </c>
      <c r="M1376" s="2" t="str">
        <f t="shared" si="24"/>
        <v>12</v>
      </c>
      <c r="N1376" s="2" t="s">
        <v>2004</v>
      </c>
      <c r="O1376" s="2" t="s">
        <v>4373</v>
      </c>
      <c r="P1376" s="2" t="s">
        <v>4381</v>
      </c>
    </row>
    <row r="1377" spans="1:16">
      <c r="A1377" s="4">
        <v>46246.367685185185</v>
      </c>
      <c r="B1377" s="2" t="s">
        <v>1921</v>
      </c>
      <c r="C1377" s="2" t="s">
        <v>3896</v>
      </c>
      <c r="D1377" s="2" t="s">
        <v>274</v>
      </c>
      <c r="E1377" s="2">
        <v>48</v>
      </c>
      <c r="F1377" s="2"/>
      <c r="G1377" s="2">
        <v>48</v>
      </c>
      <c r="H1377" s="2" t="s">
        <v>189</v>
      </c>
      <c r="I1377" s="2" t="s">
        <v>695</v>
      </c>
      <c r="J1377" s="2" t="s">
        <v>2537</v>
      </c>
      <c r="K1377" s="2" t="s">
        <v>1855</v>
      </c>
      <c r="L1377" s="2" t="s">
        <v>4243</v>
      </c>
      <c r="M1377" s="2" t="str">
        <f t="shared" si="24"/>
        <v>12</v>
      </c>
      <c r="N1377" s="2" t="s">
        <v>1797</v>
      </c>
      <c r="O1377" s="2" t="s">
        <v>4373</v>
      </c>
      <c r="P1377" s="2" t="s">
        <v>4381</v>
      </c>
    </row>
    <row r="1378" spans="1:16">
      <c r="A1378" s="4">
        <v>46246.367395833331</v>
      </c>
      <c r="B1378" s="2" t="s">
        <v>2441</v>
      </c>
      <c r="C1378" s="2" t="s">
        <v>3896</v>
      </c>
      <c r="D1378" s="2" t="s">
        <v>274</v>
      </c>
      <c r="E1378" s="2">
        <v>48</v>
      </c>
      <c r="F1378" s="2"/>
      <c r="G1378" s="2">
        <v>48</v>
      </c>
      <c r="H1378" s="2" t="s">
        <v>189</v>
      </c>
      <c r="I1378" s="2" t="s">
        <v>695</v>
      </c>
      <c r="J1378" s="2" t="s">
        <v>2537</v>
      </c>
      <c r="K1378" s="2" t="s">
        <v>1855</v>
      </c>
      <c r="L1378" s="2" t="s">
        <v>4243</v>
      </c>
      <c r="M1378" s="2" t="str">
        <f t="shared" si="24"/>
        <v>12</v>
      </c>
      <c r="N1378" s="2" t="s">
        <v>772</v>
      </c>
      <c r="O1378" s="2" t="s">
        <v>4373</v>
      </c>
      <c r="P1378" s="2" t="s">
        <v>4381</v>
      </c>
    </row>
    <row r="1379" spans="1:16">
      <c r="A1379" s="4">
        <v>46246.367256944446</v>
      </c>
      <c r="B1379" s="2" t="s">
        <v>31</v>
      </c>
      <c r="C1379" s="2" t="s">
        <v>3896</v>
      </c>
      <c r="D1379" s="2" t="s">
        <v>274</v>
      </c>
      <c r="E1379" s="2">
        <v>48</v>
      </c>
      <c r="F1379" s="2"/>
      <c r="G1379" s="2">
        <v>48</v>
      </c>
      <c r="H1379" s="2" t="s">
        <v>189</v>
      </c>
      <c r="I1379" s="2" t="s">
        <v>695</v>
      </c>
      <c r="J1379" s="2" t="s">
        <v>2537</v>
      </c>
      <c r="K1379" s="2" t="s">
        <v>1855</v>
      </c>
      <c r="L1379" s="2" t="s">
        <v>4243</v>
      </c>
      <c r="M1379" s="2" t="str">
        <f t="shared" si="24"/>
        <v>12</v>
      </c>
      <c r="N1379" s="2" t="s">
        <v>2987</v>
      </c>
      <c r="O1379" s="2" t="s">
        <v>4373</v>
      </c>
      <c r="P1379" s="2" t="s">
        <v>4381</v>
      </c>
    </row>
    <row r="1380" spans="1:16">
      <c r="A1380" s="4">
        <v>46246.366180555553</v>
      </c>
      <c r="B1380" s="2" t="s">
        <v>3116</v>
      </c>
      <c r="C1380" s="2" t="s">
        <v>3896</v>
      </c>
      <c r="D1380" s="2" t="s">
        <v>274</v>
      </c>
      <c r="E1380" s="2">
        <v>48</v>
      </c>
      <c r="F1380" s="2"/>
      <c r="G1380" s="2">
        <v>48</v>
      </c>
      <c r="H1380" s="2" t="s">
        <v>189</v>
      </c>
      <c r="I1380" s="2" t="s">
        <v>695</v>
      </c>
      <c r="J1380" s="2" t="s">
        <v>2537</v>
      </c>
      <c r="K1380" s="2" t="s">
        <v>1855</v>
      </c>
      <c r="L1380" s="2" t="s">
        <v>4243</v>
      </c>
      <c r="M1380" s="2" t="str">
        <f t="shared" si="24"/>
        <v>12</v>
      </c>
      <c r="N1380" s="2" t="s">
        <v>2578</v>
      </c>
      <c r="O1380" s="2" t="s">
        <v>4373</v>
      </c>
      <c r="P1380" s="2" t="s">
        <v>4381</v>
      </c>
    </row>
    <row r="1381" spans="1:16">
      <c r="A1381" s="4">
        <v>46246.36614583333</v>
      </c>
      <c r="B1381" s="2" t="s">
        <v>2606</v>
      </c>
      <c r="C1381" s="2" t="s">
        <v>3896</v>
      </c>
      <c r="D1381" s="2" t="s">
        <v>274</v>
      </c>
      <c r="E1381" s="2">
        <v>48</v>
      </c>
      <c r="F1381" s="2"/>
      <c r="G1381" s="2">
        <v>48</v>
      </c>
      <c r="H1381" s="2" t="s">
        <v>189</v>
      </c>
      <c r="I1381" s="2" t="s">
        <v>695</v>
      </c>
      <c r="J1381" s="2" t="s">
        <v>2537</v>
      </c>
      <c r="K1381" s="2" t="s">
        <v>1855</v>
      </c>
      <c r="L1381" s="2" t="s">
        <v>4243</v>
      </c>
      <c r="M1381" s="2" t="str">
        <f t="shared" si="24"/>
        <v>12</v>
      </c>
      <c r="N1381" s="2" t="s">
        <v>517</v>
      </c>
      <c r="O1381" s="2" t="s">
        <v>4373</v>
      </c>
      <c r="P1381" s="2" t="s">
        <v>4381</v>
      </c>
    </row>
    <row r="1382" spans="1:16">
      <c r="A1382" s="4">
        <v>46246.365856481483</v>
      </c>
      <c r="B1382" s="2" t="s">
        <v>2860</v>
      </c>
      <c r="C1382" s="2" t="s">
        <v>3896</v>
      </c>
      <c r="D1382" s="2" t="s">
        <v>274</v>
      </c>
      <c r="E1382" s="2">
        <v>48</v>
      </c>
      <c r="F1382" s="2"/>
      <c r="G1382" s="2">
        <v>48</v>
      </c>
      <c r="H1382" s="2" t="s">
        <v>189</v>
      </c>
      <c r="I1382" s="2" t="s">
        <v>695</v>
      </c>
      <c r="J1382" s="2" t="s">
        <v>2537</v>
      </c>
      <c r="K1382" s="2" t="s">
        <v>1855</v>
      </c>
      <c r="L1382" s="2" t="s">
        <v>4243</v>
      </c>
      <c r="M1382" s="2" t="str">
        <f t="shared" si="24"/>
        <v>12</v>
      </c>
      <c r="N1382" s="2" t="s">
        <v>1196</v>
      </c>
      <c r="O1382" s="2" t="s">
        <v>4373</v>
      </c>
      <c r="P1382" s="2" t="s">
        <v>4381</v>
      </c>
    </row>
    <row r="1383" spans="1:16">
      <c r="A1383" s="4">
        <v>46246.364745370367</v>
      </c>
      <c r="B1383" s="2" t="s">
        <v>2335</v>
      </c>
      <c r="C1383" s="2" t="s">
        <v>3896</v>
      </c>
      <c r="D1383" s="2" t="s">
        <v>274</v>
      </c>
      <c r="E1383" s="2">
        <v>48</v>
      </c>
      <c r="F1383" s="2"/>
      <c r="G1383" s="2">
        <v>48</v>
      </c>
      <c r="H1383" s="2" t="s">
        <v>189</v>
      </c>
      <c r="I1383" s="2" t="s">
        <v>695</v>
      </c>
      <c r="J1383" s="2" t="s">
        <v>2537</v>
      </c>
      <c r="K1383" s="2" t="s">
        <v>1855</v>
      </c>
      <c r="L1383" s="2" t="s">
        <v>4243</v>
      </c>
      <c r="M1383" s="2" t="str">
        <f t="shared" si="24"/>
        <v>12</v>
      </c>
      <c r="N1383" s="2" t="s">
        <v>1115</v>
      </c>
      <c r="O1383" s="2" t="s">
        <v>4373</v>
      </c>
      <c r="P1383" s="2" t="s">
        <v>4381</v>
      </c>
    </row>
    <row r="1384" spans="1:16">
      <c r="A1384" s="4">
        <v>46246.364733796298</v>
      </c>
      <c r="B1384" s="2" t="s">
        <v>937</v>
      </c>
      <c r="C1384" s="2" t="s">
        <v>3896</v>
      </c>
      <c r="D1384" s="2" t="s">
        <v>274</v>
      </c>
      <c r="E1384" s="2">
        <v>48</v>
      </c>
      <c r="F1384" s="2"/>
      <c r="G1384" s="2">
        <v>48</v>
      </c>
      <c r="H1384" s="2" t="s">
        <v>189</v>
      </c>
      <c r="I1384" s="2" t="s">
        <v>695</v>
      </c>
      <c r="J1384" s="2" t="s">
        <v>2537</v>
      </c>
      <c r="K1384" s="2" t="s">
        <v>1855</v>
      </c>
      <c r="L1384" s="2" t="s">
        <v>4243</v>
      </c>
      <c r="M1384" s="2" t="str">
        <f t="shared" si="24"/>
        <v>12</v>
      </c>
      <c r="N1384" s="2" t="s">
        <v>22</v>
      </c>
      <c r="O1384" s="2" t="s">
        <v>4373</v>
      </c>
      <c r="P1384" s="2" t="s">
        <v>4381</v>
      </c>
    </row>
    <row r="1385" spans="1:16">
      <c r="A1385" s="4">
        <v>46246.364560185182</v>
      </c>
      <c r="B1385" s="2" t="s">
        <v>2491</v>
      </c>
      <c r="C1385" s="2" t="s">
        <v>3896</v>
      </c>
      <c r="D1385" s="2" t="s">
        <v>274</v>
      </c>
      <c r="E1385" s="2">
        <v>48</v>
      </c>
      <c r="F1385" s="2"/>
      <c r="G1385" s="2">
        <v>48</v>
      </c>
      <c r="H1385" s="2" t="s">
        <v>189</v>
      </c>
      <c r="I1385" s="2" t="s">
        <v>695</v>
      </c>
      <c r="J1385" s="2" t="s">
        <v>2537</v>
      </c>
      <c r="K1385" s="2" t="s">
        <v>1855</v>
      </c>
      <c r="L1385" s="2" t="s">
        <v>4243</v>
      </c>
      <c r="M1385" s="2" t="str">
        <f t="shared" si="24"/>
        <v>12</v>
      </c>
      <c r="N1385" s="2" t="s">
        <v>4169</v>
      </c>
      <c r="O1385" s="2" t="s">
        <v>4373</v>
      </c>
      <c r="P1385" s="2" t="s">
        <v>4381</v>
      </c>
    </row>
    <row r="1386" spans="1:16">
      <c r="A1386" s="4">
        <v>46246.363333333335</v>
      </c>
      <c r="B1386" s="2" t="s">
        <v>1130</v>
      </c>
      <c r="C1386" s="2" t="s">
        <v>3896</v>
      </c>
      <c r="D1386" s="2" t="s">
        <v>274</v>
      </c>
      <c r="E1386" s="2">
        <v>48</v>
      </c>
      <c r="F1386" s="2"/>
      <c r="G1386" s="2">
        <v>48</v>
      </c>
      <c r="H1386" s="2" t="s">
        <v>189</v>
      </c>
      <c r="I1386" s="2" t="s">
        <v>695</v>
      </c>
      <c r="J1386" s="2" t="s">
        <v>2537</v>
      </c>
      <c r="K1386" s="2" t="s">
        <v>1855</v>
      </c>
      <c r="L1386" s="2" t="s">
        <v>4243</v>
      </c>
      <c r="M1386" s="2" t="str">
        <f t="shared" si="24"/>
        <v>12</v>
      </c>
      <c r="N1386" s="2" t="s">
        <v>3948</v>
      </c>
      <c r="O1386" s="2" t="s">
        <v>4373</v>
      </c>
      <c r="P1386" s="2" t="s">
        <v>4381</v>
      </c>
    </row>
    <row r="1387" spans="1:16">
      <c r="A1387" s="4">
        <v>46246.363206018519</v>
      </c>
      <c r="B1387" s="2" t="s">
        <v>68</v>
      </c>
      <c r="C1387" s="2" t="s">
        <v>3896</v>
      </c>
      <c r="D1387" s="2" t="s">
        <v>274</v>
      </c>
      <c r="E1387" s="2">
        <v>48</v>
      </c>
      <c r="F1387" s="2"/>
      <c r="G1387" s="2">
        <v>48</v>
      </c>
      <c r="H1387" s="2" t="s">
        <v>189</v>
      </c>
      <c r="I1387" s="2" t="s">
        <v>695</v>
      </c>
      <c r="J1387" s="2" t="s">
        <v>2537</v>
      </c>
      <c r="K1387" s="2" t="s">
        <v>1855</v>
      </c>
      <c r="L1387" s="2" t="s">
        <v>4243</v>
      </c>
      <c r="M1387" s="2" t="str">
        <f t="shared" si="24"/>
        <v>12</v>
      </c>
      <c r="N1387" s="2" t="s">
        <v>997</v>
      </c>
      <c r="O1387" s="2" t="s">
        <v>4373</v>
      </c>
      <c r="P1387" s="2" t="s">
        <v>4381</v>
      </c>
    </row>
    <row r="1388" spans="1:16">
      <c r="A1388" s="4">
        <v>46246.363182870373</v>
      </c>
      <c r="B1388" s="2" t="s">
        <v>3078</v>
      </c>
      <c r="C1388" s="2" t="s">
        <v>3896</v>
      </c>
      <c r="D1388" s="2" t="s">
        <v>274</v>
      </c>
      <c r="E1388" s="2">
        <v>48</v>
      </c>
      <c r="F1388" s="2"/>
      <c r="G1388" s="2">
        <v>48</v>
      </c>
      <c r="H1388" s="2" t="s">
        <v>189</v>
      </c>
      <c r="I1388" s="2" t="s">
        <v>695</v>
      </c>
      <c r="J1388" s="2" t="s">
        <v>2537</v>
      </c>
      <c r="K1388" s="2" t="s">
        <v>1855</v>
      </c>
      <c r="L1388" s="2" t="s">
        <v>4243</v>
      </c>
      <c r="M1388" s="2" t="str">
        <f t="shared" si="24"/>
        <v>12</v>
      </c>
      <c r="N1388" s="2" t="s">
        <v>747</v>
      </c>
      <c r="O1388" s="2" t="s">
        <v>4373</v>
      </c>
      <c r="P1388" s="2" t="s">
        <v>4381</v>
      </c>
    </row>
    <row r="1389" spans="1:16">
      <c r="A1389" s="4">
        <v>46246.360891203702</v>
      </c>
      <c r="B1389" s="2" t="s">
        <v>2268</v>
      </c>
      <c r="C1389" s="2" t="s">
        <v>3896</v>
      </c>
      <c r="D1389" s="2" t="s">
        <v>274</v>
      </c>
      <c r="E1389" s="2">
        <v>48</v>
      </c>
      <c r="F1389" s="2"/>
      <c r="G1389" s="2">
        <v>48</v>
      </c>
      <c r="H1389" s="2" t="s">
        <v>189</v>
      </c>
      <c r="I1389" s="2" t="s">
        <v>695</v>
      </c>
      <c r="J1389" s="2" t="s">
        <v>2537</v>
      </c>
      <c r="K1389" s="2" t="s">
        <v>1855</v>
      </c>
      <c r="L1389" s="2" t="s">
        <v>4243</v>
      </c>
      <c r="M1389" s="2" t="str">
        <f t="shared" si="24"/>
        <v>12</v>
      </c>
      <c r="N1389" s="2" t="s">
        <v>1299</v>
      </c>
      <c r="O1389" s="2" t="s">
        <v>4373</v>
      </c>
      <c r="P1389" s="2" t="s">
        <v>4381</v>
      </c>
    </row>
    <row r="1390" spans="1:16">
      <c r="A1390" s="4">
        <v>46246.360879629632</v>
      </c>
      <c r="B1390" s="2" t="s">
        <v>2098</v>
      </c>
      <c r="C1390" s="2" t="s">
        <v>3896</v>
      </c>
      <c r="D1390" s="2" t="s">
        <v>274</v>
      </c>
      <c r="E1390" s="2">
        <v>48</v>
      </c>
      <c r="F1390" s="2"/>
      <c r="G1390" s="2">
        <v>48</v>
      </c>
      <c r="H1390" s="2" t="s">
        <v>189</v>
      </c>
      <c r="I1390" s="2" t="s">
        <v>695</v>
      </c>
      <c r="J1390" s="2" t="s">
        <v>2537</v>
      </c>
      <c r="K1390" s="2" t="s">
        <v>1855</v>
      </c>
      <c r="L1390" s="2" t="s">
        <v>4243</v>
      </c>
      <c r="M1390" s="2" t="str">
        <f t="shared" si="24"/>
        <v>12</v>
      </c>
      <c r="N1390" s="2" t="s">
        <v>2942</v>
      </c>
      <c r="O1390" s="2" t="s">
        <v>4373</v>
      </c>
      <c r="P1390" s="2" t="s">
        <v>4381</v>
      </c>
    </row>
    <row r="1391" spans="1:16">
      <c r="A1391" s="4">
        <v>46246.360844907409</v>
      </c>
      <c r="B1391" s="2" t="s">
        <v>3808</v>
      </c>
      <c r="C1391" s="2" t="s">
        <v>3896</v>
      </c>
      <c r="D1391" s="2" t="s">
        <v>274</v>
      </c>
      <c r="E1391" s="2">
        <v>48</v>
      </c>
      <c r="F1391" s="2"/>
      <c r="G1391" s="2">
        <v>48</v>
      </c>
      <c r="H1391" s="2" t="s">
        <v>189</v>
      </c>
      <c r="I1391" s="2" t="s">
        <v>695</v>
      </c>
      <c r="J1391" s="2" t="s">
        <v>2537</v>
      </c>
      <c r="K1391" s="2" t="s">
        <v>1855</v>
      </c>
      <c r="L1391" s="2" t="s">
        <v>4243</v>
      </c>
      <c r="M1391" s="2" t="str">
        <f t="shared" si="24"/>
        <v>12</v>
      </c>
      <c r="N1391" s="2" t="s">
        <v>2304</v>
      </c>
      <c r="O1391" s="2" t="s">
        <v>4373</v>
      </c>
      <c r="P1391" s="2" t="s">
        <v>4381</v>
      </c>
    </row>
    <row r="1392" spans="1:16">
      <c r="A1392" s="4">
        <v>46246.3596875</v>
      </c>
      <c r="B1392" s="2" t="s">
        <v>802</v>
      </c>
      <c r="C1392" s="2" t="s">
        <v>3896</v>
      </c>
      <c r="D1392" s="2" t="s">
        <v>274</v>
      </c>
      <c r="E1392" s="2">
        <v>48</v>
      </c>
      <c r="F1392" s="2"/>
      <c r="G1392" s="2">
        <v>48</v>
      </c>
      <c r="H1392" s="2" t="s">
        <v>189</v>
      </c>
      <c r="I1392" s="2" t="s">
        <v>695</v>
      </c>
      <c r="J1392" s="2" t="s">
        <v>2537</v>
      </c>
      <c r="K1392" s="2" t="s">
        <v>1855</v>
      </c>
      <c r="L1392" s="2" t="s">
        <v>4243</v>
      </c>
      <c r="M1392" s="2" t="str">
        <f t="shared" si="24"/>
        <v>12</v>
      </c>
      <c r="N1392" s="2" t="s">
        <v>889</v>
      </c>
      <c r="O1392" s="2" t="s">
        <v>4373</v>
      </c>
      <c r="P1392" s="2" t="s">
        <v>4381</v>
      </c>
    </row>
    <row r="1393" spans="1:16">
      <c r="A1393" s="4">
        <v>46246.359652777777</v>
      </c>
      <c r="B1393" s="2" t="s">
        <v>1743</v>
      </c>
      <c r="C1393" s="2" t="s">
        <v>3896</v>
      </c>
      <c r="D1393" s="2" t="s">
        <v>274</v>
      </c>
      <c r="E1393" s="2">
        <v>48</v>
      </c>
      <c r="F1393" s="2"/>
      <c r="G1393" s="2">
        <v>48</v>
      </c>
      <c r="H1393" s="2" t="s">
        <v>189</v>
      </c>
      <c r="I1393" s="2" t="s">
        <v>695</v>
      </c>
      <c r="J1393" s="2" t="s">
        <v>2537</v>
      </c>
      <c r="K1393" s="2" t="s">
        <v>1855</v>
      </c>
      <c r="L1393" s="2" t="s">
        <v>4243</v>
      </c>
      <c r="M1393" s="2" t="str">
        <f t="shared" si="24"/>
        <v>12</v>
      </c>
      <c r="N1393" s="2" t="s">
        <v>418</v>
      </c>
      <c r="O1393" s="2" t="s">
        <v>4373</v>
      </c>
      <c r="P1393" s="2" t="s">
        <v>4381</v>
      </c>
    </row>
    <row r="1394" spans="1:16">
      <c r="A1394" s="4">
        <v>46246.359525462962</v>
      </c>
      <c r="B1394" s="2" t="s">
        <v>1400</v>
      </c>
      <c r="C1394" s="2" t="s">
        <v>3896</v>
      </c>
      <c r="D1394" s="2" t="s">
        <v>274</v>
      </c>
      <c r="E1394" s="2">
        <v>48</v>
      </c>
      <c r="F1394" s="2"/>
      <c r="G1394" s="2">
        <v>48</v>
      </c>
      <c r="H1394" s="2" t="s">
        <v>189</v>
      </c>
      <c r="I1394" s="2" t="s">
        <v>695</v>
      </c>
      <c r="J1394" s="2" t="s">
        <v>2537</v>
      </c>
      <c r="K1394" s="2" t="s">
        <v>1855</v>
      </c>
      <c r="L1394" s="2" t="s">
        <v>4243</v>
      </c>
      <c r="M1394" s="2" t="str">
        <f t="shared" si="24"/>
        <v>12</v>
      </c>
      <c r="N1394" s="2" t="s">
        <v>2476</v>
      </c>
      <c r="O1394" s="2" t="s">
        <v>4373</v>
      </c>
      <c r="P1394" s="2" t="s">
        <v>4381</v>
      </c>
    </row>
    <row r="1395" spans="1:16">
      <c r="A1395" s="4">
        <v>46246.357986111114</v>
      </c>
      <c r="B1395" s="2" t="s">
        <v>3273</v>
      </c>
      <c r="C1395" s="2" t="s">
        <v>3896</v>
      </c>
      <c r="D1395" s="2" t="s">
        <v>274</v>
      </c>
      <c r="E1395" s="2">
        <v>48</v>
      </c>
      <c r="F1395" s="2"/>
      <c r="G1395" s="2">
        <v>48</v>
      </c>
      <c r="H1395" s="2" t="s">
        <v>189</v>
      </c>
      <c r="I1395" s="2" t="s">
        <v>695</v>
      </c>
      <c r="J1395" s="2" t="s">
        <v>2537</v>
      </c>
      <c r="K1395" s="2" t="s">
        <v>1855</v>
      </c>
      <c r="L1395" s="2" t="s">
        <v>4243</v>
      </c>
      <c r="M1395" s="2" t="str">
        <f t="shared" si="24"/>
        <v>12</v>
      </c>
      <c r="N1395" s="2" t="s">
        <v>2621</v>
      </c>
      <c r="O1395" s="2" t="s">
        <v>4373</v>
      </c>
      <c r="P1395" s="2" t="s">
        <v>4381</v>
      </c>
    </row>
    <row r="1396" spans="1:16">
      <c r="A1396" s="4">
        <v>46246.357974537037</v>
      </c>
      <c r="B1396" s="2" t="s">
        <v>4087</v>
      </c>
      <c r="C1396" s="2" t="s">
        <v>3896</v>
      </c>
      <c r="D1396" s="2" t="s">
        <v>274</v>
      </c>
      <c r="E1396" s="2">
        <v>48</v>
      </c>
      <c r="F1396" s="2"/>
      <c r="G1396" s="2">
        <v>48</v>
      </c>
      <c r="H1396" s="2" t="s">
        <v>189</v>
      </c>
      <c r="I1396" s="2" t="s">
        <v>695</v>
      </c>
      <c r="J1396" s="2" t="s">
        <v>2537</v>
      </c>
      <c r="K1396" s="2" t="s">
        <v>1855</v>
      </c>
      <c r="L1396" s="2" t="s">
        <v>4243</v>
      </c>
      <c r="M1396" s="2" t="str">
        <f t="shared" si="24"/>
        <v>12</v>
      </c>
      <c r="N1396" s="2" t="s">
        <v>3275</v>
      </c>
      <c r="O1396" s="2" t="s">
        <v>4373</v>
      </c>
      <c r="P1396" s="2" t="s">
        <v>4381</v>
      </c>
    </row>
    <row r="1397" spans="1:16">
      <c r="A1397" s="4">
        <v>46246.357835648145</v>
      </c>
      <c r="B1397" s="2" t="s">
        <v>3837</v>
      </c>
      <c r="C1397" s="2" t="s">
        <v>3896</v>
      </c>
      <c r="D1397" s="2" t="s">
        <v>274</v>
      </c>
      <c r="E1397" s="2">
        <v>48</v>
      </c>
      <c r="F1397" s="2"/>
      <c r="G1397" s="2">
        <v>48</v>
      </c>
      <c r="H1397" s="2" t="s">
        <v>189</v>
      </c>
      <c r="I1397" s="2" t="s">
        <v>695</v>
      </c>
      <c r="J1397" s="2" t="s">
        <v>2537</v>
      </c>
      <c r="K1397" s="2" t="s">
        <v>1855</v>
      </c>
      <c r="L1397" s="2" t="s">
        <v>4243</v>
      </c>
      <c r="M1397" s="2" t="str">
        <f t="shared" si="24"/>
        <v>12</v>
      </c>
      <c r="N1397" s="2" t="s">
        <v>138</v>
      </c>
      <c r="O1397" s="2" t="s">
        <v>4373</v>
      </c>
      <c r="P1397" s="2" t="s">
        <v>4381</v>
      </c>
    </row>
    <row r="1398" spans="1:16">
      <c r="A1398" s="4">
        <v>46246.356585648151</v>
      </c>
      <c r="B1398" s="2" t="s">
        <v>2390</v>
      </c>
      <c r="C1398" s="2" t="s">
        <v>3896</v>
      </c>
      <c r="D1398" s="2" t="s">
        <v>274</v>
      </c>
      <c r="E1398" s="2">
        <v>48</v>
      </c>
      <c r="F1398" s="2"/>
      <c r="G1398" s="2">
        <v>48</v>
      </c>
      <c r="H1398" s="2" t="s">
        <v>189</v>
      </c>
      <c r="I1398" s="2" t="s">
        <v>695</v>
      </c>
      <c r="J1398" s="2" t="s">
        <v>2537</v>
      </c>
      <c r="K1398" s="2" t="s">
        <v>1855</v>
      </c>
      <c r="L1398" s="2" t="s">
        <v>4243</v>
      </c>
      <c r="M1398" s="2" t="str">
        <f t="shared" si="24"/>
        <v>12</v>
      </c>
      <c r="N1398" s="2" t="s">
        <v>1682</v>
      </c>
      <c r="O1398" s="2" t="s">
        <v>4373</v>
      </c>
      <c r="P1398" s="2" t="s">
        <v>4381</v>
      </c>
    </row>
    <row r="1399" spans="1:16">
      <c r="A1399" s="4">
        <v>46246.356400462966</v>
      </c>
      <c r="B1399" s="2" t="s">
        <v>3117</v>
      </c>
      <c r="C1399" s="2" t="s">
        <v>3896</v>
      </c>
      <c r="D1399" s="2" t="s">
        <v>274</v>
      </c>
      <c r="E1399" s="2">
        <v>48</v>
      </c>
      <c r="F1399" s="2"/>
      <c r="G1399" s="2">
        <v>48</v>
      </c>
      <c r="H1399" s="2" t="s">
        <v>189</v>
      </c>
      <c r="I1399" s="2" t="s">
        <v>695</v>
      </c>
      <c r="J1399" s="2" t="s">
        <v>2537</v>
      </c>
      <c r="K1399" s="2" t="s">
        <v>1855</v>
      </c>
      <c r="L1399" s="2" t="s">
        <v>4243</v>
      </c>
      <c r="M1399" s="2" t="str">
        <f t="shared" si="24"/>
        <v>12</v>
      </c>
      <c r="N1399" s="2" t="s">
        <v>3751</v>
      </c>
      <c r="O1399" s="2" t="s">
        <v>4373</v>
      </c>
      <c r="P1399" s="2" t="s">
        <v>4381</v>
      </c>
    </row>
    <row r="1400" spans="1:16">
      <c r="A1400" s="4">
        <v>46246.35633101852</v>
      </c>
      <c r="B1400" s="2" t="s">
        <v>3887</v>
      </c>
      <c r="C1400" s="2" t="s">
        <v>3896</v>
      </c>
      <c r="D1400" s="2" t="s">
        <v>274</v>
      </c>
      <c r="E1400" s="2">
        <v>48</v>
      </c>
      <c r="F1400" s="2"/>
      <c r="G1400" s="2">
        <v>48</v>
      </c>
      <c r="H1400" s="2" t="s">
        <v>189</v>
      </c>
      <c r="I1400" s="2" t="s">
        <v>695</v>
      </c>
      <c r="J1400" s="2" t="s">
        <v>2537</v>
      </c>
      <c r="K1400" s="2" t="s">
        <v>1855</v>
      </c>
      <c r="L1400" s="2" t="s">
        <v>4243</v>
      </c>
      <c r="M1400" s="2" t="str">
        <f t="shared" si="24"/>
        <v>12</v>
      </c>
      <c r="N1400" s="2" t="s">
        <v>4157</v>
      </c>
      <c r="O1400" s="2" t="s">
        <v>4373</v>
      </c>
      <c r="P1400" s="2" t="s">
        <v>4381</v>
      </c>
    </row>
    <row r="1401" spans="1:16">
      <c r="A1401" s="4">
        <v>46246.35496527778</v>
      </c>
      <c r="B1401" s="2" t="s">
        <v>482</v>
      </c>
      <c r="C1401" s="2" t="s">
        <v>3896</v>
      </c>
      <c r="D1401" s="2" t="s">
        <v>274</v>
      </c>
      <c r="E1401" s="2">
        <v>48</v>
      </c>
      <c r="F1401" s="2"/>
      <c r="G1401" s="2">
        <v>48</v>
      </c>
      <c r="H1401" s="2" t="s">
        <v>189</v>
      </c>
      <c r="I1401" s="2" t="s">
        <v>695</v>
      </c>
      <c r="J1401" s="2" t="s">
        <v>2537</v>
      </c>
      <c r="K1401" s="2" t="s">
        <v>1855</v>
      </c>
      <c r="L1401" s="2" t="s">
        <v>4243</v>
      </c>
      <c r="M1401" s="2" t="str">
        <f t="shared" si="24"/>
        <v>12</v>
      </c>
      <c r="N1401" s="2" t="s">
        <v>350</v>
      </c>
      <c r="O1401" s="2" t="s">
        <v>4373</v>
      </c>
      <c r="P1401" s="2" t="s">
        <v>4381</v>
      </c>
    </row>
    <row r="1402" spans="1:16">
      <c r="A1402" s="4">
        <v>46246.354861111111</v>
      </c>
      <c r="B1402" s="2" t="s">
        <v>2382</v>
      </c>
      <c r="C1402" s="2" t="s">
        <v>3896</v>
      </c>
      <c r="D1402" s="2" t="s">
        <v>274</v>
      </c>
      <c r="E1402" s="2">
        <v>48</v>
      </c>
      <c r="F1402" s="2"/>
      <c r="G1402" s="2">
        <v>48</v>
      </c>
      <c r="H1402" s="2" t="s">
        <v>189</v>
      </c>
      <c r="I1402" s="2" t="s">
        <v>695</v>
      </c>
      <c r="J1402" s="2" t="s">
        <v>2537</v>
      </c>
      <c r="K1402" s="2" t="s">
        <v>1855</v>
      </c>
      <c r="L1402" s="2" t="s">
        <v>4243</v>
      </c>
      <c r="M1402" s="2" t="str">
        <f t="shared" si="24"/>
        <v>12</v>
      </c>
      <c r="N1402" s="2" t="s">
        <v>1436</v>
      </c>
      <c r="O1402" s="2" t="s">
        <v>4373</v>
      </c>
      <c r="P1402" s="2" t="s">
        <v>4381</v>
      </c>
    </row>
    <row r="1403" spans="1:16">
      <c r="A1403" s="4">
        <v>46246.354826388888</v>
      </c>
      <c r="B1403" s="2" t="s">
        <v>384</v>
      </c>
      <c r="C1403" s="2" t="s">
        <v>3896</v>
      </c>
      <c r="D1403" s="2" t="s">
        <v>274</v>
      </c>
      <c r="E1403" s="2">
        <v>48</v>
      </c>
      <c r="F1403" s="2"/>
      <c r="G1403" s="2">
        <v>48</v>
      </c>
      <c r="H1403" s="2" t="s">
        <v>189</v>
      </c>
      <c r="I1403" s="2" t="s">
        <v>695</v>
      </c>
      <c r="J1403" s="2" t="s">
        <v>2537</v>
      </c>
      <c r="K1403" s="2" t="s">
        <v>1855</v>
      </c>
      <c r="L1403" s="2" t="s">
        <v>4243</v>
      </c>
      <c r="M1403" s="2" t="str">
        <f t="shared" si="24"/>
        <v>12</v>
      </c>
      <c r="N1403" s="2" t="s">
        <v>223</v>
      </c>
      <c r="O1403" s="2" t="s">
        <v>4373</v>
      </c>
      <c r="P1403" s="2" t="s">
        <v>4381</v>
      </c>
    </row>
    <row r="1404" spans="1:16">
      <c r="A1404" s="4">
        <v>46246.353819444441</v>
      </c>
      <c r="B1404" s="2" t="s">
        <v>2911</v>
      </c>
      <c r="C1404" s="2" t="s">
        <v>3896</v>
      </c>
      <c r="D1404" s="2" t="s">
        <v>274</v>
      </c>
      <c r="E1404" s="2">
        <v>48</v>
      </c>
      <c r="F1404" s="2"/>
      <c r="G1404" s="2">
        <v>48</v>
      </c>
      <c r="H1404" s="2" t="s">
        <v>189</v>
      </c>
      <c r="I1404" s="2" t="s">
        <v>695</v>
      </c>
      <c r="J1404" s="2" t="s">
        <v>2537</v>
      </c>
      <c r="K1404" s="2" t="s">
        <v>1855</v>
      </c>
      <c r="L1404" s="2" t="s">
        <v>4243</v>
      </c>
      <c r="M1404" s="2" t="str">
        <f t="shared" si="24"/>
        <v>12</v>
      </c>
      <c r="N1404" s="2" t="s">
        <v>1622</v>
      </c>
      <c r="O1404" s="2" t="s">
        <v>4373</v>
      </c>
      <c r="P1404" s="2" t="s">
        <v>4381</v>
      </c>
    </row>
    <row r="1405" spans="1:16">
      <c r="A1405" s="4">
        <v>46246.353773148148</v>
      </c>
      <c r="B1405" s="2" t="s">
        <v>887</v>
      </c>
      <c r="C1405" s="2" t="s">
        <v>3896</v>
      </c>
      <c r="D1405" s="2" t="s">
        <v>274</v>
      </c>
      <c r="E1405" s="2">
        <v>48</v>
      </c>
      <c r="F1405" s="2"/>
      <c r="G1405" s="2">
        <v>48</v>
      </c>
      <c r="H1405" s="2" t="s">
        <v>189</v>
      </c>
      <c r="I1405" s="2" t="s">
        <v>695</v>
      </c>
      <c r="J1405" s="2" t="s">
        <v>2537</v>
      </c>
      <c r="K1405" s="2" t="s">
        <v>1855</v>
      </c>
      <c r="L1405" s="2" t="s">
        <v>4243</v>
      </c>
      <c r="M1405" s="2" t="str">
        <f t="shared" si="24"/>
        <v>12</v>
      </c>
      <c r="N1405" s="2" t="s">
        <v>1340</v>
      </c>
      <c r="O1405" s="2" t="s">
        <v>4373</v>
      </c>
      <c r="P1405" s="2" t="s">
        <v>4381</v>
      </c>
    </row>
    <row r="1406" spans="1:16">
      <c r="A1406" s="4">
        <v>46246.353541666664</v>
      </c>
      <c r="B1406" s="2" t="s">
        <v>2035</v>
      </c>
      <c r="C1406" s="2" t="s">
        <v>3896</v>
      </c>
      <c r="D1406" s="2" t="s">
        <v>274</v>
      </c>
      <c r="E1406" s="2">
        <v>48</v>
      </c>
      <c r="F1406" s="2"/>
      <c r="G1406" s="2">
        <v>48</v>
      </c>
      <c r="H1406" s="2" t="s">
        <v>189</v>
      </c>
      <c r="I1406" s="2" t="s">
        <v>695</v>
      </c>
      <c r="J1406" s="2" t="s">
        <v>2537</v>
      </c>
      <c r="K1406" s="2" t="s">
        <v>1855</v>
      </c>
      <c r="L1406" s="2" t="s">
        <v>4243</v>
      </c>
      <c r="M1406" s="2" t="str">
        <f t="shared" si="24"/>
        <v>12</v>
      </c>
      <c r="N1406" s="2" t="s">
        <v>719</v>
      </c>
      <c r="O1406" s="2" t="s">
        <v>4373</v>
      </c>
      <c r="P1406" s="2" t="s">
        <v>4381</v>
      </c>
    </row>
    <row r="1407" spans="1:16">
      <c r="A1407" s="4">
        <v>46246.352210648147</v>
      </c>
      <c r="B1407" s="2" t="s">
        <v>1022</v>
      </c>
      <c r="C1407" s="2" t="s">
        <v>3896</v>
      </c>
      <c r="D1407" s="2" t="s">
        <v>274</v>
      </c>
      <c r="E1407" s="2">
        <v>48</v>
      </c>
      <c r="F1407" s="2"/>
      <c r="G1407" s="2">
        <v>48</v>
      </c>
      <c r="H1407" s="2" t="s">
        <v>189</v>
      </c>
      <c r="I1407" s="2" t="s">
        <v>695</v>
      </c>
      <c r="J1407" s="2" t="s">
        <v>2537</v>
      </c>
      <c r="K1407" s="2" t="s">
        <v>1855</v>
      </c>
      <c r="L1407" s="2" t="s">
        <v>4243</v>
      </c>
      <c r="M1407" s="2" t="str">
        <f t="shared" si="24"/>
        <v>12</v>
      </c>
      <c r="N1407" s="2" t="s">
        <v>3111</v>
      </c>
      <c r="O1407" s="2" t="s">
        <v>4373</v>
      </c>
      <c r="P1407" s="2" t="s">
        <v>4381</v>
      </c>
    </row>
    <row r="1408" spans="1:16">
      <c r="A1408" s="4">
        <v>46246.351898148147</v>
      </c>
      <c r="B1408" s="2" t="s">
        <v>1152</v>
      </c>
      <c r="C1408" s="2" t="s">
        <v>3896</v>
      </c>
      <c r="D1408" s="2" t="s">
        <v>274</v>
      </c>
      <c r="E1408" s="2">
        <v>48</v>
      </c>
      <c r="F1408" s="2"/>
      <c r="G1408" s="2">
        <v>48</v>
      </c>
      <c r="H1408" s="2" t="s">
        <v>189</v>
      </c>
      <c r="I1408" s="2" t="s">
        <v>695</v>
      </c>
      <c r="J1408" s="2" t="s">
        <v>2537</v>
      </c>
      <c r="K1408" s="2" t="s">
        <v>1855</v>
      </c>
      <c r="L1408" s="2" t="s">
        <v>4243</v>
      </c>
      <c r="M1408" s="2" t="str">
        <f t="shared" si="24"/>
        <v>12</v>
      </c>
      <c r="N1408" s="2" t="s">
        <v>2811</v>
      </c>
      <c r="O1408" s="2" t="s">
        <v>4373</v>
      </c>
      <c r="P1408" s="2" t="s">
        <v>4381</v>
      </c>
    </row>
    <row r="1409" spans="1:16">
      <c r="A1409" s="4">
        <v>46246.351851851854</v>
      </c>
      <c r="B1409" s="2" t="s">
        <v>131</v>
      </c>
      <c r="C1409" s="2" t="s">
        <v>3896</v>
      </c>
      <c r="D1409" s="2" t="s">
        <v>274</v>
      </c>
      <c r="E1409" s="2">
        <v>48</v>
      </c>
      <c r="F1409" s="2"/>
      <c r="G1409" s="2">
        <v>48</v>
      </c>
      <c r="H1409" s="2" t="s">
        <v>189</v>
      </c>
      <c r="I1409" s="2" t="s">
        <v>695</v>
      </c>
      <c r="J1409" s="2" t="s">
        <v>2537</v>
      </c>
      <c r="K1409" s="2" t="s">
        <v>1855</v>
      </c>
      <c r="L1409" s="2" t="s">
        <v>4243</v>
      </c>
      <c r="M1409" s="2" t="str">
        <f t="shared" si="24"/>
        <v>12</v>
      </c>
      <c r="N1409" s="2" t="s">
        <v>1649</v>
      </c>
      <c r="O1409" s="2" t="s">
        <v>4373</v>
      </c>
      <c r="P1409" s="2" t="s">
        <v>4381</v>
      </c>
    </row>
    <row r="1410" spans="1:16">
      <c r="A1410" s="4">
        <v>46246.351805555554</v>
      </c>
      <c r="B1410" s="2" t="s">
        <v>2342</v>
      </c>
      <c r="C1410" s="2" t="s">
        <v>3896</v>
      </c>
      <c r="D1410" s="2" t="s">
        <v>274</v>
      </c>
      <c r="E1410" s="2">
        <v>48</v>
      </c>
      <c r="F1410" s="2"/>
      <c r="G1410" s="2">
        <v>48</v>
      </c>
      <c r="H1410" s="2" t="s">
        <v>189</v>
      </c>
      <c r="I1410" s="2" t="s">
        <v>695</v>
      </c>
      <c r="J1410" s="2" t="s">
        <v>2537</v>
      </c>
      <c r="K1410" s="2" t="s">
        <v>1855</v>
      </c>
      <c r="L1410" s="2" t="s">
        <v>4243</v>
      </c>
      <c r="M1410" s="2" t="str">
        <f t="shared" ref="M1410:M1473" si="25">RIGHT(L1410,2)</f>
        <v>12</v>
      </c>
      <c r="N1410" s="2" t="s">
        <v>3340</v>
      </c>
      <c r="O1410" s="2" t="s">
        <v>4373</v>
      </c>
      <c r="P1410" s="2" t="s">
        <v>4381</v>
      </c>
    </row>
    <row r="1411" spans="1:16">
      <c r="A1411" s="4">
        <v>46246.350381944445</v>
      </c>
      <c r="B1411" s="2" t="s">
        <v>728</v>
      </c>
      <c r="C1411" s="2" t="s">
        <v>3896</v>
      </c>
      <c r="D1411" s="2" t="s">
        <v>274</v>
      </c>
      <c r="E1411" s="2">
        <v>48</v>
      </c>
      <c r="F1411" s="2"/>
      <c r="G1411" s="2">
        <v>48</v>
      </c>
      <c r="H1411" s="2" t="s">
        <v>189</v>
      </c>
      <c r="I1411" s="2" t="s">
        <v>695</v>
      </c>
      <c r="J1411" s="2" t="s">
        <v>2537</v>
      </c>
      <c r="K1411" s="2" t="s">
        <v>1855</v>
      </c>
      <c r="L1411" s="2" t="s">
        <v>4243</v>
      </c>
      <c r="M1411" s="2" t="str">
        <f t="shared" si="25"/>
        <v>12</v>
      </c>
      <c r="N1411" s="2" t="s">
        <v>3636</v>
      </c>
      <c r="O1411" s="2" t="s">
        <v>4373</v>
      </c>
      <c r="P1411" s="2" t="s">
        <v>4381</v>
      </c>
    </row>
    <row r="1412" spans="1:16">
      <c r="A1412" s="4">
        <v>46246.35015046296</v>
      </c>
      <c r="B1412" s="2" t="s">
        <v>3455</v>
      </c>
      <c r="C1412" s="2" t="s">
        <v>3896</v>
      </c>
      <c r="D1412" s="2" t="s">
        <v>274</v>
      </c>
      <c r="E1412" s="2">
        <v>48</v>
      </c>
      <c r="F1412" s="2"/>
      <c r="G1412" s="2">
        <v>48</v>
      </c>
      <c r="H1412" s="2" t="s">
        <v>189</v>
      </c>
      <c r="I1412" s="2" t="s">
        <v>695</v>
      </c>
      <c r="J1412" s="2" t="s">
        <v>2537</v>
      </c>
      <c r="K1412" s="2" t="s">
        <v>1855</v>
      </c>
      <c r="L1412" s="2" t="s">
        <v>4243</v>
      </c>
      <c r="M1412" s="2" t="str">
        <f t="shared" si="25"/>
        <v>12</v>
      </c>
      <c r="N1412" s="2" t="s">
        <v>2042</v>
      </c>
      <c r="O1412" s="2" t="s">
        <v>4373</v>
      </c>
      <c r="P1412" s="2" t="s">
        <v>4381</v>
      </c>
    </row>
    <row r="1413" spans="1:16">
      <c r="A1413" s="4">
        <v>46246.348807870374</v>
      </c>
      <c r="B1413" s="2" t="s">
        <v>597</v>
      </c>
      <c r="C1413" s="2" t="s">
        <v>3896</v>
      </c>
      <c r="D1413" s="2" t="s">
        <v>274</v>
      </c>
      <c r="E1413" s="2">
        <v>48</v>
      </c>
      <c r="F1413" s="2"/>
      <c r="G1413" s="2">
        <v>48</v>
      </c>
      <c r="H1413" s="2" t="s">
        <v>189</v>
      </c>
      <c r="I1413" s="2" t="s">
        <v>695</v>
      </c>
      <c r="J1413" s="2" t="s">
        <v>2537</v>
      </c>
      <c r="K1413" s="2" t="s">
        <v>1855</v>
      </c>
      <c r="L1413" s="2" t="s">
        <v>4243</v>
      </c>
      <c r="M1413" s="2" t="str">
        <f t="shared" si="25"/>
        <v>12</v>
      </c>
      <c r="N1413" s="2" t="s">
        <v>2607</v>
      </c>
      <c r="O1413" s="2" t="s">
        <v>4373</v>
      </c>
      <c r="P1413" s="2" t="s">
        <v>4381</v>
      </c>
    </row>
    <row r="1414" spans="1:16">
      <c r="A1414" s="4">
        <v>46246.348738425928</v>
      </c>
      <c r="B1414" s="2" t="s">
        <v>1965</v>
      </c>
      <c r="C1414" s="2" t="s">
        <v>3896</v>
      </c>
      <c r="D1414" s="2" t="s">
        <v>274</v>
      </c>
      <c r="E1414" s="2">
        <v>48</v>
      </c>
      <c r="F1414" s="2"/>
      <c r="G1414" s="2">
        <v>48</v>
      </c>
      <c r="H1414" s="2" t="s">
        <v>189</v>
      </c>
      <c r="I1414" s="2" t="s">
        <v>695</v>
      </c>
      <c r="J1414" s="2" t="s">
        <v>2537</v>
      </c>
      <c r="K1414" s="2" t="s">
        <v>1855</v>
      </c>
      <c r="L1414" s="2" t="s">
        <v>4243</v>
      </c>
      <c r="M1414" s="2" t="str">
        <f t="shared" si="25"/>
        <v>12</v>
      </c>
      <c r="N1414" s="2" t="s">
        <v>1049</v>
      </c>
      <c r="O1414" s="2" t="s">
        <v>4373</v>
      </c>
      <c r="P1414" s="2" t="s">
        <v>4381</v>
      </c>
    </row>
    <row r="1415" spans="1:16">
      <c r="A1415" s="4">
        <v>46246.348645833335</v>
      </c>
      <c r="B1415" s="2" t="s">
        <v>2738</v>
      </c>
      <c r="C1415" s="2" t="s">
        <v>3896</v>
      </c>
      <c r="D1415" s="2" t="s">
        <v>274</v>
      </c>
      <c r="E1415" s="2">
        <v>48</v>
      </c>
      <c r="F1415" s="2"/>
      <c r="G1415" s="2">
        <v>48</v>
      </c>
      <c r="H1415" s="2" t="s">
        <v>189</v>
      </c>
      <c r="I1415" s="2" t="s">
        <v>695</v>
      </c>
      <c r="J1415" s="2" t="s">
        <v>2537</v>
      </c>
      <c r="K1415" s="2" t="s">
        <v>1855</v>
      </c>
      <c r="L1415" s="2" t="s">
        <v>4243</v>
      </c>
      <c r="M1415" s="2" t="str">
        <f t="shared" si="25"/>
        <v>12</v>
      </c>
      <c r="N1415" s="2" t="s">
        <v>3927</v>
      </c>
      <c r="O1415" s="2" t="s">
        <v>4373</v>
      </c>
      <c r="P1415" s="2" t="s">
        <v>4381</v>
      </c>
    </row>
    <row r="1416" spans="1:16">
      <c r="A1416" s="4">
        <v>46246.331736111111</v>
      </c>
      <c r="B1416" s="2" t="s">
        <v>1550</v>
      </c>
      <c r="C1416" s="2" t="s">
        <v>3896</v>
      </c>
      <c r="D1416" s="2" t="s">
        <v>274</v>
      </c>
      <c r="E1416" s="2">
        <v>48</v>
      </c>
      <c r="F1416" s="2"/>
      <c r="G1416" s="2">
        <v>48</v>
      </c>
      <c r="H1416" s="2" t="s">
        <v>189</v>
      </c>
      <c r="I1416" s="2" t="s">
        <v>695</v>
      </c>
      <c r="J1416" s="2" t="s">
        <v>2537</v>
      </c>
      <c r="K1416" s="2" t="s">
        <v>1855</v>
      </c>
      <c r="L1416" s="2" t="s">
        <v>4243</v>
      </c>
      <c r="M1416" s="2" t="str">
        <f t="shared" si="25"/>
        <v>12</v>
      </c>
      <c r="N1416" s="2" t="s">
        <v>1906</v>
      </c>
      <c r="O1416" s="2" t="s">
        <v>4373</v>
      </c>
      <c r="P1416" s="2" t="s">
        <v>4381</v>
      </c>
    </row>
    <row r="1417" spans="1:16">
      <c r="A1417" s="4">
        <v>46246.331689814811</v>
      </c>
      <c r="B1417" s="2" t="s">
        <v>616</v>
      </c>
      <c r="C1417" s="2" t="s">
        <v>3896</v>
      </c>
      <c r="D1417" s="2" t="s">
        <v>274</v>
      </c>
      <c r="E1417" s="2">
        <v>48</v>
      </c>
      <c r="F1417" s="2"/>
      <c r="G1417" s="2">
        <v>48</v>
      </c>
      <c r="H1417" s="2" t="s">
        <v>189</v>
      </c>
      <c r="I1417" s="2" t="s">
        <v>695</v>
      </c>
      <c r="J1417" s="2" t="s">
        <v>2537</v>
      </c>
      <c r="K1417" s="2" t="s">
        <v>1855</v>
      </c>
      <c r="L1417" s="2" t="s">
        <v>4243</v>
      </c>
      <c r="M1417" s="2" t="str">
        <f t="shared" si="25"/>
        <v>12</v>
      </c>
      <c r="N1417" s="2" t="s">
        <v>2752</v>
      </c>
      <c r="O1417" s="2" t="s">
        <v>4373</v>
      </c>
      <c r="P1417" s="2" t="s">
        <v>4381</v>
      </c>
    </row>
    <row r="1418" spans="1:16">
      <c r="A1418" s="4">
        <v>46246.331446759257</v>
      </c>
      <c r="B1418" s="2" t="s">
        <v>1418</v>
      </c>
      <c r="C1418" s="2" t="s">
        <v>3896</v>
      </c>
      <c r="D1418" s="2" t="s">
        <v>274</v>
      </c>
      <c r="E1418" s="2">
        <v>48</v>
      </c>
      <c r="F1418" s="2"/>
      <c r="G1418" s="2">
        <v>48</v>
      </c>
      <c r="H1418" s="2" t="s">
        <v>189</v>
      </c>
      <c r="I1418" s="2" t="s">
        <v>695</v>
      </c>
      <c r="J1418" s="2" t="s">
        <v>2537</v>
      </c>
      <c r="K1418" s="2" t="s">
        <v>1855</v>
      </c>
      <c r="L1418" s="2" t="s">
        <v>4243</v>
      </c>
      <c r="M1418" s="2" t="str">
        <f t="shared" si="25"/>
        <v>12</v>
      </c>
      <c r="N1418" s="2" t="s">
        <v>3940</v>
      </c>
      <c r="O1418" s="2" t="s">
        <v>4373</v>
      </c>
      <c r="P1418" s="2" t="s">
        <v>4381</v>
      </c>
    </row>
    <row r="1419" spans="1:16">
      <c r="A1419" s="4">
        <v>46246.329780092594</v>
      </c>
      <c r="B1419" s="2" t="s">
        <v>3188</v>
      </c>
      <c r="C1419" s="2" t="s">
        <v>3896</v>
      </c>
      <c r="D1419" s="2" t="s">
        <v>274</v>
      </c>
      <c r="E1419" s="2">
        <v>48</v>
      </c>
      <c r="F1419" s="2"/>
      <c r="G1419" s="2">
        <v>48</v>
      </c>
      <c r="H1419" s="2" t="s">
        <v>189</v>
      </c>
      <c r="I1419" s="2" t="s">
        <v>695</v>
      </c>
      <c r="J1419" s="2" t="s">
        <v>2537</v>
      </c>
      <c r="K1419" s="2" t="s">
        <v>1855</v>
      </c>
      <c r="L1419" s="2" t="s">
        <v>4243</v>
      </c>
      <c r="M1419" s="2" t="str">
        <f t="shared" si="25"/>
        <v>12</v>
      </c>
      <c r="N1419" s="2" t="s">
        <v>96</v>
      </c>
      <c r="O1419" s="2" t="s">
        <v>4373</v>
      </c>
      <c r="P1419" s="2" t="s">
        <v>4381</v>
      </c>
    </row>
    <row r="1420" spans="1:16">
      <c r="A1420" s="4">
        <v>46246.329548611109</v>
      </c>
      <c r="B1420" s="2" t="s">
        <v>3060</v>
      </c>
      <c r="C1420" s="2" t="s">
        <v>3896</v>
      </c>
      <c r="D1420" s="2" t="s">
        <v>274</v>
      </c>
      <c r="E1420" s="2">
        <v>48</v>
      </c>
      <c r="F1420" s="2"/>
      <c r="G1420" s="2">
        <v>48</v>
      </c>
      <c r="H1420" s="2" t="s">
        <v>189</v>
      </c>
      <c r="I1420" s="2" t="s">
        <v>695</v>
      </c>
      <c r="J1420" s="2" t="s">
        <v>2537</v>
      </c>
      <c r="K1420" s="2" t="s">
        <v>1855</v>
      </c>
      <c r="L1420" s="2" t="s">
        <v>4243</v>
      </c>
      <c r="M1420" s="2" t="str">
        <f t="shared" si="25"/>
        <v>12</v>
      </c>
      <c r="N1420" s="2" t="s">
        <v>843</v>
      </c>
      <c r="O1420" s="2" t="s">
        <v>4373</v>
      </c>
      <c r="P1420" s="2" t="s">
        <v>4381</v>
      </c>
    </row>
    <row r="1421" spans="1:16">
      <c r="A1421" s="4">
        <v>46246.32953703704</v>
      </c>
      <c r="B1421" s="2" t="s">
        <v>438</v>
      </c>
      <c r="C1421" s="2" t="s">
        <v>3896</v>
      </c>
      <c r="D1421" s="2" t="s">
        <v>274</v>
      </c>
      <c r="E1421" s="2">
        <v>48</v>
      </c>
      <c r="F1421" s="2"/>
      <c r="G1421" s="2">
        <v>48</v>
      </c>
      <c r="H1421" s="2" t="s">
        <v>189</v>
      </c>
      <c r="I1421" s="2" t="s">
        <v>695</v>
      </c>
      <c r="J1421" s="2" t="s">
        <v>2537</v>
      </c>
      <c r="K1421" s="2" t="s">
        <v>1855</v>
      </c>
      <c r="L1421" s="2" t="s">
        <v>4243</v>
      </c>
      <c r="M1421" s="2" t="str">
        <f t="shared" si="25"/>
        <v>12</v>
      </c>
      <c r="N1421" s="2" t="s">
        <v>4181</v>
      </c>
      <c r="O1421" s="2" t="s">
        <v>4373</v>
      </c>
      <c r="P1421" s="2" t="s">
        <v>4381</v>
      </c>
    </row>
    <row r="1422" spans="1:16">
      <c r="A1422" s="4">
        <v>46246.327881944446</v>
      </c>
      <c r="B1422" s="2" t="s">
        <v>696</v>
      </c>
      <c r="C1422" s="2" t="s">
        <v>3896</v>
      </c>
      <c r="D1422" s="2" t="s">
        <v>274</v>
      </c>
      <c r="E1422" s="2">
        <v>48</v>
      </c>
      <c r="F1422" s="2"/>
      <c r="G1422" s="2">
        <v>48</v>
      </c>
      <c r="H1422" s="2" t="s">
        <v>189</v>
      </c>
      <c r="I1422" s="2" t="s">
        <v>695</v>
      </c>
      <c r="J1422" s="2" t="s">
        <v>2537</v>
      </c>
      <c r="K1422" s="2" t="s">
        <v>1855</v>
      </c>
      <c r="L1422" s="2" t="s">
        <v>4243</v>
      </c>
      <c r="M1422" s="2" t="str">
        <f t="shared" si="25"/>
        <v>12</v>
      </c>
      <c r="N1422" s="2" t="s">
        <v>1802</v>
      </c>
      <c r="O1422" s="2" t="s">
        <v>4373</v>
      </c>
      <c r="P1422" s="2" t="s">
        <v>4381</v>
      </c>
    </row>
    <row r="1423" spans="1:16">
      <c r="A1423" s="4">
        <v>46246.3278587963</v>
      </c>
      <c r="B1423" s="2" t="s">
        <v>2749</v>
      </c>
      <c r="C1423" s="2" t="s">
        <v>3896</v>
      </c>
      <c r="D1423" s="2" t="s">
        <v>274</v>
      </c>
      <c r="E1423" s="2">
        <v>48</v>
      </c>
      <c r="F1423" s="2"/>
      <c r="G1423" s="2">
        <v>48</v>
      </c>
      <c r="H1423" s="2" t="s">
        <v>189</v>
      </c>
      <c r="I1423" s="2" t="s">
        <v>695</v>
      </c>
      <c r="J1423" s="2" t="s">
        <v>2537</v>
      </c>
      <c r="K1423" s="2" t="s">
        <v>1855</v>
      </c>
      <c r="L1423" s="2" t="s">
        <v>4243</v>
      </c>
      <c r="M1423" s="2" t="str">
        <f t="shared" si="25"/>
        <v>12</v>
      </c>
      <c r="N1423" s="2" t="s">
        <v>3056</v>
      </c>
      <c r="O1423" s="2" t="s">
        <v>4373</v>
      </c>
      <c r="P1423" s="2" t="s">
        <v>4381</v>
      </c>
    </row>
    <row r="1424" spans="1:16">
      <c r="A1424" s="4">
        <v>46246.327581018515</v>
      </c>
      <c r="B1424" s="2" t="s">
        <v>1155</v>
      </c>
      <c r="C1424" s="2" t="s">
        <v>3896</v>
      </c>
      <c r="D1424" s="2" t="s">
        <v>274</v>
      </c>
      <c r="E1424" s="2">
        <v>48</v>
      </c>
      <c r="F1424" s="2"/>
      <c r="G1424" s="2">
        <v>48</v>
      </c>
      <c r="H1424" s="2" t="s">
        <v>189</v>
      </c>
      <c r="I1424" s="2" t="s">
        <v>695</v>
      </c>
      <c r="J1424" s="2" t="s">
        <v>2537</v>
      </c>
      <c r="K1424" s="2" t="s">
        <v>1855</v>
      </c>
      <c r="L1424" s="2" t="s">
        <v>4243</v>
      </c>
      <c r="M1424" s="2" t="str">
        <f t="shared" si="25"/>
        <v>12</v>
      </c>
      <c r="N1424" s="2" t="s">
        <v>2111</v>
      </c>
      <c r="O1424" s="2" t="s">
        <v>4373</v>
      </c>
      <c r="P1424" s="2" t="s">
        <v>4381</v>
      </c>
    </row>
    <row r="1425" spans="1:16">
      <c r="A1425" s="4">
        <v>46246.32607638889</v>
      </c>
      <c r="B1425" s="2" t="s">
        <v>2227</v>
      </c>
      <c r="C1425" s="2" t="s">
        <v>3896</v>
      </c>
      <c r="D1425" s="2" t="s">
        <v>274</v>
      </c>
      <c r="E1425" s="2">
        <v>48</v>
      </c>
      <c r="F1425" s="2"/>
      <c r="G1425" s="2">
        <v>48</v>
      </c>
      <c r="H1425" s="2" t="s">
        <v>189</v>
      </c>
      <c r="I1425" s="2" t="s">
        <v>695</v>
      </c>
      <c r="J1425" s="2" t="s">
        <v>2537</v>
      </c>
      <c r="K1425" s="2" t="s">
        <v>1855</v>
      </c>
      <c r="L1425" s="2" t="s">
        <v>4243</v>
      </c>
      <c r="M1425" s="2" t="str">
        <f t="shared" si="25"/>
        <v>12</v>
      </c>
      <c r="N1425" s="2" t="s">
        <v>923</v>
      </c>
      <c r="O1425" s="2" t="s">
        <v>4373</v>
      </c>
      <c r="P1425" s="2" t="s">
        <v>4381</v>
      </c>
    </row>
    <row r="1426" spans="1:16">
      <c r="A1426" s="4">
        <v>46246.326018518521</v>
      </c>
      <c r="B1426" s="2" t="s">
        <v>4071</v>
      </c>
      <c r="C1426" s="2" t="s">
        <v>3896</v>
      </c>
      <c r="D1426" s="2" t="s">
        <v>274</v>
      </c>
      <c r="E1426" s="2">
        <v>48</v>
      </c>
      <c r="F1426" s="2"/>
      <c r="G1426" s="2">
        <v>48</v>
      </c>
      <c r="H1426" s="2" t="s">
        <v>189</v>
      </c>
      <c r="I1426" s="2" t="s">
        <v>695</v>
      </c>
      <c r="J1426" s="2" t="s">
        <v>2537</v>
      </c>
      <c r="K1426" s="2" t="s">
        <v>1855</v>
      </c>
      <c r="L1426" s="2" t="s">
        <v>4243</v>
      </c>
      <c r="M1426" s="2" t="str">
        <f t="shared" si="25"/>
        <v>12</v>
      </c>
      <c r="N1426" s="2" t="s">
        <v>3607</v>
      </c>
      <c r="O1426" s="2" t="s">
        <v>4373</v>
      </c>
      <c r="P1426" s="2" t="s">
        <v>4381</v>
      </c>
    </row>
    <row r="1427" spans="1:16">
      <c r="A1427" s="4">
        <v>46246.325821759259</v>
      </c>
      <c r="B1427" s="2" t="s">
        <v>788</v>
      </c>
      <c r="C1427" s="2" t="s">
        <v>3896</v>
      </c>
      <c r="D1427" s="2" t="s">
        <v>274</v>
      </c>
      <c r="E1427" s="2">
        <v>48</v>
      </c>
      <c r="F1427" s="2"/>
      <c r="G1427" s="2">
        <v>48</v>
      </c>
      <c r="H1427" s="2" t="s">
        <v>189</v>
      </c>
      <c r="I1427" s="2" t="s">
        <v>695</v>
      </c>
      <c r="J1427" s="2" t="s">
        <v>2537</v>
      </c>
      <c r="K1427" s="2" t="s">
        <v>1855</v>
      </c>
      <c r="L1427" s="2" t="s">
        <v>4243</v>
      </c>
      <c r="M1427" s="2" t="str">
        <f t="shared" si="25"/>
        <v>12</v>
      </c>
      <c r="N1427" s="2" t="s">
        <v>3882</v>
      </c>
      <c r="O1427" s="2" t="s">
        <v>4373</v>
      </c>
      <c r="P1427" s="2" t="s">
        <v>4381</v>
      </c>
    </row>
    <row r="1428" spans="1:16">
      <c r="A1428" s="4">
        <v>46246.325046296297</v>
      </c>
      <c r="B1428" s="2" t="s">
        <v>3243</v>
      </c>
      <c r="C1428" s="2" t="s">
        <v>3896</v>
      </c>
      <c r="D1428" s="2" t="s">
        <v>274</v>
      </c>
      <c r="E1428" s="2">
        <v>48</v>
      </c>
      <c r="F1428" s="2"/>
      <c r="G1428" s="2">
        <v>48</v>
      </c>
      <c r="H1428" s="2" t="s">
        <v>189</v>
      </c>
      <c r="I1428" s="2" t="s">
        <v>695</v>
      </c>
      <c r="J1428" s="2" t="s">
        <v>2537</v>
      </c>
      <c r="K1428" s="2" t="s">
        <v>1855</v>
      </c>
      <c r="L1428" s="2" t="s">
        <v>4243</v>
      </c>
      <c r="M1428" s="2" t="str">
        <f t="shared" si="25"/>
        <v>12</v>
      </c>
      <c r="N1428" s="2" t="s">
        <v>1561</v>
      </c>
      <c r="O1428" s="2" t="s">
        <v>4373</v>
      </c>
      <c r="P1428" s="2" t="s">
        <v>4381</v>
      </c>
    </row>
    <row r="1429" spans="1:16">
      <c r="A1429" s="4">
        <v>46246.324537037035</v>
      </c>
      <c r="B1429" s="2" t="s">
        <v>1204</v>
      </c>
      <c r="C1429" s="2" t="s">
        <v>3896</v>
      </c>
      <c r="D1429" s="2" t="s">
        <v>274</v>
      </c>
      <c r="E1429" s="2">
        <v>48</v>
      </c>
      <c r="F1429" s="2"/>
      <c r="G1429" s="2">
        <v>48</v>
      </c>
      <c r="H1429" s="2" t="s">
        <v>189</v>
      </c>
      <c r="I1429" s="2" t="s">
        <v>695</v>
      </c>
      <c r="J1429" s="2" t="s">
        <v>2537</v>
      </c>
      <c r="K1429" s="2" t="s">
        <v>1855</v>
      </c>
      <c r="L1429" s="2" t="s">
        <v>4243</v>
      </c>
      <c r="M1429" s="2" t="str">
        <f t="shared" si="25"/>
        <v>12</v>
      </c>
      <c r="N1429" s="2" t="s">
        <v>2948</v>
      </c>
      <c r="O1429" s="2" t="s">
        <v>4373</v>
      </c>
      <c r="P1429" s="2" t="s">
        <v>4381</v>
      </c>
    </row>
    <row r="1430" spans="1:16">
      <c r="A1430" s="4">
        <v>46246.324479166666</v>
      </c>
      <c r="B1430" s="2" t="s">
        <v>3939</v>
      </c>
      <c r="C1430" s="2" t="s">
        <v>3896</v>
      </c>
      <c r="D1430" s="2" t="s">
        <v>274</v>
      </c>
      <c r="E1430" s="2">
        <v>48</v>
      </c>
      <c r="F1430" s="2"/>
      <c r="G1430" s="2">
        <v>48</v>
      </c>
      <c r="H1430" s="2" t="s">
        <v>189</v>
      </c>
      <c r="I1430" s="2" t="s">
        <v>695</v>
      </c>
      <c r="J1430" s="2" t="s">
        <v>2537</v>
      </c>
      <c r="K1430" s="2" t="s">
        <v>1855</v>
      </c>
      <c r="L1430" s="2" t="s">
        <v>4243</v>
      </c>
      <c r="M1430" s="2" t="str">
        <f t="shared" si="25"/>
        <v>12</v>
      </c>
      <c r="N1430" s="2" t="s">
        <v>623</v>
      </c>
      <c r="O1430" s="2" t="s">
        <v>4373</v>
      </c>
      <c r="P1430" s="2" t="s">
        <v>4381</v>
      </c>
    </row>
    <row r="1431" spans="1:16">
      <c r="A1431" s="4">
        <v>46246.323310185187</v>
      </c>
      <c r="B1431" s="2" t="s">
        <v>1713</v>
      </c>
      <c r="C1431" s="2" t="s">
        <v>3896</v>
      </c>
      <c r="D1431" s="2" t="s">
        <v>274</v>
      </c>
      <c r="E1431" s="2">
        <v>48</v>
      </c>
      <c r="F1431" s="2"/>
      <c r="G1431" s="2">
        <v>48</v>
      </c>
      <c r="H1431" s="2" t="s">
        <v>189</v>
      </c>
      <c r="I1431" s="2" t="s">
        <v>695</v>
      </c>
      <c r="J1431" s="2" t="s">
        <v>2537</v>
      </c>
      <c r="K1431" s="2" t="s">
        <v>1855</v>
      </c>
      <c r="L1431" s="2" t="s">
        <v>4243</v>
      </c>
      <c r="M1431" s="2" t="str">
        <f t="shared" si="25"/>
        <v>12</v>
      </c>
      <c r="N1431" s="2" t="s">
        <v>903</v>
      </c>
      <c r="O1431" s="2" t="s">
        <v>4373</v>
      </c>
      <c r="P1431" s="2" t="s">
        <v>4381</v>
      </c>
    </row>
    <row r="1432" spans="1:16">
      <c r="A1432" s="4">
        <v>46246.323159722226</v>
      </c>
      <c r="B1432" s="2" t="s">
        <v>1453</v>
      </c>
      <c r="C1432" s="2" t="s">
        <v>3896</v>
      </c>
      <c r="D1432" s="2" t="s">
        <v>274</v>
      </c>
      <c r="E1432" s="2">
        <v>48</v>
      </c>
      <c r="F1432" s="2"/>
      <c r="G1432" s="2">
        <v>48</v>
      </c>
      <c r="H1432" s="2" t="s">
        <v>189</v>
      </c>
      <c r="I1432" s="2" t="s">
        <v>695</v>
      </c>
      <c r="J1432" s="2" t="s">
        <v>2537</v>
      </c>
      <c r="K1432" s="2" t="s">
        <v>1855</v>
      </c>
      <c r="L1432" s="2" t="s">
        <v>4243</v>
      </c>
      <c r="M1432" s="2" t="str">
        <f t="shared" si="25"/>
        <v>12</v>
      </c>
      <c r="N1432" s="2" t="s">
        <v>3651</v>
      </c>
      <c r="O1432" s="2" t="s">
        <v>4373</v>
      </c>
      <c r="P1432" s="2" t="s">
        <v>4381</v>
      </c>
    </row>
    <row r="1433" spans="1:16">
      <c r="A1433" s="4">
        <v>46246.321875000001</v>
      </c>
      <c r="B1433" s="2" t="s">
        <v>2721</v>
      </c>
      <c r="C1433" s="2" t="s">
        <v>3896</v>
      </c>
      <c r="D1433" s="2" t="s">
        <v>274</v>
      </c>
      <c r="E1433" s="2">
        <v>48</v>
      </c>
      <c r="F1433" s="2"/>
      <c r="G1433" s="2">
        <v>48</v>
      </c>
      <c r="H1433" s="2" t="s">
        <v>189</v>
      </c>
      <c r="I1433" s="2" t="s">
        <v>695</v>
      </c>
      <c r="J1433" s="2" t="s">
        <v>2537</v>
      </c>
      <c r="K1433" s="2" t="s">
        <v>1855</v>
      </c>
      <c r="L1433" s="2" t="s">
        <v>4243</v>
      </c>
      <c r="M1433" s="2" t="str">
        <f t="shared" si="25"/>
        <v>12</v>
      </c>
      <c r="N1433" s="2" t="s">
        <v>2630</v>
      </c>
      <c r="O1433" s="2" t="s">
        <v>4373</v>
      </c>
      <c r="P1433" s="2" t="s">
        <v>4381</v>
      </c>
    </row>
    <row r="1434" spans="1:16">
      <c r="A1434" s="4">
        <v>46246.321840277778</v>
      </c>
      <c r="B1434" s="2" t="s">
        <v>1870</v>
      </c>
      <c r="C1434" s="2" t="s">
        <v>3896</v>
      </c>
      <c r="D1434" s="2" t="s">
        <v>274</v>
      </c>
      <c r="E1434" s="2">
        <v>48</v>
      </c>
      <c r="F1434" s="2"/>
      <c r="G1434" s="2">
        <v>48</v>
      </c>
      <c r="H1434" s="2" t="s">
        <v>189</v>
      </c>
      <c r="I1434" s="2" t="s">
        <v>695</v>
      </c>
      <c r="J1434" s="2" t="s">
        <v>2537</v>
      </c>
      <c r="K1434" s="2" t="s">
        <v>1855</v>
      </c>
      <c r="L1434" s="2" t="s">
        <v>4243</v>
      </c>
      <c r="M1434" s="2" t="str">
        <f t="shared" si="25"/>
        <v>12</v>
      </c>
      <c r="N1434" s="2" t="s">
        <v>3164</v>
      </c>
      <c r="O1434" s="2" t="s">
        <v>4373</v>
      </c>
      <c r="P1434" s="2" t="s">
        <v>4381</v>
      </c>
    </row>
    <row r="1435" spans="1:16">
      <c r="A1435" s="4">
        <v>46244.392002314817</v>
      </c>
      <c r="B1435" s="2" t="s">
        <v>50</v>
      </c>
      <c r="C1435" s="2" t="s">
        <v>3896</v>
      </c>
      <c r="D1435" s="2" t="s">
        <v>274</v>
      </c>
      <c r="E1435" s="2">
        <v>48</v>
      </c>
      <c r="F1435" s="2"/>
      <c r="G1435" s="2">
        <v>48</v>
      </c>
      <c r="H1435" s="2" t="s">
        <v>1804</v>
      </c>
      <c r="I1435" s="2" t="s">
        <v>695</v>
      </c>
      <c r="J1435" s="2" t="s">
        <v>2537</v>
      </c>
      <c r="K1435" s="2" t="s">
        <v>1855</v>
      </c>
      <c r="L1435" s="2" t="s">
        <v>3386</v>
      </c>
      <c r="M1435" s="2" t="str">
        <f t="shared" si="25"/>
        <v>13</v>
      </c>
      <c r="N1435" s="2" t="s">
        <v>1137</v>
      </c>
      <c r="O1435" s="2" t="s">
        <v>4373</v>
      </c>
      <c r="P1435" s="2" t="s">
        <v>4375</v>
      </c>
    </row>
    <row r="1436" spans="1:16">
      <c r="A1436" s="4">
        <v>46244.391689814816</v>
      </c>
      <c r="B1436" s="2" t="s">
        <v>1899</v>
      </c>
      <c r="C1436" s="2" t="s">
        <v>3896</v>
      </c>
      <c r="D1436" s="2" t="s">
        <v>274</v>
      </c>
      <c r="E1436" s="2">
        <v>48</v>
      </c>
      <c r="F1436" s="2"/>
      <c r="G1436" s="2">
        <v>48</v>
      </c>
      <c r="H1436" s="2" t="s">
        <v>1804</v>
      </c>
      <c r="I1436" s="2" t="s">
        <v>695</v>
      </c>
      <c r="J1436" s="2" t="s">
        <v>2537</v>
      </c>
      <c r="K1436" s="2" t="s">
        <v>1855</v>
      </c>
      <c r="L1436" s="2" t="s">
        <v>3386</v>
      </c>
      <c r="M1436" s="2" t="str">
        <f t="shared" si="25"/>
        <v>13</v>
      </c>
      <c r="N1436" s="2" t="s">
        <v>4209</v>
      </c>
      <c r="O1436" s="2" t="s">
        <v>4373</v>
      </c>
      <c r="P1436" s="2" t="s">
        <v>4375</v>
      </c>
    </row>
    <row r="1437" spans="1:16">
      <c r="A1437" s="4">
        <v>46244.389247685183</v>
      </c>
      <c r="B1437" s="2" t="s">
        <v>1475</v>
      </c>
      <c r="C1437" s="2" t="s">
        <v>3896</v>
      </c>
      <c r="D1437" s="2" t="s">
        <v>274</v>
      </c>
      <c r="E1437" s="2">
        <v>48</v>
      </c>
      <c r="F1437" s="2"/>
      <c r="G1437" s="2">
        <v>48</v>
      </c>
      <c r="H1437" s="2" t="s">
        <v>1804</v>
      </c>
      <c r="I1437" s="2" t="s">
        <v>695</v>
      </c>
      <c r="J1437" s="2" t="s">
        <v>2537</v>
      </c>
      <c r="K1437" s="2" t="s">
        <v>1855</v>
      </c>
      <c r="L1437" s="2" t="s">
        <v>3386</v>
      </c>
      <c r="M1437" s="2" t="str">
        <f t="shared" si="25"/>
        <v>13</v>
      </c>
      <c r="N1437" s="2" t="s">
        <v>2929</v>
      </c>
      <c r="O1437" s="2" t="s">
        <v>4373</v>
      </c>
      <c r="P1437" s="2" t="s">
        <v>4375</v>
      </c>
    </row>
    <row r="1438" spans="1:16">
      <c r="A1438" s="4">
        <v>46244.388981481483</v>
      </c>
      <c r="B1438" s="2" t="s">
        <v>859</v>
      </c>
      <c r="C1438" s="2" t="s">
        <v>3896</v>
      </c>
      <c r="D1438" s="2" t="s">
        <v>274</v>
      </c>
      <c r="E1438" s="2">
        <v>48</v>
      </c>
      <c r="F1438" s="2"/>
      <c r="G1438" s="2">
        <v>48</v>
      </c>
      <c r="H1438" s="2" t="s">
        <v>1804</v>
      </c>
      <c r="I1438" s="2" t="s">
        <v>695</v>
      </c>
      <c r="J1438" s="2" t="s">
        <v>2537</v>
      </c>
      <c r="K1438" s="2" t="s">
        <v>1855</v>
      </c>
      <c r="L1438" s="2" t="s">
        <v>3386</v>
      </c>
      <c r="M1438" s="2" t="str">
        <f t="shared" si="25"/>
        <v>13</v>
      </c>
      <c r="N1438" s="2" t="s">
        <v>3845</v>
      </c>
      <c r="O1438" s="2" t="s">
        <v>4373</v>
      </c>
      <c r="P1438" s="2" t="s">
        <v>4375</v>
      </c>
    </row>
    <row r="1439" spans="1:16">
      <c r="A1439" s="4">
        <v>46244.388078703705</v>
      </c>
      <c r="B1439" s="2" t="s">
        <v>2595</v>
      </c>
      <c r="C1439" s="2" t="s">
        <v>3896</v>
      </c>
      <c r="D1439" s="2" t="s">
        <v>274</v>
      </c>
      <c r="E1439" s="2">
        <v>48</v>
      </c>
      <c r="F1439" s="2"/>
      <c r="G1439" s="2">
        <v>48</v>
      </c>
      <c r="H1439" s="2" t="s">
        <v>1804</v>
      </c>
      <c r="I1439" s="2" t="s">
        <v>695</v>
      </c>
      <c r="J1439" s="2" t="s">
        <v>2537</v>
      </c>
      <c r="K1439" s="2" t="s">
        <v>1855</v>
      </c>
      <c r="L1439" s="2" t="s">
        <v>3386</v>
      </c>
      <c r="M1439" s="2" t="str">
        <f t="shared" si="25"/>
        <v>13</v>
      </c>
      <c r="N1439" s="2" t="s">
        <v>1783</v>
      </c>
      <c r="O1439" s="2" t="s">
        <v>4373</v>
      </c>
      <c r="P1439" s="2" t="s">
        <v>4375</v>
      </c>
    </row>
    <row r="1440" spans="1:16">
      <c r="A1440" s="4">
        <v>46244.387916666667</v>
      </c>
      <c r="B1440" s="2" t="s">
        <v>1281</v>
      </c>
      <c r="C1440" s="2" t="s">
        <v>3896</v>
      </c>
      <c r="D1440" s="2" t="s">
        <v>274</v>
      </c>
      <c r="E1440" s="2">
        <v>48</v>
      </c>
      <c r="F1440" s="2"/>
      <c r="G1440" s="2">
        <v>48</v>
      </c>
      <c r="H1440" s="2" t="s">
        <v>1804</v>
      </c>
      <c r="I1440" s="2" t="s">
        <v>695</v>
      </c>
      <c r="J1440" s="2" t="s">
        <v>2537</v>
      </c>
      <c r="K1440" s="2" t="s">
        <v>1855</v>
      </c>
      <c r="L1440" s="2" t="s">
        <v>3386</v>
      </c>
      <c r="M1440" s="2" t="str">
        <f t="shared" si="25"/>
        <v>13</v>
      </c>
      <c r="N1440" s="2" t="s">
        <v>2931</v>
      </c>
      <c r="O1440" s="2" t="s">
        <v>4373</v>
      </c>
      <c r="P1440" s="2" t="s">
        <v>4375</v>
      </c>
    </row>
    <row r="1441" spans="1:16">
      <c r="A1441" s="4">
        <v>46244.387337962966</v>
      </c>
      <c r="B1441" s="2" t="s">
        <v>885</v>
      </c>
      <c r="C1441" s="2" t="s">
        <v>3896</v>
      </c>
      <c r="D1441" s="2" t="s">
        <v>274</v>
      </c>
      <c r="E1441" s="2">
        <v>48</v>
      </c>
      <c r="F1441" s="2"/>
      <c r="G1441" s="2">
        <v>48</v>
      </c>
      <c r="H1441" s="2" t="s">
        <v>1804</v>
      </c>
      <c r="I1441" s="2" t="s">
        <v>695</v>
      </c>
      <c r="J1441" s="2" t="s">
        <v>2537</v>
      </c>
      <c r="K1441" s="2" t="s">
        <v>1855</v>
      </c>
      <c r="L1441" s="2" t="s">
        <v>3386</v>
      </c>
      <c r="M1441" s="2" t="str">
        <f t="shared" si="25"/>
        <v>13</v>
      </c>
      <c r="N1441" s="2" t="s">
        <v>3784</v>
      </c>
      <c r="O1441" s="2" t="s">
        <v>4373</v>
      </c>
      <c r="P1441" s="2" t="s">
        <v>4375</v>
      </c>
    </row>
    <row r="1442" spans="1:16">
      <c r="A1442" s="4">
        <v>46244.387106481481</v>
      </c>
      <c r="B1442" s="2" t="s">
        <v>3159</v>
      </c>
      <c r="C1442" s="2" t="s">
        <v>3896</v>
      </c>
      <c r="D1442" s="2" t="s">
        <v>274</v>
      </c>
      <c r="E1442" s="2">
        <v>48</v>
      </c>
      <c r="F1442" s="2"/>
      <c r="G1442" s="2">
        <v>48</v>
      </c>
      <c r="H1442" s="2" t="s">
        <v>1804</v>
      </c>
      <c r="I1442" s="2" t="s">
        <v>695</v>
      </c>
      <c r="J1442" s="2" t="s">
        <v>2537</v>
      </c>
      <c r="K1442" s="2" t="s">
        <v>1855</v>
      </c>
      <c r="L1442" s="2" t="s">
        <v>3386</v>
      </c>
      <c r="M1442" s="2" t="str">
        <f t="shared" si="25"/>
        <v>13</v>
      </c>
      <c r="N1442" s="2" t="s">
        <v>4239</v>
      </c>
      <c r="O1442" s="2" t="s">
        <v>4373</v>
      </c>
      <c r="P1442" s="2" t="s">
        <v>4375</v>
      </c>
    </row>
    <row r="1443" spans="1:16">
      <c r="A1443" s="4">
        <v>46244.385335648149</v>
      </c>
      <c r="B1443" s="2" t="s">
        <v>4255</v>
      </c>
      <c r="C1443" s="2" t="s">
        <v>3896</v>
      </c>
      <c r="D1443" s="2" t="s">
        <v>274</v>
      </c>
      <c r="E1443" s="2">
        <v>48</v>
      </c>
      <c r="F1443" s="2"/>
      <c r="G1443" s="2">
        <v>48</v>
      </c>
      <c r="H1443" s="2" t="s">
        <v>1804</v>
      </c>
      <c r="I1443" s="2" t="s">
        <v>695</v>
      </c>
      <c r="J1443" s="2" t="s">
        <v>2537</v>
      </c>
      <c r="K1443" s="2" t="s">
        <v>1855</v>
      </c>
      <c r="L1443" s="2" t="s">
        <v>3386</v>
      </c>
      <c r="M1443" s="2" t="str">
        <f t="shared" si="25"/>
        <v>13</v>
      </c>
      <c r="N1443" s="2" t="s">
        <v>604</v>
      </c>
      <c r="O1443" s="2" t="s">
        <v>4373</v>
      </c>
      <c r="P1443" s="2" t="s">
        <v>4375</v>
      </c>
    </row>
    <row r="1444" spans="1:16">
      <c r="A1444" s="4">
        <v>46244.38517361111</v>
      </c>
      <c r="B1444" s="2" t="s">
        <v>3750</v>
      </c>
      <c r="C1444" s="2" t="s">
        <v>3896</v>
      </c>
      <c r="D1444" s="2" t="s">
        <v>274</v>
      </c>
      <c r="E1444" s="2">
        <v>48</v>
      </c>
      <c r="F1444" s="2"/>
      <c r="G1444" s="2">
        <v>48</v>
      </c>
      <c r="H1444" s="2" t="s">
        <v>1804</v>
      </c>
      <c r="I1444" s="2" t="s">
        <v>695</v>
      </c>
      <c r="J1444" s="2" t="s">
        <v>2537</v>
      </c>
      <c r="K1444" s="2" t="s">
        <v>1855</v>
      </c>
      <c r="L1444" s="2" t="s">
        <v>3386</v>
      </c>
      <c r="M1444" s="2" t="str">
        <f t="shared" si="25"/>
        <v>13</v>
      </c>
      <c r="N1444" s="2" t="s">
        <v>4068</v>
      </c>
      <c r="O1444" s="2" t="s">
        <v>4373</v>
      </c>
      <c r="P1444" s="2" t="s">
        <v>4375</v>
      </c>
    </row>
    <row r="1445" spans="1:16">
      <c r="A1445" s="4">
        <v>46244.383622685185</v>
      </c>
      <c r="B1445" s="2" t="s">
        <v>817</v>
      </c>
      <c r="C1445" s="2" t="s">
        <v>3896</v>
      </c>
      <c r="D1445" s="2" t="s">
        <v>274</v>
      </c>
      <c r="E1445" s="2">
        <v>48</v>
      </c>
      <c r="F1445" s="2"/>
      <c r="G1445" s="2">
        <v>48</v>
      </c>
      <c r="H1445" s="2" t="s">
        <v>1804</v>
      </c>
      <c r="I1445" s="2" t="s">
        <v>695</v>
      </c>
      <c r="J1445" s="2" t="s">
        <v>2537</v>
      </c>
      <c r="K1445" s="2" t="s">
        <v>1855</v>
      </c>
      <c r="L1445" s="2" t="s">
        <v>3386</v>
      </c>
      <c r="M1445" s="2" t="str">
        <f t="shared" si="25"/>
        <v>13</v>
      </c>
      <c r="N1445" s="2" t="s">
        <v>519</v>
      </c>
      <c r="O1445" s="2" t="s">
        <v>4373</v>
      </c>
      <c r="P1445" s="2" t="s">
        <v>4375</v>
      </c>
    </row>
    <row r="1446" spans="1:16">
      <c r="A1446" s="4">
        <v>46244.383576388886</v>
      </c>
      <c r="B1446" s="2" t="s">
        <v>987</v>
      </c>
      <c r="C1446" s="2" t="s">
        <v>3896</v>
      </c>
      <c r="D1446" s="2" t="s">
        <v>274</v>
      </c>
      <c r="E1446" s="2">
        <v>48</v>
      </c>
      <c r="F1446" s="2"/>
      <c r="G1446" s="2">
        <v>48</v>
      </c>
      <c r="H1446" s="2" t="s">
        <v>1804</v>
      </c>
      <c r="I1446" s="2" t="s">
        <v>695</v>
      </c>
      <c r="J1446" s="2" t="s">
        <v>2537</v>
      </c>
      <c r="K1446" s="2" t="s">
        <v>1855</v>
      </c>
      <c r="L1446" s="2" t="s">
        <v>3386</v>
      </c>
      <c r="M1446" s="2" t="str">
        <f t="shared" si="25"/>
        <v>13</v>
      </c>
      <c r="N1446" s="2" t="s">
        <v>78</v>
      </c>
      <c r="O1446" s="2" t="s">
        <v>4373</v>
      </c>
      <c r="P1446" s="2" t="s">
        <v>4375</v>
      </c>
    </row>
    <row r="1447" spans="1:16">
      <c r="A1447" s="4">
        <v>46244.380601851852</v>
      </c>
      <c r="B1447" s="2" t="s">
        <v>3358</v>
      </c>
      <c r="C1447" s="2" t="s">
        <v>3896</v>
      </c>
      <c r="D1447" s="2" t="s">
        <v>274</v>
      </c>
      <c r="E1447" s="2">
        <v>48</v>
      </c>
      <c r="F1447" s="2"/>
      <c r="G1447" s="2">
        <v>48</v>
      </c>
      <c r="H1447" s="2" t="s">
        <v>1804</v>
      </c>
      <c r="I1447" s="2" t="s">
        <v>695</v>
      </c>
      <c r="J1447" s="2" t="s">
        <v>2537</v>
      </c>
      <c r="K1447" s="2" t="s">
        <v>1855</v>
      </c>
      <c r="L1447" s="2" t="s">
        <v>3386</v>
      </c>
      <c r="M1447" s="2" t="str">
        <f t="shared" si="25"/>
        <v>13</v>
      </c>
      <c r="N1447" s="2" t="s">
        <v>1477</v>
      </c>
      <c r="O1447" s="2" t="s">
        <v>4373</v>
      </c>
      <c r="P1447" s="2" t="s">
        <v>4375</v>
      </c>
    </row>
    <row r="1448" spans="1:16">
      <c r="A1448" s="4">
        <v>46244.380335648151</v>
      </c>
      <c r="B1448" s="2" t="s">
        <v>1902</v>
      </c>
      <c r="C1448" s="2" t="s">
        <v>3896</v>
      </c>
      <c r="D1448" s="2" t="s">
        <v>274</v>
      </c>
      <c r="E1448" s="2">
        <v>48</v>
      </c>
      <c r="F1448" s="2"/>
      <c r="G1448" s="2">
        <v>48</v>
      </c>
      <c r="H1448" s="2" t="s">
        <v>1804</v>
      </c>
      <c r="I1448" s="2" t="s">
        <v>695</v>
      </c>
      <c r="J1448" s="2" t="s">
        <v>2537</v>
      </c>
      <c r="K1448" s="2" t="s">
        <v>1855</v>
      </c>
      <c r="L1448" s="2" t="s">
        <v>3386</v>
      </c>
      <c r="M1448" s="2" t="str">
        <f t="shared" si="25"/>
        <v>13</v>
      </c>
      <c r="N1448" s="2" t="s">
        <v>2603</v>
      </c>
      <c r="O1448" s="2" t="s">
        <v>4373</v>
      </c>
      <c r="P1448" s="2" t="s">
        <v>4375</v>
      </c>
    </row>
    <row r="1449" spans="1:16">
      <c r="A1449" s="4">
        <v>46244.379583333335</v>
      </c>
      <c r="B1449" s="2" t="s">
        <v>2184</v>
      </c>
      <c r="C1449" s="2" t="s">
        <v>3896</v>
      </c>
      <c r="D1449" s="2" t="s">
        <v>274</v>
      </c>
      <c r="E1449" s="2">
        <v>48</v>
      </c>
      <c r="F1449" s="2"/>
      <c r="G1449" s="2">
        <v>48</v>
      </c>
      <c r="H1449" s="2" t="s">
        <v>1804</v>
      </c>
      <c r="I1449" s="2" t="s">
        <v>695</v>
      </c>
      <c r="J1449" s="2" t="s">
        <v>2537</v>
      </c>
      <c r="K1449" s="2" t="s">
        <v>1855</v>
      </c>
      <c r="L1449" s="2" t="s">
        <v>3386</v>
      </c>
      <c r="M1449" s="2" t="str">
        <f t="shared" si="25"/>
        <v>13</v>
      </c>
      <c r="N1449" s="2" t="s">
        <v>3026</v>
      </c>
      <c r="O1449" s="2" t="s">
        <v>4373</v>
      </c>
      <c r="P1449" s="2" t="s">
        <v>4375</v>
      </c>
    </row>
    <row r="1450" spans="1:16">
      <c r="A1450" s="4">
        <v>46244.379351851851</v>
      </c>
      <c r="B1450" s="2" t="s">
        <v>428</v>
      </c>
      <c r="C1450" s="2" t="s">
        <v>3896</v>
      </c>
      <c r="D1450" s="2" t="s">
        <v>274</v>
      </c>
      <c r="E1450" s="2">
        <v>48</v>
      </c>
      <c r="F1450" s="2"/>
      <c r="G1450" s="2">
        <v>48</v>
      </c>
      <c r="H1450" s="2" t="s">
        <v>1804</v>
      </c>
      <c r="I1450" s="2" t="s">
        <v>695</v>
      </c>
      <c r="J1450" s="2" t="s">
        <v>2537</v>
      </c>
      <c r="K1450" s="2" t="s">
        <v>1855</v>
      </c>
      <c r="L1450" s="2" t="s">
        <v>3386</v>
      </c>
      <c r="M1450" s="2" t="str">
        <f t="shared" si="25"/>
        <v>13</v>
      </c>
      <c r="N1450" s="2" t="s">
        <v>3606</v>
      </c>
      <c r="O1450" s="2" t="s">
        <v>4373</v>
      </c>
      <c r="P1450" s="2" t="s">
        <v>4375</v>
      </c>
    </row>
    <row r="1451" spans="1:16">
      <c r="A1451" s="4">
        <v>46244.378425925926</v>
      </c>
      <c r="B1451" s="2" t="s">
        <v>2695</v>
      </c>
      <c r="C1451" s="2" t="s">
        <v>3896</v>
      </c>
      <c r="D1451" s="2" t="s">
        <v>274</v>
      </c>
      <c r="E1451" s="2">
        <v>48</v>
      </c>
      <c r="F1451" s="2"/>
      <c r="G1451" s="2">
        <v>48</v>
      </c>
      <c r="H1451" s="2" t="s">
        <v>1804</v>
      </c>
      <c r="I1451" s="2" t="s">
        <v>695</v>
      </c>
      <c r="J1451" s="2" t="s">
        <v>2537</v>
      </c>
      <c r="K1451" s="2" t="s">
        <v>1855</v>
      </c>
      <c r="L1451" s="2" t="s">
        <v>3386</v>
      </c>
      <c r="M1451" s="2" t="str">
        <f t="shared" si="25"/>
        <v>13</v>
      </c>
      <c r="N1451" s="2" t="s">
        <v>2763</v>
      </c>
      <c r="O1451" s="2" t="s">
        <v>4373</v>
      </c>
      <c r="P1451" s="2" t="s">
        <v>4375</v>
      </c>
    </row>
    <row r="1452" spans="1:16">
      <c r="A1452" s="4">
        <v>46244.37809027778</v>
      </c>
      <c r="B1452" s="2" t="s">
        <v>489</v>
      </c>
      <c r="C1452" s="2" t="s">
        <v>3896</v>
      </c>
      <c r="D1452" s="2" t="s">
        <v>274</v>
      </c>
      <c r="E1452" s="2">
        <v>48</v>
      </c>
      <c r="F1452" s="2"/>
      <c r="G1452" s="2">
        <v>48</v>
      </c>
      <c r="H1452" s="2" t="s">
        <v>1804</v>
      </c>
      <c r="I1452" s="2" t="s">
        <v>695</v>
      </c>
      <c r="J1452" s="2" t="s">
        <v>2537</v>
      </c>
      <c r="K1452" s="2" t="s">
        <v>1855</v>
      </c>
      <c r="L1452" s="2" t="s">
        <v>3386</v>
      </c>
      <c r="M1452" s="2" t="str">
        <f t="shared" si="25"/>
        <v>13</v>
      </c>
      <c r="N1452" s="2" t="s">
        <v>37</v>
      </c>
      <c r="O1452" s="2" t="s">
        <v>4373</v>
      </c>
      <c r="P1452" s="2" t="s">
        <v>4375</v>
      </c>
    </row>
    <row r="1453" spans="1:16">
      <c r="A1453" s="4">
        <v>46244.377569444441</v>
      </c>
      <c r="B1453" s="2" t="s">
        <v>1935</v>
      </c>
      <c r="C1453" s="2" t="s">
        <v>3896</v>
      </c>
      <c r="D1453" s="2" t="s">
        <v>274</v>
      </c>
      <c r="E1453" s="2">
        <v>48</v>
      </c>
      <c r="F1453" s="2"/>
      <c r="G1453" s="2">
        <v>48</v>
      </c>
      <c r="H1453" s="2" t="s">
        <v>1804</v>
      </c>
      <c r="I1453" s="2" t="s">
        <v>695</v>
      </c>
      <c r="J1453" s="2" t="s">
        <v>2537</v>
      </c>
      <c r="K1453" s="2" t="s">
        <v>1855</v>
      </c>
      <c r="L1453" s="2" t="s">
        <v>3386</v>
      </c>
      <c r="M1453" s="2" t="str">
        <f t="shared" si="25"/>
        <v>13</v>
      </c>
      <c r="N1453" s="2" t="s">
        <v>3670</v>
      </c>
      <c r="O1453" s="2" t="s">
        <v>4373</v>
      </c>
      <c r="P1453" s="2" t="s">
        <v>4375</v>
      </c>
    </row>
    <row r="1454" spans="1:16">
      <c r="A1454" s="4">
        <v>46244.376898148148</v>
      </c>
      <c r="B1454" s="2" t="s">
        <v>4363</v>
      </c>
      <c r="C1454" s="2" t="s">
        <v>3896</v>
      </c>
      <c r="D1454" s="2" t="s">
        <v>274</v>
      </c>
      <c r="E1454" s="2">
        <v>48</v>
      </c>
      <c r="F1454" s="2"/>
      <c r="G1454" s="2">
        <v>48</v>
      </c>
      <c r="H1454" s="2" t="s">
        <v>1804</v>
      </c>
      <c r="I1454" s="2" t="s">
        <v>695</v>
      </c>
      <c r="J1454" s="2" t="s">
        <v>2537</v>
      </c>
      <c r="K1454" s="2" t="s">
        <v>1855</v>
      </c>
      <c r="L1454" s="2" t="s">
        <v>3386</v>
      </c>
      <c r="M1454" s="2" t="str">
        <f t="shared" si="25"/>
        <v>13</v>
      </c>
      <c r="N1454" s="2" t="s">
        <v>2346</v>
      </c>
      <c r="O1454" s="2" t="s">
        <v>4373</v>
      </c>
      <c r="P1454" s="2" t="s">
        <v>4375</v>
      </c>
    </row>
    <row r="1455" spans="1:16">
      <c r="A1455" s="4">
        <v>46244.376875000002</v>
      </c>
      <c r="B1455" s="2" t="s">
        <v>239</v>
      </c>
      <c r="C1455" s="2" t="s">
        <v>3896</v>
      </c>
      <c r="D1455" s="2" t="s">
        <v>274</v>
      </c>
      <c r="E1455" s="2">
        <v>48</v>
      </c>
      <c r="F1455" s="2"/>
      <c r="G1455" s="2">
        <v>48</v>
      </c>
      <c r="H1455" s="2" t="s">
        <v>1804</v>
      </c>
      <c r="I1455" s="2" t="s">
        <v>695</v>
      </c>
      <c r="J1455" s="2" t="s">
        <v>2537</v>
      </c>
      <c r="K1455" s="2" t="s">
        <v>1855</v>
      </c>
      <c r="L1455" s="2" t="s">
        <v>3386</v>
      </c>
      <c r="M1455" s="2" t="str">
        <f t="shared" si="25"/>
        <v>13</v>
      </c>
      <c r="N1455" s="2" t="s">
        <v>4173</v>
      </c>
      <c r="O1455" s="2" t="s">
        <v>4373</v>
      </c>
      <c r="P1455" s="2" t="s">
        <v>4375</v>
      </c>
    </row>
    <row r="1456" spans="1:16">
      <c r="A1456" s="4">
        <v>46244.376076388886</v>
      </c>
      <c r="B1456" s="2" t="s">
        <v>4332</v>
      </c>
      <c r="C1456" s="2" t="s">
        <v>3896</v>
      </c>
      <c r="D1456" s="2" t="s">
        <v>274</v>
      </c>
      <c r="E1456" s="2">
        <v>48</v>
      </c>
      <c r="F1456" s="2"/>
      <c r="G1456" s="2">
        <v>48</v>
      </c>
      <c r="H1456" s="2" t="s">
        <v>1804</v>
      </c>
      <c r="I1456" s="2" t="s">
        <v>695</v>
      </c>
      <c r="J1456" s="2" t="s">
        <v>2537</v>
      </c>
      <c r="K1456" s="2" t="s">
        <v>1855</v>
      </c>
      <c r="L1456" s="2" t="s">
        <v>3386</v>
      </c>
      <c r="M1456" s="2" t="str">
        <f t="shared" si="25"/>
        <v>13</v>
      </c>
      <c r="N1456" s="2" t="s">
        <v>352</v>
      </c>
      <c r="O1456" s="2" t="s">
        <v>4373</v>
      </c>
      <c r="P1456" s="2" t="s">
        <v>4375</v>
      </c>
    </row>
    <row r="1457" spans="1:16">
      <c r="A1457" s="4">
        <v>46244.375949074078</v>
      </c>
      <c r="B1457" s="2" t="s">
        <v>459</v>
      </c>
      <c r="C1457" s="2" t="s">
        <v>3896</v>
      </c>
      <c r="D1457" s="2" t="s">
        <v>274</v>
      </c>
      <c r="E1457" s="2">
        <v>48</v>
      </c>
      <c r="F1457" s="2"/>
      <c r="G1457" s="2">
        <v>48</v>
      </c>
      <c r="H1457" s="2" t="s">
        <v>1804</v>
      </c>
      <c r="I1457" s="2" t="s">
        <v>695</v>
      </c>
      <c r="J1457" s="2" t="s">
        <v>2537</v>
      </c>
      <c r="K1457" s="2" t="s">
        <v>1855</v>
      </c>
      <c r="L1457" s="2" t="s">
        <v>3386</v>
      </c>
      <c r="M1457" s="2" t="str">
        <f t="shared" si="25"/>
        <v>13</v>
      </c>
      <c r="N1457" s="2" t="s">
        <v>3334</v>
      </c>
      <c r="O1457" s="2" t="s">
        <v>4373</v>
      </c>
      <c r="P1457" s="2" t="s">
        <v>4375</v>
      </c>
    </row>
    <row r="1458" spans="1:16">
      <c r="A1458" s="4">
        <v>46244.374305555553</v>
      </c>
      <c r="B1458" s="2" t="s">
        <v>3985</v>
      </c>
      <c r="C1458" s="2" t="s">
        <v>3896</v>
      </c>
      <c r="D1458" s="2" t="s">
        <v>274</v>
      </c>
      <c r="E1458" s="2">
        <v>48</v>
      </c>
      <c r="F1458" s="2"/>
      <c r="G1458" s="2">
        <v>48</v>
      </c>
      <c r="H1458" s="2" t="s">
        <v>1804</v>
      </c>
      <c r="I1458" s="2" t="s">
        <v>695</v>
      </c>
      <c r="J1458" s="2" t="s">
        <v>2537</v>
      </c>
      <c r="K1458" s="2" t="s">
        <v>1855</v>
      </c>
      <c r="L1458" s="2" t="s">
        <v>3386</v>
      </c>
      <c r="M1458" s="2" t="str">
        <f t="shared" si="25"/>
        <v>13</v>
      </c>
      <c r="N1458" s="2" t="s">
        <v>4188</v>
      </c>
      <c r="O1458" s="2" t="s">
        <v>4373</v>
      </c>
      <c r="P1458" s="2" t="s">
        <v>4375</v>
      </c>
    </row>
    <row r="1459" spans="1:16">
      <c r="A1459" s="4">
        <v>46244.374282407407</v>
      </c>
      <c r="B1459" s="2" t="s">
        <v>2684</v>
      </c>
      <c r="C1459" s="2" t="s">
        <v>3896</v>
      </c>
      <c r="D1459" s="2" t="s">
        <v>274</v>
      </c>
      <c r="E1459" s="2">
        <v>48</v>
      </c>
      <c r="F1459" s="2"/>
      <c r="G1459" s="2">
        <v>48</v>
      </c>
      <c r="H1459" s="2" t="s">
        <v>1804</v>
      </c>
      <c r="I1459" s="2" t="s">
        <v>695</v>
      </c>
      <c r="J1459" s="2" t="s">
        <v>2537</v>
      </c>
      <c r="K1459" s="2" t="s">
        <v>1855</v>
      </c>
      <c r="L1459" s="2" t="s">
        <v>3386</v>
      </c>
      <c r="M1459" s="2" t="str">
        <f t="shared" si="25"/>
        <v>13</v>
      </c>
      <c r="N1459" s="2" t="s">
        <v>3119</v>
      </c>
      <c r="O1459" s="2" t="s">
        <v>4373</v>
      </c>
      <c r="P1459" s="2" t="s">
        <v>4375</v>
      </c>
    </row>
    <row r="1460" spans="1:16">
      <c r="A1460" s="4">
        <v>46244.373495370368</v>
      </c>
      <c r="B1460" s="2" t="s">
        <v>1149</v>
      </c>
      <c r="C1460" s="2" t="s">
        <v>3896</v>
      </c>
      <c r="D1460" s="2" t="s">
        <v>274</v>
      </c>
      <c r="E1460" s="2">
        <v>48</v>
      </c>
      <c r="F1460" s="2"/>
      <c r="G1460" s="2">
        <v>48</v>
      </c>
      <c r="H1460" s="2" t="s">
        <v>1804</v>
      </c>
      <c r="I1460" s="2" t="s">
        <v>695</v>
      </c>
      <c r="J1460" s="2" t="s">
        <v>2537</v>
      </c>
      <c r="K1460" s="2" t="s">
        <v>1855</v>
      </c>
      <c r="L1460" s="2" t="s">
        <v>3386</v>
      </c>
      <c r="M1460" s="2" t="str">
        <f t="shared" si="25"/>
        <v>13</v>
      </c>
      <c r="N1460" s="2" t="s">
        <v>2567</v>
      </c>
      <c r="O1460" s="2" t="s">
        <v>4373</v>
      </c>
      <c r="P1460" s="2" t="s">
        <v>4375</v>
      </c>
    </row>
    <row r="1461" spans="1:16">
      <c r="A1461" s="4">
        <v>46244.371331018519</v>
      </c>
      <c r="B1461" s="2" t="s">
        <v>4171</v>
      </c>
      <c r="C1461" s="2" t="s">
        <v>3896</v>
      </c>
      <c r="D1461" s="2" t="s">
        <v>274</v>
      </c>
      <c r="E1461" s="2">
        <v>48</v>
      </c>
      <c r="F1461" s="2"/>
      <c r="G1461" s="2">
        <v>48</v>
      </c>
      <c r="H1461" s="2" t="s">
        <v>1804</v>
      </c>
      <c r="I1461" s="2" t="s">
        <v>695</v>
      </c>
      <c r="J1461" s="2" t="s">
        <v>2537</v>
      </c>
      <c r="K1461" s="2" t="s">
        <v>1855</v>
      </c>
      <c r="L1461" s="2" t="s">
        <v>3386</v>
      </c>
      <c r="M1461" s="2" t="str">
        <f t="shared" si="25"/>
        <v>13</v>
      </c>
      <c r="N1461" s="2" t="s">
        <v>1722</v>
      </c>
      <c r="O1461" s="2" t="s">
        <v>4373</v>
      </c>
      <c r="P1461" s="2" t="s">
        <v>4375</v>
      </c>
    </row>
    <row r="1462" spans="1:16">
      <c r="A1462" s="4">
        <v>46244.371099537035</v>
      </c>
      <c r="B1462" s="2" t="s">
        <v>2127</v>
      </c>
      <c r="C1462" s="2" t="s">
        <v>3896</v>
      </c>
      <c r="D1462" s="2" t="s">
        <v>274</v>
      </c>
      <c r="E1462" s="2">
        <v>48</v>
      </c>
      <c r="F1462" s="2"/>
      <c r="G1462" s="2">
        <v>48</v>
      </c>
      <c r="H1462" s="2" t="s">
        <v>1804</v>
      </c>
      <c r="I1462" s="2" t="s">
        <v>695</v>
      </c>
      <c r="J1462" s="2" t="s">
        <v>2537</v>
      </c>
      <c r="K1462" s="2" t="s">
        <v>1855</v>
      </c>
      <c r="L1462" s="2" t="s">
        <v>3386</v>
      </c>
      <c r="M1462" s="2" t="str">
        <f t="shared" si="25"/>
        <v>13</v>
      </c>
      <c r="N1462" s="2" t="s">
        <v>1580</v>
      </c>
      <c r="O1462" s="2" t="s">
        <v>4373</v>
      </c>
      <c r="P1462" s="2" t="s">
        <v>4375</v>
      </c>
    </row>
    <row r="1463" spans="1:16">
      <c r="A1463" s="4">
        <v>46244.369398148148</v>
      </c>
      <c r="B1463" s="2" t="s">
        <v>1171</v>
      </c>
      <c r="C1463" s="2" t="s">
        <v>3896</v>
      </c>
      <c r="D1463" s="2" t="s">
        <v>274</v>
      </c>
      <c r="E1463" s="2">
        <v>48</v>
      </c>
      <c r="F1463" s="2"/>
      <c r="G1463" s="2">
        <v>48</v>
      </c>
      <c r="H1463" s="2" t="s">
        <v>1804</v>
      </c>
      <c r="I1463" s="2" t="s">
        <v>695</v>
      </c>
      <c r="J1463" s="2" t="s">
        <v>2537</v>
      </c>
      <c r="K1463" s="2" t="s">
        <v>1855</v>
      </c>
      <c r="L1463" s="2" t="s">
        <v>3386</v>
      </c>
      <c r="M1463" s="2" t="str">
        <f t="shared" si="25"/>
        <v>13</v>
      </c>
      <c r="N1463" s="2" t="s">
        <v>687</v>
      </c>
      <c r="O1463" s="2" t="s">
        <v>4373</v>
      </c>
      <c r="P1463" s="2" t="s">
        <v>4375</v>
      </c>
    </row>
    <row r="1464" spans="1:16">
      <c r="A1464" s="4">
        <v>46244.369351851848</v>
      </c>
      <c r="B1464" s="2" t="s">
        <v>3587</v>
      </c>
      <c r="C1464" s="2" t="s">
        <v>3896</v>
      </c>
      <c r="D1464" s="2" t="s">
        <v>274</v>
      </c>
      <c r="E1464" s="2">
        <v>48</v>
      </c>
      <c r="F1464" s="2"/>
      <c r="G1464" s="2">
        <v>48</v>
      </c>
      <c r="H1464" s="2" t="s">
        <v>1804</v>
      </c>
      <c r="I1464" s="2" t="s">
        <v>695</v>
      </c>
      <c r="J1464" s="2" t="s">
        <v>2537</v>
      </c>
      <c r="K1464" s="2" t="s">
        <v>1855</v>
      </c>
      <c r="L1464" s="2" t="s">
        <v>3386</v>
      </c>
      <c r="M1464" s="2" t="str">
        <f t="shared" si="25"/>
        <v>13</v>
      </c>
      <c r="N1464" s="2" t="s">
        <v>2550</v>
      </c>
      <c r="O1464" s="2" t="s">
        <v>4373</v>
      </c>
      <c r="P1464" s="2" t="s">
        <v>4375</v>
      </c>
    </row>
    <row r="1465" spans="1:16">
      <c r="A1465" s="4">
        <v>46244.368541666663</v>
      </c>
      <c r="B1465" s="2" t="s">
        <v>3351</v>
      </c>
      <c r="C1465" s="2" t="s">
        <v>3896</v>
      </c>
      <c r="D1465" s="2" t="s">
        <v>274</v>
      </c>
      <c r="E1465" s="2">
        <v>48</v>
      </c>
      <c r="F1465" s="2"/>
      <c r="G1465" s="2">
        <v>48</v>
      </c>
      <c r="H1465" s="2" t="s">
        <v>1804</v>
      </c>
      <c r="I1465" s="2" t="s">
        <v>695</v>
      </c>
      <c r="J1465" s="2" t="s">
        <v>2537</v>
      </c>
      <c r="K1465" s="2" t="s">
        <v>1855</v>
      </c>
      <c r="L1465" s="2" t="s">
        <v>3386</v>
      </c>
      <c r="M1465" s="2" t="str">
        <f t="shared" si="25"/>
        <v>13</v>
      </c>
      <c r="N1465" s="2" t="s">
        <v>1386</v>
      </c>
      <c r="O1465" s="2" t="s">
        <v>4373</v>
      </c>
      <c r="P1465" s="2" t="s">
        <v>4375</v>
      </c>
    </row>
    <row r="1466" spans="1:16">
      <c r="A1466" s="4">
        <v>46244.368518518517</v>
      </c>
      <c r="B1466" s="2" t="s">
        <v>4298</v>
      </c>
      <c r="C1466" s="2" t="s">
        <v>3896</v>
      </c>
      <c r="D1466" s="2" t="s">
        <v>274</v>
      </c>
      <c r="E1466" s="2">
        <v>48</v>
      </c>
      <c r="F1466" s="2"/>
      <c r="G1466" s="2">
        <v>48</v>
      </c>
      <c r="H1466" s="2" t="s">
        <v>1804</v>
      </c>
      <c r="I1466" s="2" t="s">
        <v>695</v>
      </c>
      <c r="J1466" s="2" t="s">
        <v>2537</v>
      </c>
      <c r="K1466" s="2" t="s">
        <v>1855</v>
      </c>
      <c r="L1466" s="2" t="s">
        <v>3386</v>
      </c>
      <c r="M1466" s="2" t="str">
        <f t="shared" si="25"/>
        <v>13</v>
      </c>
      <c r="N1466" s="2" t="s">
        <v>3442</v>
      </c>
      <c r="O1466" s="2" t="s">
        <v>4373</v>
      </c>
      <c r="P1466" s="2" t="s">
        <v>4375</v>
      </c>
    </row>
    <row r="1467" spans="1:16">
      <c r="A1467" s="4">
        <v>46244.367928240739</v>
      </c>
      <c r="B1467" s="2" t="s">
        <v>929</v>
      </c>
      <c r="C1467" s="2" t="s">
        <v>3896</v>
      </c>
      <c r="D1467" s="2" t="s">
        <v>274</v>
      </c>
      <c r="E1467" s="2">
        <v>48</v>
      </c>
      <c r="F1467" s="2"/>
      <c r="G1467" s="2">
        <v>48</v>
      </c>
      <c r="H1467" s="2" t="s">
        <v>1804</v>
      </c>
      <c r="I1467" s="2" t="s">
        <v>695</v>
      </c>
      <c r="J1467" s="2" t="s">
        <v>2537</v>
      </c>
      <c r="K1467" s="2" t="s">
        <v>1855</v>
      </c>
      <c r="L1467" s="2" t="s">
        <v>3386</v>
      </c>
      <c r="M1467" s="2" t="str">
        <f t="shared" si="25"/>
        <v>13</v>
      </c>
      <c r="N1467" s="2" t="s">
        <v>3967</v>
      </c>
      <c r="O1467" s="2" t="s">
        <v>4373</v>
      </c>
      <c r="P1467" s="2" t="s">
        <v>4375</v>
      </c>
    </row>
    <row r="1468" spans="1:16">
      <c r="A1468" s="4">
        <v>46244.367754629631</v>
      </c>
      <c r="B1468" s="2" t="s">
        <v>2416</v>
      </c>
      <c r="C1468" s="2" t="s">
        <v>3896</v>
      </c>
      <c r="D1468" s="2" t="s">
        <v>274</v>
      </c>
      <c r="E1468" s="2">
        <v>48</v>
      </c>
      <c r="F1468" s="2"/>
      <c r="G1468" s="2">
        <v>48</v>
      </c>
      <c r="H1468" s="2" t="s">
        <v>1804</v>
      </c>
      <c r="I1468" s="2" t="s">
        <v>695</v>
      </c>
      <c r="J1468" s="2" t="s">
        <v>2537</v>
      </c>
      <c r="K1468" s="2" t="s">
        <v>1855</v>
      </c>
      <c r="L1468" s="2" t="s">
        <v>3386</v>
      </c>
      <c r="M1468" s="2" t="str">
        <f t="shared" si="25"/>
        <v>13</v>
      </c>
      <c r="N1468" s="2" t="s">
        <v>1419</v>
      </c>
      <c r="O1468" s="2" t="s">
        <v>4373</v>
      </c>
      <c r="P1468" s="2" t="s">
        <v>4375</v>
      </c>
    </row>
    <row r="1469" spans="1:16">
      <c r="A1469" s="4">
        <v>46244.36645833333</v>
      </c>
      <c r="B1469" s="2" t="s">
        <v>2982</v>
      </c>
      <c r="C1469" s="2" t="s">
        <v>3896</v>
      </c>
      <c r="D1469" s="2" t="s">
        <v>274</v>
      </c>
      <c r="E1469" s="2">
        <v>48</v>
      </c>
      <c r="F1469" s="2"/>
      <c r="G1469" s="2">
        <v>48</v>
      </c>
      <c r="H1469" s="2" t="s">
        <v>1804</v>
      </c>
      <c r="I1469" s="2" t="s">
        <v>695</v>
      </c>
      <c r="J1469" s="2" t="s">
        <v>2537</v>
      </c>
      <c r="K1469" s="2" t="s">
        <v>1855</v>
      </c>
      <c r="L1469" s="2" t="s">
        <v>3386</v>
      </c>
      <c r="M1469" s="2" t="str">
        <f t="shared" si="25"/>
        <v>13</v>
      </c>
      <c r="N1469" s="2" t="s">
        <v>4284</v>
      </c>
      <c r="O1469" s="2" t="s">
        <v>4373</v>
      </c>
      <c r="P1469" s="2" t="s">
        <v>4375</v>
      </c>
    </row>
    <row r="1470" spans="1:16">
      <c r="A1470" s="4">
        <v>46244.366215277776</v>
      </c>
      <c r="B1470" s="2" t="s">
        <v>3004</v>
      </c>
      <c r="C1470" s="2" t="s">
        <v>3896</v>
      </c>
      <c r="D1470" s="2" t="s">
        <v>274</v>
      </c>
      <c r="E1470" s="2">
        <v>48</v>
      </c>
      <c r="F1470" s="2"/>
      <c r="G1470" s="2">
        <v>48</v>
      </c>
      <c r="H1470" s="2" t="s">
        <v>1804</v>
      </c>
      <c r="I1470" s="2" t="s">
        <v>695</v>
      </c>
      <c r="J1470" s="2" t="s">
        <v>2537</v>
      </c>
      <c r="K1470" s="2" t="s">
        <v>1855</v>
      </c>
      <c r="L1470" s="2" t="s">
        <v>3386</v>
      </c>
      <c r="M1470" s="2" t="str">
        <f t="shared" si="25"/>
        <v>13</v>
      </c>
      <c r="N1470" s="2" t="s">
        <v>2354</v>
      </c>
      <c r="O1470" s="2" t="s">
        <v>4373</v>
      </c>
      <c r="P1470" s="2" t="s">
        <v>4375</v>
      </c>
    </row>
    <row r="1471" spans="1:16">
      <c r="A1471" s="4">
        <v>46244.36513888889</v>
      </c>
      <c r="B1471" s="2" t="s">
        <v>3529</v>
      </c>
      <c r="C1471" s="2" t="s">
        <v>3896</v>
      </c>
      <c r="D1471" s="2" t="s">
        <v>274</v>
      </c>
      <c r="E1471" s="2">
        <v>48</v>
      </c>
      <c r="F1471" s="2"/>
      <c r="G1471" s="2">
        <v>48</v>
      </c>
      <c r="H1471" s="2" t="s">
        <v>1804</v>
      </c>
      <c r="I1471" s="2" t="s">
        <v>695</v>
      </c>
      <c r="J1471" s="2" t="s">
        <v>2537</v>
      </c>
      <c r="K1471" s="2" t="s">
        <v>1855</v>
      </c>
      <c r="L1471" s="2" t="s">
        <v>3386</v>
      </c>
      <c r="M1471" s="2" t="str">
        <f t="shared" si="25"/>
        <v>13</v>
      </c>
      <c r="N1471" s="2" t="s">
        <v>2667</v>
      </c>
      <c r="O1471" s="2" t="s">
        <v>4373</v>
      </c>
      <c r="P1471" s="2" t="s">
        <v>4375</v>
      </c>
    </row>
    <row r="1472" spans="1:16">
      <c r="A1472" s="4">
        <v>46244.365057870367</v>
      </c>
      <c r="B1472" s="2" t="s">
        <v>1836</v>
      </c>
      <c r="C1472" s="2" t="s">
        <v>3896</v>
      </c>
      <c r="D1472" s="2" t="s">
        <v>274</v>
      </c>
      <c r="E1472" s="2">
        <v>48</v>
      </c>
      <c r="F1472" s="2"/>
      <c r="G1472" s="2">
        <v>48</v>
      </c>
      <c r="H1472" s="2" t="s">
        <v>1804</v>
      </c>
      <c r="I1472" s="2" t="s">
        <v>695</v>
      </c>
      <c r="J1472" s="2" t="s">
        <v>2537</v>
      </c>
      <c r="K1472" s="2" t="s">
        <v>1855</v>
      </c>
      <c r="L1472" s="2" t="s">
        <v>3386</v>
      </c>
      <c r="M1472" s="2" t="str">
        <f t="shared" si="25"/>
        <v>13</v>
      </c>
      <c r="N1472" s="2" t="s">
        <v>845</v>
      </c>
      <c r="O1472" s="2" t="s">
        <v>4373</v>
      </c>
      <c r="P1472" s="2" t="s">
        <v>4375</v>
      </c>
    </row>
    <row r="1473" spans="1:16">
      <c r="A1473" s="4">
        <v>46244.363900462966</v>
      </c>
      <c r="B1473" s="2" t="s">
        <v>1141</v>
      </c>
      <c r="C1473" s="2" t="s">
        <v>3896</v>
      </c>
      <c r="D1473" s="2" t="s">
        <v>274</v>
      </c>
      <c r="E1473" s="2">
        <v>48</v>
      </c>
      <c r="F1473" s="2"/>
      <c r="G1473" s="2">
        <v>48</v>
      </c>
      <c r="H1473" s="2" t="s">
        <v>1804</v>
      </c>
      <c r="I1473" s="2" t="s">
        <v>695</v>
      </c>
      <c r="J1473" s="2" t="s">
        <v>2537</v>
      </c>
      <c r="K1473" s="2" t="s">
        <v>1855</v>
      </c>
      <c r="L1473" s="2" t="s">
        <v>3386</v>
      </c>
      <c r="M1473" s="2" t="str">
        <f t="shared" si="25"/>
        <v>13</v>
      </c>
      <c r="N1473" s="2" t="s">
        <v>4241</v>
      </c>
      <c r="O1473" s="2" t="s">
        <v>4373</v>
      </c>
      <c r="P1473" s="2" t="s">
        <v>4375</v>
      </c>
    </row>
    <row r="1474" spans="1:16">
      <c r="A1474" s="4">
        <v>46244.363668981481</v>
      </c>
      <c r="B1474" s="2" t="s">
        <v>2774</v>
      </c>
      <c r="C1474" s="2" t="s">
        <v>3896</v>
      </c>
      <c r="D1474" s="2" t="s">
        <v>274</v>
      </c>
      <c r="E1474" s="2">
        <v>48</v>
      </c>
      <c r="F1474" s="2"/>
      <c r="G1474" s="2">
        <v>48</v>
      </c>
      <c r="H1474" s="2" t="s">
        <v>1804</v>
      </c>
      <c r="I1474" s="2" t="s">
        <v>695</v>
      </c>
      <c r="J1474" s="2" t="s">
        <v>2537</v>
      </c>
      <c r="K1474" s="2" t="s">
        <v>1855</v>
      </c>
      <c r="L1474" s="2" t="s">
        <v>3386</v>
      </c>
      <c r="M1474" s="2" t="str">
        <f t="shared" ref="M1474:M1537" si="26">RIGHT(L1474,2)</f>
        <v>13</v>
      </c>
      <c r="N1474" s="2" t="s">
        <v>4288</v>
      </c>
      <c r="O1474" s="2" t="s">
        <v>4373</v>
      </c>
      <c r="P1474" s="2" t="s">
        <v>4375</v>
      </c>
    </row>
    <row r="1475" spans="1:16">
      <c r="A1475" s="4">
        <v>46244.361354166664</v>
      </c>
      <c r="B1475" s="2" t="s">
        <v>1251</v>
      </c>
      <c r="C1475" s="2" t="s">
        <v>3896</v>
      </c>
      <c r="D1475" s="2" t="s">
        <v>274</v>
      </c>
      <c r="E1475" s="2">
        <v>48</v>
      </c>
      <c r="F1475" s="2"/>
      <c r="G1475" s="2">
        <v>48</v>
      </c>
      <c r="H1475" s="2" t="s">
        <v>1804</v>
      </c>
      <c r="I1475" s="2" t="s">
        <v>695</v>
      </c>
      <c r="J1475" s="2" t="s">
        <v>2537</v>
      </c>
      <c r="K1475" s="2" t="s">
        <v>1855</v>
      </c>
      <c r="L1475" s="2" t="s">
        <v>3386</v>
      </c>
      <c r="M1475" s="2" t="str">
        <f t="shared" si="26"/>
        <v>13</v>
      </c>
      <c r="N1475" s="2" t="s">
        <v>1547</v>
      </c>
      <c r="O1475" s="2" t="s">
        <v>4373</v>
      </c>
      <c r="P1475" s="2" t="s">
        <v>4375</v>
      </c>
    </row>
    <row r="1476" spans="1:16">
      <c r="A1476" s="4">
        <v>46244.361111111109</v>
      </c>
      <c r="B1476" s="2" t="s">
        <v>2488</v>
      </c>
      <c r="C1476" s="2" t="s">
        <v>3896</v>
      </c>
      <c r="D1476" s="2" t="s">
        <v>274</v>
      </c>
      <c r="E1476" s="2">
        <v>48</v>
      </c>
      <c r="F1476" s="2"/>
      <c r="G1476" s="2">
        <v>48</v>
      </c>
      <c r="H1476" s="2" t="s">
        <v>1804</v>
      </c>
      <c r="I1476" s="2" t="s">
        <v>695</v>
      </c>
      <c r="J1476" s="2" t="s">
        <v>2537</v>
      </c>
      <c r="K1476" s="2" t="s">
        <v>1855</v>
      </c>
      <c r="L1476" s="2" t="s">
        <v>3386</v>
      </c>
      <c r="M1476" s="2" t="str">
        <f t="shared" si="26"/>
        <v>13</v>
      </c>
      <c r="N1476" s="2" t="s">
        <v>2972</v>
      </c>
      <c r="O1476" s="2" t="s">
        <v>4373</v>
      </c>
      <c r="P1476" s="2" t="s">
        <v>4375</v>
      </c>
    </row>
    <row r="1477" spans="1:16">
      <c r="A1477" s="4">
        <v>46244.360081018516</v>
      </c>
      <c r="B1477" s="2" t="s">
        <v>3426</v>
      </c>
      <c r="C1477" s="2" t="s">
        <v>3896</v>
      </c>
      <c r="D1477" s="2" t="s">
        <v>274</v>
      </c>
      <c r="E1477" s="2">
        <v>48</v>
      </c>
      <c r="F1477" s="2"/>
      <c r="G1477" s="2">
        <v>48</v>
      </c>
      <c r="H1477" s="2" t="s">
        <v>1804</v>
      </c>
      <c r="I1477" s="2" t="s">
        <v>695</v>
      </c>
      <c r="J1477" s="2" t="s">
        <v>2537</v>
      </c>
      <c r="K1477" s="2" t="s">
        <v>1855</v>
      </c>
      <c r="L1477" s="2" t="s">
        <v>3386</v>
      </c>
      <c r="M1477" s="2" t="str">
        <f t="shared" si="26"/>
        <v>13</v>
      </c>
      <c r="N1477" s="2" t="s">
        <v>3074</v>
      </c>
      <c r="O1477" s="2" t="s">
        <v>4373</v>
      </c>
      <c r="P1477" s="2" t="s">
        <v>4375</v>
      </c>
    </row>
    <row r="1478" spans="1:16">
      <c r="A1478" s="4">
        <v>46244.359733796293</v>
      </c>
      <c r="B1478" s="2" t="s">
        <v>108</v>
      </c>
      <c r="C1478" s="2" t="s">
        <v>3896</v>
      </c>
      <c r="D1478" s="2" t="s">
        <v>274</v>
      </c>
      <c r="E1478" s="2">
        <v>48</v>
      </c>
      <c r="F1478" s="2"/>
      <c r="G1478" s="2">
        <v>48</v>
      </c>
      <c r="H1478" s="2" t="s">
        <v>1804</v>
      </c>
      <c r="I1478" s="2" t="s">
        <v>695</v>
      </c>
      <c r="J1478" s="2" t="s">
        <v>2537</v>
      </c>
      <c r="K1478" s="2" t="s">
        <v>1855</v>
      </c>
      <c r="L1478" s="2" t="s">
        <v>3386</v>
      </c>
      <c r="M1478" s="2" t="str">
        <f t="shared" si="26"/>
        <v>13</v>
      </c>
      <c r="N1478" s="2" t="s">
        <v>2832</v>
      </c>
      <c r="O1478" s="2" t="s">
        <v>4373</v>
      </c>
      <c r="P1478" s="2" t="s">
        <v>4375</v>
      </c>
    </row>
    <row r="1479" spans="1:16">
      <c r="A1479" s="4">
        <v>46244.359074074076</v>
      </c>
      <c r="B1479" s="2" t="s">
        <v>1749</v>
      </c>
      <c r="C1479" s="2" t="s">
        <v>3896</v>
      </c>
      <c r="D1479" s="2" t="s">
        <v>274</v>
      </c>
      <c r="E1479" s="2">
        <v>48</v>
      </c>
      <c r="F1479" s="2"/>
      <c r="G1479" s="2">
        <v>48</v>
      </c>
      <c r="H1479" s="2" t="s">
        <v>1804</v>
      </c>
      <c r="I1479" s="2" t="s">
        <v>695</v>
      </c>
      <c r="J1479" s="2" t="s">
        <v>2537</v>
      </c>
      <c r="K1479" s="2" t="s">
        <v>1855</v>
      </c>
      <c r="L1479" s="2" t="s">
        <v>3386</v>
      </c>
      <c r="M1479" s="2" t="str">
        <f t="shared" si="26"/>
        <v>13</v>
      </c>
      <c r="N1479" s="2" t="s">
        <v>2993</v>
      </c>
      <c r="O1479" s="2" t="s">
        <v>4373</v>
      </c>
      <c r="P1479" s="2" t="s">
        <v>4375</v>
      </c>
    </row>
    <row r="1480" spans="1:16">
      <c r="A1480" s="4">
        <v>46244.358900462961</v>
      </c>
      <c r="B1480" s="2" t="s">
        <v>4128</v>
      </c>
      <c r="C1480" s="2" t="s">
        <v>3896</v>
      </c>
      <c r="D1480" s="2" t="s">
        <v>274</v>
      </c>
      <c r="E1480" s="2">
        <v>48</v>
      </c>
      <c r="F1480" s="2"/>
      <c r="G1480" s="2">
        <v>48</v>
      </c>
      <c r="H1480" s="2" t="s">
        <v>1804</v>
      </c>
      <c r="I1480" s="2" t="s">
        <v>695</v>
      </c>
      <c r="J1480" s="2" t="s">
        <v>2537</v>
      </c>
      <c r="K1480" s="2" t="s">
        <v>1855</v>
      </c>
      <c r="L1480" s="2" t="s">
        <v>3386</v>
      </c>
      <c r="M1480" s="2" t="str">
        <f t="shared" si="26"/>
        <v>13</v>
      </c>
      <c r="N1480" s="2" t="s">
        <v>4223</v>
      </c>
      <c r="O1480" s="2" t="s">
        <v>4373</v>
      </c>
      <c r="P1480" s="2" t="s">
        <v>4375</v>
      </c>
    </row>
    <row r="1481" spans="1:16">
      <c r="A1481" s="4">
        <v>46244.35769675926</v>
      </c>
      <c r="B1481" s="2" t="s">
        <v>1981</v>
      </c>
      <c r="C1481" s="2" t="s">
        <v>3896</v>
      </c>
      <c r="D1481" s="2" t="s">
        <v>274</v>
      </c>
      <c r="E1481" s="2">
        <v>48</v>
      </c>
      <c r="F1481" s="2"/>
      <c r="G1481" s="2">
        <v>48</v>
      </c>
      <c r="H1481" s="2" t="s">
        <v>1804</v>
      </c>
      <c r="I1481" s="2" t="s">
        <v>695</v>
      </c>
      <c r="J1481" s="2" t="s">
        <v>2537</v>
      </c>
      <c r="K1481" s="2" t="s">
        <v>1855</v>
      </c>
      <c r="L1481" s="2" t="s">
        <v>3386</v>
      </c>
      <c r="M1481" s="2" t="str">
        <f t="shared" si="26"/>
        <v>13</v>
      </c>
      <c r="N1481" s="2" t="s">
        <v>3350</v>
      </c>
      <c r="O1481" s="2" t="s">
        <v>4373</v>
      </c>
      <c r="P1481" s="2" t="s">
        <v>4375</v>
      </c>
    </row>
    <row r="1482" spans="1:16">
      <c r="A1482" s="4">
        <v>46244.357638888891</v>
      </c>
      <c r="B1482" s="2" t="s">
        <v>3237</v>
      </c>
      <c r="C1482" s="2" t="s">
        <v>3896</v>
      </c>
      <c r="D1482" s="2" t="s">
        <v>274</v>
      </c>
      <c r="E1482" s="2">
        <v>48</v>
      </c>
      <c r="F1482" s="2"/>
      <c r="G1482" s="2">
        <v>48</v>
      </c>
      <c r="H1482" s="2" t="s">
        <v>1804</v>
      </c>
      <c r="I1482" s="2" t="s">
        <v>695</v>
      </c>
      <c r="J1482" s="2" t="s">
        <v>2537</v>
      </c>
      <c r="K1482" s="2" t="s">
        <v>1855</v>
      </c>
      <c r="L1482" s="2" t="s">
        <v>3386</v>
      </c>
      <c r="M1482" s="2" t="str">
        <f t="shared" si="26"/>
        <v>13</v>
      </c>
      <c r="N1482" s="2" t="s">
        <v>654</v>
      </c>
      <c r="O1482" s="2" t="s">
        <v>4373</v>
      </c>
      <c r="P1482" s="2" t="s">
        <v>4375</v>
      </c>
    </row>
    <row r="1483" spans="1:16">
      <c r="A1483" s="4">
        <v>46244.356446759259</v>
      </c>
      <c r="B1483" s="2" t="s">
        <v>1189</v>
      </c>
      <c r="C1483" s="2" t="s">
        <v>3896</v>
      </c>
      <c r="D1483" s="2" t="s">
        <v>274</v>
      </c>
      <c r="E1483" s="2">
        <v>48</v>
      </c>
      <c r="F1483" s="2"/>
      <c r="G1483" s="2">
        <v>48</v>
      </c>
      <c r="H1483" s="2" t="s">
        <v>1804</v>
      </c>
      <c r="I1483" s="2" t="s">
        <v>695</v>
      </c>
      <c r="J1483" s="2" t="s">
        <v>2537</v>
      </c>
      <c r="K1483" s="2" t="s">
        <v>1855</v>
      </c>
      <c r="L1483" s="2" t="s">
        <v>3386</v>
      </c>
      <c r="M1483" s="2" t="str">
        <f t="shared" si="26"/>
        <v>13</v>
      </c>
      <c r="N1483" s="2" t="s">
        <v>1934</v>
      </c>
      <c r="O1483" s="2" t="s">
        <v>4373</v>
      </c>
      <c r="P1483" s="2" t="s">
        <v>4375</v>
      </c>
    </row>
    <row r="1484" spans="1:16">
      <c r="A1484" s="4">
        <v>46244.356249999997</v>
      </c>
      <c r="B1484" s="2" t="s">
        <v>4085</v>
      </c>
      <c r="C1484" s="2" t="s">
        <v>3896</v>
      </c>
      <c r="D1484" s="2" t="s">
        <v>274</v>
      </c>
      <c r="E1484" s="2">
        <v>48</v>
      </c>
      <c r="F1484" s="2"/>
      <c r="G1484" s="2">
        <v>48</v>
      </c>
      <c r="H1484" s="2" t="s">
        <v>1804</v>
      </c>
      <c r="I1484" s="2" t="s">
        <v>695</v>
      </c>
      <c r="J1484" s="2" t="s">
        <v>2537</v>
      </c>
      <c r="K1484" s="2" t="s">
        <v>1855</v>
      </c>
      <c r="L1484" s="2" t="s">
        <v>3386</v>
      </c>
      <c r="M1484" s="2" t="str">
        <f t="shared" si="26"/>
        <v>13</v>
      </c>
      <c r="N1484" s="2" t="s">
        <v>1027</v>
      </c>
      <c r="O1484" s="2" t="s">
        <v>4373</v>
      </c>
      <c r="P1484" s="2" t="s">
        <v>4375</v>
      </c>
    </row>
    <row r="1485" spans="1:16">
      <c r="A1485" s="4">
        <v>46244.355393518519</v>
      </c>
      <c r="B1485" s="2" t="s">
        <v>1948</v>
      </c>
      <c r="C1485" s="2" t="s">
        <v>3896</v>
      </c>
      <c r="D1485" s="2" t="s">
        <v>274</v>
      </c>
      <c r="E1485" s="2">
        <v>48</v>
      </c>
      <c r="F1485" s="2"/>
      <c r="G1485" s="2">
        <v>48</v>
      </c>
      <c r="H1485" s="2" t="s">
        <v>1804</v>
      </c>
      <c r="I1485" s="2" t="s">
        <v>695</v>
      </c>
      <c r="J1485" s="2" t="s">
        <v>2537</v>
      </c>
      <c r="K1485" s="2" t="s">
        <v>1855</v>
      </c>
      <c r="L1485" s="2" t="s">
        <v>3386</v>
      </c>
      <c r="M1485" s="2" t="str">
        <f t="shared" si="26"/>
        <v>13</v>
      </c>
      <c r="N1485" s="2" t="s">
        <v>211</v>
      </c>
      <c r="O1485" s="2" t="s">
        <v>4373</v>
      </c>
      <c r="P1485" s="2" t="s">
        <v>4375</v>
      </c>
    </row>
    <row r="1486" spans="1:16">
      <c r="A1486" s="4">
        <v>46244.355312500003</v>
      </c>
      <c r="B1486" s="2" t="s">
        <v>3586</v>
      </c>
      <c r="C1486" s="2" t="s">
        <v>3896</v>
      </c>
      <c r="D1486" s="2" t="s">
        <v>274</v>
      </c>
      <c r="E1486" s="2">
        <v>48</v>
      </c>
      <c r="F1486" s="2"/>
      <c r="G1486" s="2">
        <v>48</v>
      </c>
      <c r="H1486" s="2" t="s">
        <v>1804</v>
      </c>
      <c r="I1486" s="2" t="s">
        <v>695</v>
      </c>
      <c r="J1486" s="2" t="s">
        <v>2537</v>
      </c>
      <c r="K1486" s="2" t="s">
        <v>1855</v>
      </c>
      <c r="L1486" s="2" t="s">
        <v>3386</v>
      </c>
      <c r="M1486" s="2" t="str">
        <f t="shared" si="26"/>
        <v>13</v>
      </c>
      <c r="N1486" s="2" t="s">
        <v>2246</v>
      </c>
      <c r="O1486" s="2" t="s">
        <v>4373</v>
      </c>
      <c r="P1486" s="2" t="s">
        <v>4375</v>
      </c>
    </row>
    <row r="1487" spans="1:16">
      <c r="A1487" s="4">
        <v>46244.353888888887</v>
      </c>
      <c r="B1487" s="2" t="s">
        <v>309</v>
      </c>
      <c r="C1487" s="2" t="s">
        <v>3896</v>
      </c>
      <c r="D1487" s="2" t="s">
        <v>274</v>
      </c>
      <c r="E1487" s="2">
        <v>48</v>
      </c>
      <c r="F1487" s="2"/>
      <c r="G1487" s="2">
        <v>48</v>
      </c>
      <c r="H1487" s="2" t="s">
        <v>1804</v>
      </c>
      <c r="I1487" s="2" t="s">
        <v>695</v>
      </c>
      <c r="J1487" s="2" t="s">
        <v>2537</v>
      </c>
      <c r="K1487" s="2" t="s">
        <v>1855</v>
      </c>
      <c r="L1487" s="2" t="s">
        <v>3386</v>
      </c>
      <c r="M1487" s="2" t="str">
        <f t="shared" si="26"/>
        <v>13</v>
      </c>
      <c r="N1487" s="2" t="s">
        <v>160</v>
      </c>
      <c r="O1487" s="2" t="s">
        <v>4373</v>
      </c>
      <c r="P1487" s="2" t="s">
        <v>4375</v>
      </c>
    </row>
    <row r="1488" spans="1:16">
      <c r="A1488" s="4">
        <v>46244.35361111111</v>
      </c>
      <c r="B1488" s="2" t="s">
        <v>3482</v>
      </c>
      <c r="C1488" s="2" t="s">
        <v>3896</v>
      </c>
      <c r="D1488" s="2" t="s">
        <v>274</v>
      </c>
      <c r="E1488" s="2">
        <v>48</v>
      </c>
      <c r="F1488" s="2"/>
      <c r="G1488" s="2">
        <v>48</v>
      </c>
      <c r="H1488" s="2" t="s">
        <v>1804</v>
      </c>
      <c r="I1488" s="2" t="s">
        <v>695</v>
      </c>
      <c r="J1488" s="2" t="s">
        <v>2537</v>
      </c>
      <c r="K1488" s="2" t="s">
        <v>1855</v>
      </c>
      <c r="L1488" s="2" t="s">
        <v>3386</v>
      </c>
      <c r="M1488" s="2" t="str">
        <f t="shared" si="26"/>
        <v>13</v>
      </c>
      <c r="N1488" s="2" t="s">
        <v>2742</v>
      </c>
      <c r="O1488" s="2" t="s">
        <v>4373</v>
      </c>
      <c r="P1488" s="2" t="s">
        <v>4375</v>
      </c>
    </row>
    <row r="1489" spans="1:16">
      <c r="A1489" s="4">
        <v>46244.352696759262</v>
      </c>
      <c r="B1489" s="2" t="s">
        <v>4213</v>
      </c>
      <c r="C1489" s="2" t="s">
        <v>3896</v>
      </c>
      <c r="D1489" s="2" t="s">
        <v>274</v>
      </c>
      <c r="E1489" s="2">
        <v>48</v>
      </c>
      <c r="F1489" s="2"/>
      <c r="G1489" s="2">
        <v>48</v>
      </c>
      <c r="H1489" s="2" t="s">
        <v>1804</v>
      </c>
      <c r="I1489" s="2" t="s">
        <v>695</v>
      </c>
      <c r="J1489" s="2" t="s">
        <v>2537</v>
      </c>
      <c r="K1489" s="2" t="s">
        <v>1855</v>
      </c>
      <c r="L1489" s="2" t="s">
        <v>3386</v>
      </c>
      <c r="M1489" s="2" t="str">
        <f t="shared" si="26"/>
        <v>13</v>
      </c>
      <c r="N1489" s="2" t="s">
        <v>1716</v>
      </c>
      <c r="O1489" s="2" t="s">
        <v>4373</v>
      </c>
      <c r="P1489" s="2" t="s">
        <v>4375</v>
      </c>
    </row>
    <row r="1490" spans="1:16">
      <c r="A1490" s="4">
        <v>46244.352523148147</v>
      </c>
      <c r="B1490" s="2" t="s">
        <v>326</v>
      </c>
      <c r="C1490" s="2" t="s">
        <v>3896</v>
      </c>
      <c r="D1490" s="2" t="s">
        <v>274</v>
      </c>
      <c r="E1490" s="2">
        <v>48</v>
      </c>
      <c r="F1490" s="2"/>
      <c r="G1490" s="2">
        <v>48</v>
      </c>
      <c r="H1490" s="2" t="s">
        <v>1804</v>
      </c>
      <c r="I1490" s="2" t="s">
        <v>695</v>
      </c>
      <c r="J1490" s="2" t="s">
        <v>2537</v>
      </c>
      <c r="K1490" s="2" t="s">
        <v>1855</v>
      </c>
      <c r="L1490" s="2" t="s">
        <v>3386</v>
      </c>
      <c r="M1490" s="2" t="str">
        <f t="shared" si="26"/>
        <v>13</v>
      </c>
      <c r="N1490" s="2" t="s">
        <v>3469</v>
      </c>
      <c r="O1490" s="2" t="s">
        <v>4373</v>
      </c>
      <c r="P1490" s="2" t="s">
        <v>4375</v>
      </c>
    </row>
    <row r="1491" spans="1:16">
      <c r="A1491" s="4">
        <v>46244.35087962963</v>
      </c>
      <c r="B1491" s="2" t="s">
        <v>55</v>
      </c>
      <c r="C1491" s="2" t="s">
        <v>3896</v>
      </c>
      <c r="D1491" s="2" t="s">
        <v>274</v>
      </c>
      <c r="E1491" s="2">
        <v>48</v>
      </c>
      <c r="F1491" s="2"/>
      <c r="G1491" s="2">
        <v>48</v>
      </c>
      <c r="H1491" s="2" t="s">
        <v>1804</v>
      </c>
      <c r="I1491" s="2" t="s">
        <v>695</v>
      </c>
      <c r="J1491" s="2" t="s">
        <v>2537</v>
      </c>
      <c r="K1491" s="2" t="s">
        <v>1855</v>
      </c>
      <c r="L1491" s="2" t="s">
        <v>3386</v>
      </c>
      <c r="M1491" s="2" t="str">
        <f t="shared" si="26"/>
        <v>13</v>
      </c>
      <c r="N1491" s="2" t="s">
        <v>3905</v>
      </c>
      <c r="O1491" s="2" t="s">
        <v>4373</v>
      </c>
      <c r="P1491" s="2" t="s">
        <v>4375</v>
      </c>
    </row>
    <row r="1492" spans="1:16">
      <c r="A1492" s="4">
        <v>46244.35083333333</v>
      </c>
      <c r="B1492" s="2" t="s">
        <v>3551</v>
      </c>
      <c r="C1492" s="2" t="s">
        <v>3896</v>
      </c>
      <c r="D1492" s="2" t="s">
        <v>274</v>
      </c>
      <c r="E1492" s="2">
        <v>48</v>
      </c>
      <c r="F1492" s="2"/>
      <c r="G1492" s="2">
        <v>48</v>
      </c>
      <c r="H1492" s="2" t="s">
        <v>1804</v>
      </c>
      <c r="I1492" s="2" t="s">
        <v>695</v>
      </c>
      <c r="J1492" s="2" t="s">
        <v>2537</v>
      </c>
      <c r="K1492" s="2" t="s">
        <v>1855</v>
      </c>
      <c r="L1492" s="2" t="s">
        <v>3386</v>
      </c>
      <c r="M1492" s="2" t="str">
        <f t="shared" si="26"/>
        <v>13</v>
      </c>
      <c r="N1492" s="2" t="s">
        <v>1526</v>
      </c>
      <c r="O1492" s="2" t="s">
        <v>4373</v>
      </c>
      <c r="P1492" s="2" t="s">
        <v>4375</v>
      </c>
    </row>
    <row r="1493" spans="1:16">
      <c r="A1493" s="4">
        <v>46244.348564814813</v>
      </c>
      <c r="B1493" s="2" t="s">
        <v>2697</v>
      </c>
      <c r="C1493" s="2" t="s">
        <v>3896</v>
      </c>
      <c r="D1493" s="2" t="s">
        <v>274</v>
      </c>
      <c r="E1493" s="2">
        <v>48</v>
      </c>
      <c r="F1493" s="2"/>
      <c r="G1493" s="2">
        <v>48</v>
      </c>
      <c r="H1493" s="2" t="s">
        <v>1804</v>
      </c>
      <c r="I1493" s="2" t="s">
        <v>695</v>
      </c>
      <c r="J1493" s="2" t="s">
        <v>2537</v>
      </c>
      <c r="K1493" s="2" t="s">
        <v>1855</v>
      </c>
      <c r="L1493" s="2" t="s">
        <v>3386</v>
      </c>
      <c r="M1493" s="2" t="str">
        <f t="shared" si="26"/>
        <v>13</v>
      </c>
      <c r="N1493" s="2" t="s">
        <v>10</v>
      </c>
      <c r="O1493" s="2" t="s">
        <v>4373</v>
      </c>
      <c r="P1493" s="2" t="s">
        <v>4375</v>
      </c>
    </row>
    <row r="1494" spans="1:16">
      <c r="A1494" s="4">
        <v>46244.348229166666</v>
      </c>
      <c r="B1494" s="2" t="s">
        <v>1555</v>
      </c>
      <c r="C1494" s="2" t="s">
        <v>3896</v>
      </c>
      <c r="D1494" s="2" t="s">
        <v>274</v>
      </c>
      <c r="E1494" s="2">
        <v>48</v>
      </c>
      <c r="F1494" s="2"/>
      <c r="G1494" s="2">
        <v>48</v>
      </c>
      <c r="H1494" s="2" t="s">
        <v>1804</v>
      </c>
      <c r="I1494" s="2" t="s">
        <v>695</v>
      </c>
      <c r="J1494" s="2" t="s">
        <v>2537</v>
      </c>
      <c r="K1494" s="2" t="s">
        <v>1855</v>
      </c>
      <c r="L1494" s="2" t="s">
        <v>3386</v>
      </c>
      <c r="M1494" s="2" t="str">
        <f t="shared" si="26"/>
        <v>13</v>
      </c>
      <c r="N1494" s="2" t="s">
        <v>1162</v>
      </c>
      <c r="O1494" s="2" t="s">
        <v>4373</v>
      </c>
      <c r="P1494" s="2" t="s">
        <v>4375</v>
      </c>
    </row>
    <row r="1495" spans="1:16">
      <c r="A1495" s="4">
        <v>46244.331608796296</v>
      </c>
      <c r="B1495" s="2" t="s">
        <v>2052</v>
      </c>
      <c r="C1495" s="2" t="s">
        <v>3896</v>
      </c>
      <c r="D1495" s="2" t="s">
        <v>274</v>
      </c>
      <c r="E1495" s="2">
        <v>48</v>
      </c>
      <c r="F1495" s="2"/>
      <c r="G1495" s="2">
        <v>48</v>
      </c>
      <c r="H1495" s="2" t="s">
        <v>1804</v>
      </c>
      <c r="I1495" s="2" t="s">
        <v>695</v>
      </c>
      <c r="J1495" s="2" t="s">
        <v>2537</v>
      </c>
      <c r="K1495" s="2" t="s">
        <v>1855</v>
      </c>
      <c r="L1495" s="2" t="s">
        <v>3386</v>
      </c>
      <c r="M1495" s="2" t="str">
        <f t="shared" si="26"/>
        <v>13</v>
      </c>
      <c r="N1495" s="2" t="s">
        <v>672</v>
      </c>
      <c r="O1495" s="2" t="s">
        <v>4373</v>
      </c>
      <c r="P1495" s="2" t="s">
        <v>4375</v>
      </c>
    </row>
    <row r="1496" spans="1:16">
      <c r="A1496" s="4">
        <v>46244.331562500003</v>
      </c>
      <c r="B1496" s="2" t="s">
        <v>485</v>
      </c>
      <c r="C1496" s="2" t="s">
        <v>3896</v>
      </c>
      <c r="D1496" s="2" t="s">
        <v>274</v>
      </c>
      <c r="E1496" s="2">
        <v>48</v>
      </c>
      <c r="F1496" s="2"/>
      <c r="G1496" s="2">
        <v>48</v>
      </c>
      <c r="H1496" s="2" t="s">
        <v>1804</v>
      </c>
      <c r="I1496" s="2" t="s">
        <v>695</v>
      </c>
      <c r="J1496" s="2" t="s">
        <v>2537</v>
      </c>
      <c r="K1496" s="2" t="s">
        <v>1855</v>
      </c>
      <c r="L1496" s="2" t="s">
        <v>3386</v>
      </c>
      <c r="M1496" s="2" t="str">
        <f t="shared" si="26"/>
        <v>13</v>
      </c>
      <c r="N1496" s="2" t="s">
        <v>1551</v>
      </c>
      <c r="O1496" s="2" t="s">
        <v>4373</v>
      </c>
      <c r="P1496" s="2" t="s">
        <v>4375</v>
      </c>
    </row>
    <row r="1497" spans="1:16">
      <c r="A1497" s="4">
        <v>46244.329814814817</v>
      </c>
      <c r="B1497" s="2" t="s">
        <v>2017</v>
      </c>
      <c r="C1497" s="2" t="s">
        <v>3896</v>
      </c>
      <c r="D1497" s="2" t="s">
        <v>274</v>
      </c>
      <c r="E1497" s="2">
        <v>48</v>
      </c>
      <c r="F1497" s="2"/>
      <c r="G1497" s="2">
        <v>48</v>
      </c>
      <c r="H1497" s="2" t="s">
        <v>1804</v>
      </c>
      <c r="I1497" s="2" t="s">
        <v>695</v>
      </c>
      <c r="J1497" s="2" t="s">
        <v>2537</v>
      </c>
      <c r="K1497" s="2" t="s">
        <v>1855</v>
      </c>
      <c r="L1497" s="2" t="s">
        <v>3386</v>
      </c>
      <c r="M1497" s="2" t="str">
        <f t="shared" si="26"/>
        <v>13</v>
      </c>
      <c r="N1497" s="2" t="s">
        <v>2896</v>
      </c>
      <c r="O1497" s="2" t="s">
        <v>4373</v>
      </c>
      <c r="P1497" s="2" t="s">
        <v>4375</v>
      </c>
    </row>
    <row r="1498" spans="1:16">
      <c r="A1498" s="4">
        <v>46244.329652777778</v>
      </c>
      <c r="B1498" s="2" t="s">
        <v>4164</v>
      </c>
      <c r="C1498" s="2" t="s">
        <v>3896</v>
      </c>
      <c r="D1498" s="2" t="s">
        <v>274</v>
      </c>
      <c r="E1498" s="2">
        <v>48</v>
      </c>
      <c r="F1498" s="2"/>
      <c r="G1498" s="2">
        <v>48</v>
      </c>
      <c r="H1498" s="2" t="s">
        <v>1804</v>
      </c>
      <c r="I1498" s="2" t="s">
        <v>695</v>
      </c>
      <c r="J1498" s="2" t="s">
        <v>2537</v>
      </c>
      <c r="K1498" s="2" t="s">
        <v>1855</v>
      </c>
      <c r="L1498" s="2" t="s">
        <v>3386</v>
      </c>
      <c r="M1498" s="2" t="str">
        <f t="shared" si="26"/>
        <v>13</v>
      </c>
      <c r="N1498" s="2" t="s">
        <v>1416</v>
      </c>
      <c r="O1498" s="2" t="s">
        <v>4373</v>
      </c>
      <c r="P1498" s="2" t="s">
        <v>4375</v>
      </c>
    </row>
    <row r="1499" spans="1:16">
      <c r="A1499" s="4">
        <v>46248.653020833335</v>
      </c>
      <c r="B1499" s="2" t="s">
        <v>1488</v>
      </c>
      <c r="C1499" s="2" t="s">
        <v>1350</v>
      </c>
      <c r="D1499" s="2" t="s">
        <v>3966</v>
      </c>
      <c r="E1499" s="2">
        <v>20</v>
      </c>
      <c r="F1499" s="2"/>
      <c r="G1499" s="2">
        <v>20</v>
      </c>
      <c r="H1499" s="2" t="s">
        <v>301</v>
      </c>
      <c r="I1499" s="2" t="s">
        <v>695</v>
      </c>
      <c r="J1499" s="2" t="s">
        <v>2537</v>
      </c>
      <c r="K1499" s="2" t="s">
        <v>1855</v>
      </c>
      <c r="L1499" s="2" t="s">
        <v>1188</v>
      </c>
      <c r="M1499" s="2" t="str">
        <f t="shared" si="26"/>
        <v>10</v>
      </c>
      <c r="N1499" s="2" t="s">
        <v>657</v>
      </c>
      <c r="O1499" s="2" t="s">
        <v>4373</v>
      </c>
      <c r="P1499" s="2" t="s">
        <v>4379</v>
      </c>
    </row>
    <row r="1500" spans="1:16">
      <c r="A1500" s="4">
        <v>46248.65284722222</v>
      </c>
      <c r="B1500" s="2" t="s">
        <v>917</v>
      </c>
      <c r="C1500" s="2" t="s">
        <v>1350</v>
      </c>
      <c r="D1500" s="2" t="s">
        <v>3966</v>
      </c>
      <c r="E1500" s="2">
        <v>20</v>
      </c>
      <c r="F1500" s="2"/>
      <c r="G1500" s="2">
        <v>20</v>
      </c>
      <c r="H1500" s="2" t="s">
        <v>301</v>
      </c>
      <c r="I1500" s="2" t="s">
        <v>695</v>
      </c>
      <c r="J1500" s="2" t="s">
        <v>2537</v>
      </c>
      <c r="K1500" s="2" t="s">
        <v>1855</v>
      </c>
      <c r="L1500" s="2" t="s">
        <v>1188</v>
      </c>
      <c r="M1500" s="2" t="str">
        <f t="shared" si="26"/>
        <v>10</v>
      </c>
      <c r="N1500" s="2" t="s">
        <v>295</v>
      </c>
      <c r="O1500" s="2" t="s">
        <v>4373</v>
      </c>
      <c r="P1500" s="2" t="s">
        <v>4379</v>
      </c>
    </row>
    <row r="1501" spans="1:16">
      <c r="A1501" s="4">
        <v>46248.652592592596</v>
      </c>
      <c r="B1501" s="2" t="s">
        <v>43</v>
      </c>
      <c r="C1501" s="2" t="s">
        <v>1350</v>
      </c>
      <c r="D1501" s="2" t="s">
        <v>3966</v>
      </c>
      <c r="E1501" s="2">
        <v>20</v>
      </c>
      <c r="F1501" s="2"/>
      <c r="G1501" s="2">
        <v>20</v>
      </c>
      <c r="H1501" s="2" t="s">
        <v>301</v>
      </c>
      <c r="I1501" s="2" t="s">
        <v>695</v>
      </c>
      <c r="J1501" s="2" t="s">
        <v>2537</v>
      </c>
      <c r="K1501" s="2" t="s">
        <v>1855</v>
      </c>
      <c r="L1501" s="2" t="s">
        <v>1188</v>
      </c>
      <c r="M1501" s="2" t="str">
        <f t="shared" si="26"/>
        <v>10</v>
      </c>
      <c r="N1501" s="2" t="s">
        <v>3492</v>
      </c>
      <c r="O1501" s="2" t="s">
        <v>4373</v>
      </c>
      <c r="P1501" s="2" t="s">
        <v>4379</v>
      </c>
    </row>
    <row r="1502" spans="1:16">
      <c r="A1502" s="4">
        <v>46248.629699074074</v>
      </c>
      <c r="B1502" s="2" t="s">
        <v>2387</v>
      </c>
      <c r="C1502" s="2" t="s">
        <v>1350</v>
      </c>
      <c r="D1502" s="2" t="s">
        <v>3966</v>
      </c>
      <c r="E1502" s="2">
        <v>20</v>
      </c>
      <c r="F1502" s="2"/>
      <c r="G1502" s="2">
        <v>20</v>
      </c>
      <c r="H1502" s="2" t="s">
        <v>301</v>
      </c>
      <c r="I1502" s="2" t="s">
        <v>695</v>
      </c>
      <c r="J1502" s="2" t="s">
        <v>2537</v>
      </c>
      <c r="K1502" s="2" t="s">
        <v>1855</v>
      </c>
      <c r="L1502" s="2" t="s">
        <v>844</v>
      </c>
      <c r="M1502" s="2" t="str">
        <f t="shared" si="26"/>
        <v>01</v>
      </c>
      <c r="N1502" s="2" t="s">
        <v>4256</v>
      </c>
      <c r="O1502" s="2" t="s">
        <v>4373</v>
      </c>
      <c r="P1502" s="2" t="s">
        <v>4379</v>
      </c>
    </row>
    <row r="1503" spans="1:16">
      <c r="A1503" s="4">
        <v>46248.626666666663</v>
      </c>
      <c r="B1503" s="2" t="s">
        <v>2483</v>
      </c>
      <c r="C1503" s="2" t="s">
        <v>1350</v>
      </c>
      <c r="D1503" s="2" t="s">
        <v>3966</v>
      </c>
      <c r="E1503" s="2">
        <v>20</v>
      </c>
      <c r="F1503" s="2"/>
      <c r="G1503" s="2">
        <v>20</v>
      </c>
      <c r="H1503" s="2" t="s">
        <v>301</v>
      </c>
      <c r="I1503" s="2" t="s">
        <v>695</v>
      </c>
      <c r="J1503" s="2" t="s">
        <v>2537</v>
      </c>
      <c r="K1503" s="2" t="s">
        <v>2705</v>
      </c>
      <c r="L1503" s="2" t="s">
        <v>844</v>
      </c>
      <c r="M1503" s="2" t="str">
        <f t="shared" si="26"/>
        <v>01</v>
      </c>
      <c r="N1503" s="2" t="s">
        <v>933</v>
      </c>
      <c r="O1503" s="2" t="s">
        <v>4373</v>
      </c>
      <c r="P1503" s="2" t="s">
        <v>4379</v>
      </c>
    </row>
    <row r="1504" spans="1:16">
      <c r="A1504" s="4">
        <v>46248.622314814813</v>
      </c>
      <c r="B1504" s="2" t="s">
        <v>734</v>
      </c>
      <c r="C1504" s="2" t="s">
        <v>1350</v>
      </c>
      <c r="D1504" s="2" t="s">
        <v>3966</v>
      </c>
      <c r="E1504" s="2">
        <v>20</v>
      </c>
      <c r="F1504" s="2"/>
      <c r="G1504" s="2">
        <v>20</v>
      </c>
      <c r="H1504" s="2" t="s">
        <v>301</v>
      </c>
      <c r="I1504" s="2" t="s">
        <v>695</v>
      </c>
      <c r="J1504" s="2" t="s">
        <v>2537</v>
      </c>
      <c r="K1504" s="2" t="s">
        <v>1855</v>
      </c>
      <c r="L1504" s="2" t="s">
        <v>1188</v>
      </c>
      <c r="M1504" s="2" t="str">
        <f t="shared" si="26"/>
        <v>10</v>
      </c>
      <c r="N1504" s="2" t="s">
        <v>1581</v>
      </c>
      <c r="O1504" s="2" t="s">
        <v>4373</v>
      </c>
      <c r="P1504" s="2" t="s">
        <v>4379</v>
      </c>
    </row>
    <row r="1505" spans="1:16">
      <c r="A1505" s="4">
        <v>46248.621342592596</v>
      </c>
      <c r="B1505" s="2" t="s">
        <v>159</v>
      </c>
      <c r="C1505" s="2" t="s">
        <v>1350</v>
      </c>
      <c r="D1505" s="2" t="s">
        <v>3966</v>
      </c>
      <c r="E1505" s="2">
        <v>20</v>
      </c>
      <c r="F1505" s="2"/>
      <c r="G1505" s="2">
        <v>20</v>
      </c>
      <c r="H1505" s="2" t="s">
        <v>301</v>
      </c>
      <c r="I1505" s="2" t="s">
        <v>695</v>
      </c>
      <c r="J1505" s="2" t="s">
        <v>2537</v>
      </c>
      <c r="K1505" s="2" t="s">
        <v>1855</v>
      </c>
      <c r="L1505" s="2" t="s">
        <v>1188</v>
      </c>
      <c r="M1505" s="2" t="str">
        <f t="shared" si="26"/>
        <v>10</v>
      </c>
      <c r="N1505" s="2" t="s">
        <v>2530</v>
      </c>
      <c r="O1505" s="2" t="s">
        <v>4373</v>
      </c>
      <c r="P1505" s="2" t="s">
        <v>4379</v>
      </c>
    </row>
    <row r="1506" spans="1:16">
      <c r="A1506" s="4">
        <v>46248.62127314815</v>
      </c>
      <c r="B1506" s="2" t="s">
        <v>1940</v>
      </c>
      <c r="C1506" s="2" t="s">
        <v>1350</v>
      </c>
      <c r="D1506" s="2" t="s">
        <v>3966</v>
      </c>
      <c r="E1506" s="2">
        <v>20</v>
      </c>
      <c r="F1506" s="2"/>
      <c r="G1506" s="2">
        <v>20</v>
      </c>
      <c r="H1506" s="2" t="s">
        <v>301</v>
      </c>
      <c r="I1506" s="2" t="s">
        <v>695</v>
      </c>
      <c r="J1506" s="2" t="s">
        <v>2537</v>
      </c>
      <c r="K1506" s="2" t="s">
        <v>1855</v>
      </c>
      <c r="L1506" s="2" t="s">
        <v>1188</v>
      </c>
      <c r="M1506" s="2" t="str">
        <f t="shared" si="26"/>
        <v>10</v>
      </c>
      <c r="N1506" s="2" t="s">
        <v>3043</v>
      </c>
      <c r="O1506" s="2" t="s">
        <v>4373</v>
      </c>
      <c r="P1506" s="2" t="s">
        <v>4379</v>
      </c>
    </row>
    <row r="1507" spans="1:16">
      <c r="A1507" s="4">
        <v>46248.61954861111</v>
      </c>
      <c r="B1507" s="2" t="s">
        <v>1911</v>
      </c>
      <c r="C1507" s="2" t="s">
        <v>1350</v>
      </c>
      <c r="D1507" s="2" t="s">
        <v>3966</v>
      </c>
      <c r="E1507" s="2">
        <v>20</v>
      </c>
      <c r="F1507" s="2"/>
      <c r="G1507" s="2">
        <v>20</v>
      </c>
      <c r="H1507" s="2" t="s">
        <v>301</v>
      </c>
      <c r="I1507" s="2" t="s">
        <v>695</v>
      </c>
      <c r="J1507" s="2" t="s">
        <v>2537</v>
      </c>
      <c r="K1507" s="2" t="s">
        <v>1855</v>
      </c>
      <c r="L1507" s="2" t="s">
        <v>1188</v>
      </c>
      <c r="M1507" s="2" t="str">
        <f t="shared" si="26"/>
        <v>10</v>
      </c>
      <c r="N1507" s="2" t="s">
        <v>4365</v>
      </c>
      <c r="O1507" s="2" t="s">
        <v>4373</v>
      </c>
      <c r="P1507" s="2" t="s">
        <v>4379</v>
      </c>
    </row>
    <row r="1508" spans="1:16">
      <c r="A1508" s="4">
        <v>46248.619270833333</v>
      </c>
      <c r="B1508" s="2" t="s">
        <v>436</v>
      </c>
      <c r="C1508" s="2" t="s">
        <v>1350</v>
      </c>
      <c r="D1508" s="2" t="s">
        <v>3966</v>
      </c>
      <c r="E1508" s="2">
        <v>20</v>
      </c>
      <c r="F1508" s="2"/>
      <c r="G1508" s="2">
        <v>20</v>
      </c>
      <c r="H1508" s="2" t="s">
        <v>301</v>
      </c>
      <c r="I1508" s="2" t="s">
        <v>695</v>
      </c>
      <c r="J1508" s="2" t="s">
        <v>2537</v>
      </c>
      <c r="K1508" s="2" t="s">
        <v>1855</v>
      </c>
      <c r="L1508" s="2" t="s">
        <v>1188</v>
      </c>
      <c r="M1508" s="2" t="str">
        <f t="shared" si="26"/>
        <v>10</v>
      </c>
      <c r="N1508" s="2" t="s">
        <v>3743</v>
      </c>
      <c r="O1508" s="2" t="s">
        <v>4373</v>
      </c>
      <c r="P1508" s="2" t="s">
        <v>4379</v>
      </c>
    </row>
    <row r="1509" spans="1:16">
      <c r="A1509" s="4">
        <v>46248.617650462962</v>
      </c>
      <c r="B1509" s="2" t="s">
        <v>525</v>
      </c>
      <c r="C1509" s="2" t="s">
        <v>1350</v>
      </c>
      <c r="D1509" s="2" t="s">
        <v>3966</v>
      </c>
      <c r="E1509" s="2">
        <v>20</v>
      </c>
      <c r="F1509" s="2"/>
      <c r="G1509" s="2">
        <v>20</v>
      </c>
      <c r="H1509" s="2" t="s">
        <v>301</v>
      </c>
      <c r="I1509" s="2" t="s">
        <v>695</v>
      </c>
      <c r="J1509" s="2" t="s">
        <v>2537</v>
      </c>
      <c r="K1509" s="2" t="s">
        <v>1855</v>
      </c>
      <c r="L1509" s="2" t="s">
        <v>1188</v>
      </c>
      <c r="M1509" s="2" t="str">
        <f t="shared" si="26"/>
        <v>10</v>
      </c>
      <c r="N1509" s="2" t="s">
        <v>1691</v>
      </c>
      <c r="O1509" s="2" t="s">
        <v>4373</v>
      </c>
      <c r="P1509" s="2" t="s">
        <v>4379</v>
      </c>
    </row>
    <row r="1510" spans="1:16">
      <c r="A1510" s="4">
        <v>46248.617534722223</v>
      </c>
      <c r="B1510" s="2" t="s">
        <v>2506</v>
      </c>
      <c r="C1510" s="2" t="s">
        <v>1350</v>
      </c>
      <c r="D1510" s="2" t="s">
        <v>3966</v>
      </c>
      <c r="E1510" s="2">
        <v>20</v>
      </c>
      <c r="F1510" s="2"/>
      <c r="G1510" s="2">
        <v>20</v>
      </c>
      <c r="H1510" s="2" t="s">
        <v>301</v>
      </c>
      <c r="I1510" s="2" t="s">
        <v>695</v>
      </c>
      <c r="J1510" s="2" t="s">
        <v>2537</v>
      </c>
      <c r="K1510" s="2" t="s">
        <v>1855</v>
      </c>
      <c r="L1510" s="2" t="s">
        <v>1188</v>
      </c>
      <c r="M1510" s="2" t="str">
        <f t="shared" si="26"/>
        <v>10</v>
      </c>
      <c r="N1510" s="2" t="s">
        <v>1674</v>
      </c>
      <c r="O1510" s="2" t="s">
        <v>4373</v>
      </c>
      <c r="P1510" s="2" t="s">
        <v>4379</v>
      </c>
    </row>
    <row r="1511" spans="1:16">
      <c r="A1511" s="4">
        <v>46248.615312499998</v>
      </c>
      <c r="B1511" s="2" t="s">
        <v>3883</v>
      </c>
      <c r="C1511" s="2" t="s">
        <v>1350</v>
      </c>
      <c r="D1511" s="2" t="s">
        <v>3966</v>
      </c>
      <c r="E1511" s="2">
        <v>20</v>
      </c>
      <c r="F1511" s="2"/>
      <c r="G1511" s="2">
        <v>20</v>
      </c>
      <c r="H1511" s="2" t="s">
        <v>301</v>
      </c>
      <c r="I1511" s="2" t="s">
        <v>695</v>
      </c>
      <c r="J1511" s="2" t="s">
        <v>2537</v>
      </c>
      <c r="K1511" s="2" t="s">
        <v>1855</v>
      </c>
      <c r="L1511" s="2" t="s">
        <v>1188</v>
      </c>
      <c r="M1511" s="2" t="str">
        <f t="shared" si="26"/>
        <v>10</v>
      </c>
      <c r="N1511" s="2" t="s">
        <v>1833</v>
      </c>
      <c r="O1511" s="2" t="s">
        <v>4373</v>
      </c>
      <c r="P1511" s="2" t="s">
        <v>4379</v>
      </c>
    </row>
    <row r="1512" spans="1:16">
      <c r="A1512" s="4">
        <v>46248.612939814811</v>
      </c>
      <c r="B1512" s="2" t="s">
        <v>984</v>
      </c>
      <c r="C1512" s="2" t="s">
        <v>1350</v>
      </c>
      <c r="D1512" s="2" t="s">
        <v>3966</v>
      </c>
      <c r="E1512" s="2">
        <v>20</v>
      </c>
      <c r="F1512" s="2"/>
      <c r="G1512" s="2">
        <v>20</v>
      </c>
      <c r="H1512" s="2" t="s">
        <v>301</v>
      </c>
      <c r="I1512" s="2" t="s">
        <v>695</v>
      </c>
      <c r="J1512" s="2" t="s">
        <v>2537</v>
      </c>
      <c r="K1512" s="2" t="s">
        <v>1855</v>
      </c>
      <c r="L1512" s="2" t="s">
        <v>1188</v>
      </c>
      <c r="M1512" s="2" t="str">
        <f t="shared" si="26"/>
        <v>10</v>
      </c>
      <c r="N1512" s="2" t="s">
        <v>504</v>
      </c>
      <c r="O1512" s="2" t="s">
        <v>4373</v>
      </c>
      <c r="P1512" s="2" t="s">
        <v>4379</v>
      </c>
    </row>
    <row r="1513" spans="1:16">
      <c r="A1513" s="4">
        <v>46248.612858796296</v>
      </c>
      <c r="B1513" s="2" t="s">
        <v>3196</v>
      </c>
      <c r="C1513" s="2" t="s">
        <v>1350</v>
      </c>
      <c r="D1513" s="2" t="s">
        <v>3966</v>
      </c>
      <c r="E1513" s="2">
        <v>20</v>
      </c>
      <c r="F1513" s="2"/>
      <c r="G1513" s="2">
        <v>20</v>
      </c>
      <c r="H1513" s="2" t="s">
        <v>301</v>
      </c>
      <c r="I1513" s="2" t="s">
        <v>695</v>
      </c>
      <c r="J1513" s="2" t="s">
        <v>2537</v>
      </c>
      <c r="K1513" s="2" t="s">
        <v>1855</v>
      </c>
      <c r="L1513" s="2" t="s">
        <v>1188</v>
      </c>
      <c r="M1513" s="2" t="str">
        <f t="shared" si="26"/>
        <v>10</v>
      </c>
      <c r="N1513" s="2" t="s">
        <v>1493</v>
      </c>
      <c r="O1513" s="2" t="s">
        <v>4373</v>
      </c>
      <c r="P1513" s="2" t="s">
        <v>4379</v>
      </c>
    </row>
    <row r="1514" spans="1:16">
      <c r="A1514" s="4">
        <v>46248.610451388886</v>
      </c>
      <c r="B1514" s="2" t="s">
        <v>1209</v>
      </c>
      <c r="C1514" s="2" t="s">
        <v>1350</v>
      </c>
      <c r="D1514" s="2" t="s">
        <v>3966</v>
      </c>
      <c r="E1514" s="2">
        <v>20</v>
      </c>
      <c r="F1514" s="2"/>
      <c r="G1514" s="2">
        <v>20</v>
      </c>
      <c r="H1514" s="2" t="s">
        <v>301</v>
      </c>
      <c r="I1514" s="2" t="s">
        <v>695</v>
      </c>
      <c r="J1514" s="2" t="s">
        <v>2537</v>
      </c>
      <c r="K1514" s="2" t="s">
        <v>1855</v>
      </c>
      <c r="L1514" s="2" t="s">
        <v>1188</v>
      </c>
      <c r="M1514" s="2" t="str">
        <f t="shared" si="26"/>
        <v>10</v>
      </c>
      <c r="N1514" s="2" t="s">
        <v>881</v>
      </c>
      <c r="O1514" s="2" t="s">
        <v>4373</v>
      </c>
      <c r="P1514" s="2" t="s">
        <v>4379</v>
      </c>
    </row>
    <row r="1515" spans="1:16">
      <c r="A1515" s="4">
        <v>46248.610300925924</v>
      </c>
      <c r="B1515" s="2" t="s">
        <v>3106</v>
      </c>
      <c r="C1515" s="2" t="s">
        <v>1350</v>
      </c>
      <c r="D1515" s="2" t="s">
        <v>3966</v>
      </c>
      <c r="E1515" s="2">
        <v>20</v>
      </c>
      <c r="F1515" s="2"/>
      <c r="G1515" s="2">
        <v>20</v>
      </c>
      <c r="H1515" s="2" t="s">
        <v>301</v>
      </c>
      <c r="I1515" s="2" t="s">
        <v>695</v>
      </c>
      <c r="J1515" s="2" t="s">
        <v>2537</v>
      </c>
      <c r="K1515" s="2" t="s">
        <v>1855</v>
      </c>
      <c r="L1515" s="2" t="s">
        <v>1188</v>
      </c>
      <c r="M1515" s="2" t="str">
        <f t="shared" si="26"/>
        <v>10</v>
      </c>
      <c r="N1515" s="2" t="s">
        <v>3202</v>
      </c>
      <c r="O1515" s="2" t="s">
        <v>4373</v>
      </c>
      <c r="P1515" s="2" t="s">
        <v>4379</v>
      </c>
    </row>
    <row r="1516" spans="1:16">
      <c r="A1516" s="4">
        <v>46248.608807870369</v>
      </c>
      <c r="B1516" s="2" t="s">
        <v>4249</v>
      </c>
      <c r="C1516" s="2" t="s">
        <v>1350</v>
      </c>
      <c r="D1516" s="2" t="s">
        <v>3966</v>
      </c>
      <c r="E1516" s="2">
        <v>20</v>
      </c>
      <c r="F1516" s="2"/>
      <c r="G1516" s="2">
        <v>20</v>
      </c>
      <c r="H1516" s="2" t="s">
        <v>301</v>
      </c>
      <c r="I1516" s="2" t="s">
        <v>695</v>
      </c>
      <c r="J1516" s="2" t="s">
        <v>2537</v>
      </c>
      <c r="K1516" s="2" t="s">
        <v>1855</v>
      </c>
      <c r="L1516" s="2" t="s">
        <v>1188</v>
      </c>
      <c r="M1516" s="2" t="str">
        <f t="shared" si="26"/>
        <v>10</v>
      </c>
      <c r="N1516" s="2" t="s">
        <v>1427</v>
      </c>
      <c r="O1516" s="2" t="s">
        <v>4373</v>
      </c>
      <c r="P1516" s="2" t="s">
        <v>4379</v>
      </c>
    </row>
    <row r="1517" spans="1:16">
      <c r="A1517" s="4">
        <v>46248.608576388891</v>
      </c>
      <c r="B1517" s="2" t="s">
        <v>2885</v>
      </c>
      <c r="C1517" s="2" t="s">
        <v>1350</v>
      </c>
      <c r="D1517" s="2" t="s">
        <v>3966</v>
      </c>
      <c r="E1517" s="2">
        <v>20</v>
      </c>
      <c r="F1517" s="2"/>
      <c r="G1517" s="2">
        <v>20</v>
      </c>
      <c r="H1517" s="2" t="s">
        <v>301</v>
      </c>
      <c r="I1517" s="2" t="s">
        <v>695</v>
      </c>
      <c r="J1517" s="2" t="s">
        <v>2537</v>
      </c>
      <c r="K1517" s="2" t="s">
        <v>1855</v>
      </c>
      <c r="L1517" s="2" t="s">
        <v>1188</v>
      </c>
      <c r="M1517" s="2" t="str">
        <f t="shared" si="26"/>
        <v>10</v>
      </c>
      <c r="N1517" s="2" t="s">
        <v>3062</v>
      </c>
      <c r="O1517" s="2" t="s">
        <v>4373</v>
      </c>
      <c r="P1517" s="2" t="s">
        <v>4379</v>
      </c>
    </row>
    <row r="1518" spans="1:16">
      <c r="A1518" s="4">
        <v>46248.607835648145</v>
      </c>
      <c r="B1518" s="2" t="s">
        <v>1864</v>
      </c>
      <c r="C1518" s="2" t="s">
        <v>1350</v>
      </c>
      <c r="D1518" s="2" t="s">
        <v>3966</v>
      </c>
      <c r="E1518" s="2">
        <v>20</v>
      </c>
      <c r="F1518" s="2"/>
      <c r="G1518" s="2">
        <v>20</v>
      </c>
      <c r="H1518" s="2" t="s">
        <v>301</v>
      </c>
      <c r="I1518" s="2" t="s">
        <v>695</v>
      </c>
      <c r="J1518" s="2" t="s">
        <v>2537</v>
      </c>
      <c r="K1518" s="2" t="s">
        <v>1855</v>
      </c>
      <c r="L1518" s="2" t="s">
        <v>1188</v>
      </c>
      <c r="M1518" s="2" t="str">
        <f t="shared" si="26"/>
        <v>10</v>
      </c>
      <c r="N1518" s="2" t="s">
        <v>4139</v>
      </c>
      <c r="O1518" s="2" t="s">
        <v>4373</v>
      </c>
      <c r="P1518" s="2" t="s">
        <v>4379</v>
      </c>
    </row>
    <row r="1519" spans="1:16">
      <c r="A1519" s="4">
        <v>46248.606469907405</v>
      </c>
      <c r="B1519" s="2" t="s">
        <v>275</v>
      </c>
      <c r="C1519" s="2" t="s">
        <v>1350</v>
      </c>
      <c r="D1519" s="2" t="s">
        <v>3966</v>
      </c>
      <c r="E1519" s="2">
        <v>20</v>
      </c>
      <c r="F1519" s="2"/>
      <c r="G1519" s="2">
        <v>20</v>
      </c>
      <c r="H1519" s="2" t="s">
        <v>301</v>
      </c>
      <c r="I1519" s="2" t="s">
        <v>695</v>
      </c>
      <c r="J1519" s="2" t="s">
        <v>2537</v>
      </c>
      <c r="K1519" s="2" t="s">
        <v>1855</v>
      </c>
      <c r="L1519" s="2" t="s">
        <v>1188</v>
      </c>
      <c r="M1519" s="2" t="str">
        <f t="shared" si="26"/>
        <v>10</v>
      </c>
      <c r="N1519" s="2" t="s">
        <v>1654</v>
      </c>
      <c r="O1519" s="2" t="s">
        <v>4373</v>
      </c>
      <c r="P1519" s="2" t="s">
        <v>4379</v>
      </c>
    </row>
    <row r="1520" spans="1:16">
      <c r="A1520" s="4">
        <v>46248.603935185187</v>
      </c>
      <c r="B1520" s="2" t="s">
        <v>4252</v>
      </c>
      <c r="C1520" s="2" t="s">
        <v>1350</v>
      </c>
      <c r="D1520" s="2" t="s">
        <v>3966</v>
      </c>
      <c r="E1520" s="2">
        <v>20</v>
      </c>
      <c r="F1520" s="2"/>
      <c r="G1520" s="2">
        <v>20</v>
      </c>
      <c r="H1520" s="2" t="s">
        <v>301</v>
      </c>
      <c r="I1520" s="2" t="s">
        <v>695</v>
      </c>
      <c r="J1520" s="2" t="s">
        <v>2537</v>
      </c>
      <c r="K1520" s="2" t="s">
        <v>1855</v>
      </c>
      <c r="L1520" s="2" t="s">
        <v>1188</v>
      </c>
      <c r="M1520" s="2" t="str">
        <f t="shared" si="26"/>
        <v>10</v>
      </c>
      <c r="N1520" s="2" t="s">
        <v>1005</v>
      </c>
      <c r="O1520" s="2" t="s">
        <v>4373</v>
      </c>
      <c r="P1520" s="2" t="s">
        <v>4379</v>
      </c>
    </row>
    <row r="1521" spans="1:16">
      <c r="A1521" s="4">
        <v>46248.603738425925</v>
      </c>
      <c r="B1521" s="2" t="s">
        <v>153</v>
      </c>
      <c r="C1521" s="2" t="s">
        <v>1350</v>
      </c>
      <c r="D1521" s="2" t="s">
        <v>3966</v>
      </c>
      <c r="E1521" s="2">
        <v>20</v>
      </c>
      <c r="F1521" s="2"/>
      <c r="G1521" s="2">
        <v>20</v>
      </c>
      <c r="H1521" s="2" t="s">
        <v>301</v>
      </c>
      <c r="I1521" s="2" t="s">
        <v>695</v>
      </c>
      <c r="J1521" s="2" t="s">
        <v>2537</v>
      </c>
      <c r="K1521" s="2" t="s">
        <v>1855</v>
      </c>
      <c r="L1521" s="2" t="s">
        <v>1188</v>
      </c>
      <c r="M1521" s="2" t="str">
        <f t="shared" si="26"/>
        <v>10</v>
      </c>
      <c r="N1521" s="2" t="s">
        <v>2288</v>
      </c>
      <c r="O1521" s="2" t="s">
        <v>4373</v>
      </c>
      <c r="P1521" s="2" t="s">
        <v>4379</v>
      </c>
    </row>
    <row r="1522" spans="1:16">
      <c r="A1522" s="4">
        <v>46248.601851851854</v>
      </c>
      <c r="B1522" s="2" t="s">
        <v>1293</v>
      </c>
      <c r="C1522" s="2" t="s">
        <v>1350</v>
      </c>
      <c r="D1522" s="2" t="s">
        <v>3966</v>
      </c>
      <c r="E1522" s="2">
        <v>20</v>
      </c>
      <c r="F1522" s="2"/>
      <c r="G1522" s="2">
        <v>20</v>
      </c>
      <c r="H1522" s="2" t="s">
        <v>301</v>
      </c>
      <c r="I1522" s="2" t="s">
        <v>695</v>
      </c>
      <c r="J1522" s="2" t="s">
        <v>2537</v>
      </c>
      <c r="K1522" s="2" t="s">
        <v>1855</v>
      </c>
      <c r="L1522" s="2" t="s">
        <v>1188</v>
      </c>
      <c r="M1522" s="2" t="str">
        <f t="shared" si="26"/>
        <v>10</v>
      </c>
      <c r="N1522" s="2" t="s">
        <v>1734</v>
      </c>
      <c r="O1522" s="2" t="s">
        <v>4373</v>
      </c>
      <c r="P1522" s="2" t="s">
        <v>4379</v>
      </c>
    </row>
    <row r="1523" spans="1:16">
      <c r="A1523" s="4">
        <v>46248.601712962962</v>
      </c>
      <c r="B1523" s="2" t="s">
        <v>819</v>
      </c>
      <c r="C1523" s="2" t="s">
        <v>1350</v>
      </c>
      <c r="D1523" s="2" t="s">
        <v>3966</v>
      </c>
      <c r="E1523" s="2">
        <v>20</v>
      </c>
      <c r="F1523" s="2"/>
      <c r="G1523" s="2">
        <v>20</v>
      </c>
      <c r="H1523" s="2" t="s">
        <v>301</v>
      </c>
      <c r="I1523" s="2" t="s">
        <v>695</v>
      </c>
      <c r="J1523" s="2" t="s">
        <v>2537</v>
      </c>
      <c r="K1523" s="2" t="s">
        <v>1855</v>
      </c>
      <c r="L1523" s="2" t="s">
        <v>1188</v>
      </c>
      <c r="M1523" s="2" t="str">
        <f t="shared" si="26"/>
        <v>10</v>
      </c>
      <c r="N1523" s="2" t="s">
        <v>4052</v>
      </c>
      <c r="O1523" s="2" t="s">
        <v>4373</v>
      </c>
      <c r="P1523" s="2" t="s">
        <v>4379</v>
      </c>
    </row>
    <row r="1524" spans="1:16">
      <c r="A1524" s="4">
        <v>46247.987569444442</v>
      </c>
      <c r="B1524" s="2" t="s">
        <v>4226</v>
      </c>
      <c r="C1524" s="2" t="s">
        <v>1350</v>
      </c>
      <c r="D1524" s="2" t="s">
        <v>3966</v>
      </c>
      <c r="E1524" s="2">
        <v>20</v>
      </c>
      <c r="F1524" s="2"/>
      <c r="G1524" s="2">
        <v>20</v>
      </c>
      <c r="H1524" s="2" t="s">
        <v>693</v>
      </c>
      <c r="I1524" s="2" t="s">
        <v>695</v>
      </c>
      <c r="J1524" s="2" t="s">
        <v>2537</v>
      </c>
      <c r="K1524" s="2" t="s">
        <v>1855</v>
      </c>
      <c r="L1524" s="2" t="s">
        <v>2564</v>
      </c>
      <c r="M1524" s="2" t="str">
        <f t="shared" si="26"/>
        <v>07</v>
      </c>
      <c r="N1524" s="2" t="s">
        <v>2038</v>
      </c>
      <c r="O1524" s="2" t="s">
        <v>4373</v>
      </c>
      <c r="P1524" s="2" t="s">
        <v>4380</v>
      </c>
    </row>
    <row r="1525" spans="1:16">
      <c r="A1525" s="4">
        <v>46247.987488425926</v>
      </c>
      <c r="B1525" s="2" t="s">
        <v>2278</v>
      </c>
      <c r="C1525" s="2" t="s">
        <v>1350</v>
      </c>
      <c r="D1525" s="2" t="s">
        <v>3966</v>
      </c>
      <c r="E1525" s="2">
        <v>20</v>
      </c>
      <c r="F1525" s="2"/>
      <c r="G1525" s="2">
        <v>20</v>
      </c>
      <c r="H1525" s="2" t="s">
        <v>693</v>
      </c>
      <c r="I1525" s="2" t="s">
        <v>695</v>
      </c>
      <c r="J1525" s="2" t="s">
        <v>2537</v>
      </c>
      <c r="K1525" s="2" t="s">
        <v>1855</v>
      </c>
      <c r="L1525" s="2" t="s">
        <v>2564</v>
      </c>
      <c r="M1525" s="2" t="str">
        <f t="shared" si="26"/>
        <v>07</v>
      </c>
      <c r="N1525" s="2" t="s">
        <v>956</v>
      </c>
      <c r="O1525" s="2" t="s">
        <v>4373</v>
      </c>
      <c r="P1525" s="2" t="s">
        <v>4380</v>
      </c>
    </row>
    <row r="1526" spans="1:16">
      <c r="A1526" s="4">
        <v>46247.986250000002</v>
      </c>
      <c r="B1526" s="2" t="s">
        <v>3144</v>
      </c>
      <c r="C1526" s="2" t="s">
        <v>1350</v>
      </c>
      <c r="D1526" s="2" t="s">
        <v>3966</v>
      </c>
      <c r="E1526" s="2">
        <v>20</v>
      </c>
      <c r="F1526" s="2"/>
      <c r="G1526" s="2">
        <v>20</v>
      </c>
      <c r="H1526" s="2" t="s">
        <v>693</v>
      </c>
      <c r="I1526" s="2" t="s">
        <v>695</v>
      </c>
      <c r="J1526" s="2" t="s">
        <v>2537</v>
      </c>
      <c r="K1526" s="2" t="s">
        <v>1855</v>
      </c>
      <c r="L1526" s="2" t="s">
        <v>2564</v>
      </c>
      <c r="M1526" s="2" t="str">
        <f t="shared" si="26"/>
        <v>07</v>
      </c>
      <c r="N1526" s="2" t="s">
        <v>39</v>
      </c>
      <c r="O1526" s="2" t="s">
        <v>4373</v>
      </c>
      <c r="P1526" s="2" t="s">
        <v>4380</v>
      </c>
    </row>
    <row r="1527" spans="1:16">
      <c r="A1527" s="4">
        <v>46247.986111111109</v>
      </c>
      <c r="B1527" s="2" t="s">
        <v>1554</v>
      </c>
      <c r="C1527" s="2" t="s">
        <v>1350</v>
      </c>
      <c r="D1527" s="2" t="s">
        <v>3966</v>
      </c>
      <c r="E1527" s="2">
        <v>20</v>
      </c>
      <c r="F1527" s="2"/>
      <c r="G1527" s="2">
        <v>20</v>
      </c>
      <c r="H1527" s="2" t="s">
        <v>693</v>
      </c>
      <c r="I1527" s="2" t="s">
        <v>695</v>
      </c>
      <c r="J1527" s="2" t="s">
        <v>2537</v>
      </c>
      <c r="K1527" s="2" t="s">
        <v>1855</v>
      </c>
      <c r="L1527" s="2" t="s">
        <v>2564</v>
      </c>
      <c r="M1527" s="2" t="str">
        <f t="shared" si="26"/>
        <v>07</v>
      </c>
      <c r="N1527" s="2" t="s">
        <v>1644</v>
      </c>
      <c r="O1527" s="2" t="s">
        <v>4373</v>
      </c>
      <c r="P1527" s="2" t="s">
        <v>4380</v>
      </c>
    </row>
    <row r="1528" spans="1:16">
      <c r="A1528" s="4">
        <v>46247.985497685186</v>
      </c>
      <c r="B1528" s="2" t="s">
        <v>520</v>
      </c>
      <c r="C1528" s="2" t="s">
        <v>1350</v>
      </c>
      <c r="D1528" s="2" t="s">
        <v>3966</v>
      </c>
      <c r="E1528" s="2">
        <v>20</v>
      </c>
      <c r="F1528" s="2"/>
      <c r="G1528" s="2">
        <v>20</v>
      </c>
      <c r="H1528" s="2" t="s">
        <v>693</v>
      </c>
      <c r="I1528" s="2" t="s">
        <v>695</v>
      </c>
      <c r="J1528" s="2" t="s">
        <v>2537</v>
      </c>
      <c r="K1528" s="2" t="s">
        <v>1855</v>
      </c>
      <c r="L1528" s="2" t="s">
        <v>2564</v>
      </c>
      <c r="M1528" s="2" t="str">
        <f t="shared" si="26"/>
        <v>07</v>
      </c>
      <c r="N1528" s="2" t="s">
        <v>1659</v>
      </c>
      <c r="O1528" s="2" t="s">
        <v>4373</v>
      </c>
      <c r="P1528" s="2" t="s">
        <v>4380</v>
      </c>
    </row>
    <row r="1529" spans="1:16">
      <c r="A1529" s="4">
        <v>46247.985162037039</v>
      </c>
      <c r="B1529" s="2" t="s">
        <v>2287</v>
      </c>
      <c r="C1529" s="2" t="s">
        <v>1350</v>
      </c>
      <c r="D1529" s="2" t="s">
        <v>3966</v>
      </c>
      <c r="E1529" s="2">
        <v>20</v>
      </c>
      <c r="F1529" s="2"/>
      <c r="G1529" s="2">
        <v>20</v>
      </c>
      <c r="H1529" s="2" t="s">
        <v>693</v>
      </c>
      <c r="I1529" s="2" t="s">
        <v>695</v>
      </c>
      <c r="J1529" s="2" t="s">
        <v>2537</v>
      </c>
      <c r="K1529" s="2" t="s">
        <v>1855</v>
      </c>
      <c r="L1529" s="2" t="s">
        <v>2564</v>
      </c>
      <c r="M1529" s="2" t="str">
        <f t="shared" si="26"/>
        <v>07</v>
      </c>
      <c r="N1529" s="2" t="s">
        <v>2192</v>
      </c>
      <c r="O1529" s="2" t="s">
        <v>4373</v>
      </c>
      <c r="P1529" s="2" t="s">
        <v>4380</v>
      </c>
    </row>
    <row r="1530" spans="1:16">
      <c r="A1530" s="4">
        <v>46247.984178240738</v>
      </c>
      <c r="B1530" s="2" t="s">
        <v>3198</v>
      </c>
      <c r="C1530" s="2" t="s">
        <v>1350</v>
      </c>
      <c r="D1530" s="2" t="s">
        <v>3966</v>
      </c>
      <c r="E1530" s="2">
        <v>20</v>
      </c>
      <c r="F1530" s="2"/>
      <c r="G1530" s="2">
        <v>20</v>
      </c>
      <c r="H1530" s="2" t="s">
        <v>693</v>
      </c>
      <c r="I1530" s="2" t="s">
        <v>695</v>
      </c>
      <c r="J1530" s="2" t="s">
        <v>2537</v>
      </c>
      <c r="K1530" s="2" t="s">
        <v>1855</v>
      </c>
      <c r="L1530" s="2" t="s">
        <v>2564</v>
      </c>
      <c r="M1530" s="2" t="str">
        <f t="shared" si="26"/>
        <v>07</v>
      </c>
      <c r="N1530" s="2" t="s">
        <v>1626</v>
      </c>
      <c r="O1530" s="2" t="s">
        <v>4373</v>
      </c>
      <c r="P1530" s="2" t="s">
        <v>4380</v>
      </c>
    </row>
    <row r="1531" spans="1:16">
      <c r="A1531" s="4">
        <v>46247.984016203707</v>
      </c>
      <c r="B1531" s="2" t="s">
        <v>3911</v>
      </c>
      <c r="C1531" s="2" t="s">
        <v>1350</v>
      </c>
      <c r="D1531" s="2" t="s">
        <v>3966</v>
      </c>
      <c r="E1531" s="2">
        <v>20</v>
      </c>
      <c r="F1531" s="2"/>
      <c r="G1531" s="2">
        <v>20</v>
      </c>
      <c r="H1531" s="2" t="s">
        <v>693</v>
      </c>
      <c r="I1531" s="2" t="s">
        <v>695</v>
      </c>
      <c r="J1531" s="2" t="s">
        <v>2537</v>
      </c>
      <c r="K1531" s="2" t="s">
        <v>1855</v>
      </c>
      <c r="L1531" s="2" t="s">
        <v>2564</v>
      </c>
      <c r="M1531" s="2" t="str">
        <f t="shared" si="26"/>
        <v>07</v>
      </c>
      <c r="N1531" s="2" t="s">
        <v>577</v>
      </c>
      <c r="O1531" s="2" t="s">
        <v>4373</v>
      </c>
      <c r="P1531" s="2" t="s">
        <v>4380</v>
      </c>
    </row>
    <row r="1532" spans="1:16">
      <c r="A1532" s="4">
        <v>46247.983935185184</v>
      </c>
      <c r="B1532" s="2" t="s">
        <v>584</v>
      </c>
      <c r="C1532" s="2" t="s">
        <v>1350</v>
      </c>
      <c r="D1532" s="2" t="s">
        <v>3966</v>
      </c>
      <c r="E1532" s="2">
        <v>20</v>
      </c>
      <c r="F1532" s="2"/>
      <c r="G1532" s="2">
        <v>20</v>
      </c>
      <c r="H1532" s="2" t="s">
        <v>693</v>
      </c>
      <c r="I1532" s="2" t="s">
        <v>695</v>
      </c>
      <c r="J1532" s="2" t="s">
        <v>2537</v>
      </c>
      <c r="K1532" s="2" t="s">
        <v>1855</v>
      </c>
      <c r="L1532" s="2" t="s">
        <v>2564</v>
      </c>
      <c r="M1532" s="2" t="str">
        <f t="shared" si="26"/>
        <v>07</v>
      </c>
      <c r="N1532" s="2" t="s">
        <v>3229</v>
      </c>
      <c r="O1532" s="2" t="s">
        <v>4373</v>
      </c>
      <c r="P1532" s="2" t="s">
        <v>4380</v>
      </c>
    </row>
    <row r="1533" spans="1:16">
      <c r="A1533" s="4">
        <v>46247.980509259258</v>
      </c>
      <c r="B1533" s="2" t="s">
        <v>4205</v>
      </c>
      <c r="C1533" s="2" t="s">
        <v>1350</v>
      </c>
      <c r="D1533" s="2" t="s">
        <v>3966</v>
      </c>
      <c r="E1533" s="2">
        <v>20</v>
      </c>
      <c r="F1533" s="2"/>
      <c r="G1533" s="2">
        <v>20</v>
      </c>
      <c r="H1533" s="2" t="s">
        <v>693</v>
      </c>
      <c r="I1533" s="2" t="s">
        <v>695</v>
      </c>
      <c r="J1533" s="2" t="s">
        <v>2537</v>
      </c>
      <c r="K1533" s="2" t="s">
        <v>1855</v>
      </c>
      <c r="L1533" s="2" t="s">
        <v>2564</v>
      </c>
      <c r="M1533" s="2" t="str">
        <f t="shared" si="26"/>
        <v>07</v>
      </c>
      <c r="N1533" s="2" t="s">
        <v>1876</v>
      </c>
      <c r="O1533" s="2" t="s">
        <v>4373</v>
      </c>
      <c r="P1533" s="2" t="s">
        <v>4380</v>
      </c>
    </row>
    <row r="1534" spans="1:16">
      <c r="A1534" s="4">
        <v>46247.980150462965</v>
      </c>
      <c r="B1534" s="2" t="s">
        <v>2107</v>
      </c>
      <c r="C1534" s="2" t="s">
        <v>1350</v>
      </c>
      <c r="D1534" s="2" t="s">
        <v>3966</v>
      </c>
      <c r="E1534" s="2">
        <v>20</v>
      </c>
      <c r="F1534" s="2"/>
      <c r="G1534" s="2">
        <v>20</v>
      </c>
      <c r="H1534" s="2" t="s">
        <v>693</v>
      </c>
      <c r="I1534" s="2" t="s">
        <v>695</v>
      </c>
      <c r="J1534" s="2" t="s">
        <v>2537</v>
      </c>
      <c r="K1534" s="2" t="s">
        <v>1855</v>
      </c>
      <c r="L1534" s="2" t="s">
        <v>2564</v>
      </c>
      <c r="M1534" s="2" t="str">
        <f t="shared" si="26"/>
        <v>07</v>
      </c>
      <c r="N1534" s="2" t="s">
        <v>3477</v>
      </c>
      <c r="O1534" s="2" t="s">
        <v>4373</v>
      </c>
      <c r="P1534" s="2" t="s">
        <v>4380</v>
      </c>
    </row>
    <row r="1535" spans="1:16">
      <c r="A1535" s="4">
        <v>46247.979097222225</v>
      </c>
      <c r="B1535" s="2" t="s">
        <v>4098</v>
      </c>
      <c r="C1535" s="2" t="s">
        <v>1350</v>
      </c>
      <c r="D1535" s="2" t="s">
        <v>3966</v>
      </c>
      <c r="E1535" s="2">
        <v>20</v>
      </c>
      <c r="F1535" s="2"/>
      <c r="G1535" s="2">
        <v>20</v>
      </c>
      <c r="H1535" s="2" t="s">
        <v>693</v>
      </c>
      <c r="I1535" s="2" t="s">
        <v>695</v>
      </c>
      <c r="J1535" s="2" t="s">
        <v>2537</v>
      </c>
      <c r="K1535" s="2" t="s">
        <v>1855</v>
      </c>
      <c r="L1535" s="2" t="s">
        <v>2564</v>
      </c>
      <c r="M1535" s="2" t="str">
        <f t="shared" si="26"/>
        <v>07</v>
      </c>
      <c r="N1535" s="2" t="s">
        <v>339</v>
      </c>
      <c r="O1535" s="2" t="s">
        <v>4373</v>
      </c>
      <c r="P1535" s="2" t="s">
        <v>4380</v>
      </c>
    </row>
    <row r="1536" spans="1:16">
      <c r="A1536" s="4">
        <v>46247.978449074071</v>
      </c>
      <c r="B1536" s="2" t="s">
        <v>2547</v>
      </c>
      <c r="C1536" s="2" t="s">
        <v>1350</v>
      </c>
      <c r="D1536" s="2" t="s">
        <v>3966</v>
      </c>
      <c r="E1536" s="2">
        <v>20</v>
      </c>
      <c r="F1536" s="2"/>
      <c r="G1536" s="2">
        <v>20</v>
      </c>
      <c r="H1536" s="2" t="s">
        <v>693</v>
      </c>
      <c r="I1536" s="2" t="s">
        <v>695</v>
      </c>
      <c r="J1536" s="2" t="s">
        <v>2537</v>
      </c>
      <c r="K1536" s="2" t="s">
        <v>1855</v>
      </c>
      <c r="L1536" s="2" t="s">
        <v>2564</v>
      </c>
      <c r="M1536" s="2" t="str">
        <f t="shared" si="26"/>
        <v>07</v>
      </c>
      <c r="N1536" s="2" t="s">
        <v>763</v>
      </c>
      <c r="O1536" s="2" t="s">
        <v>4373</v>
      </c>
      <c r="P1536" s="2" t="s">
        <v>4380</v>
      </c>
    </row>
    <row r="1537" spans="1:16">
      <c r="A1537" s="4">
        <v>46247.977430555555</v>
      </c>
      <c r="B1537" s="2" t="s">
        <v>977</v>
      </c>
      <c r="C1537" s="2" t="s">
        <v>1350</v>
      </c>
      <c r="D1537" s="2" t="s">
        <v>3966</v>
      </c>
      <c r="E1537" s="2">
        <v>20</v>
      </c>
      <c r="F1537" s="2"/>
      <c r="G1537" s="2">
        <v>20</v>
      </c>
      <c r="H1537" s="2" t="s">
        <v>693</v>
      </c>
      <c r="I1537" s="2" t="s">
        <v>695</v>
      </c>
      <c r="J1537" s="2" t="s">
        <v>2537</v>
      </c>
      <c r="K1537" s="2" t="s">
        <v>1855</v>
      </c>
      <c r="L1537" s="2" t="s">
        <v>2564</v>
      </c>
      <c r="M1537" s="2" t="str">
        <f t="shared" si="26"/>
        <v>07</v>
      </c>
      <c r="N1537" s="2" t="s">
        <v>3012</v>
      </c>
      <c r="O1537" s="2" t="s">
        <v>4373</v>
      </c>
      <c r="P1537" s="2" t="s">
        <v>4380</v>
      </c>
    </row>
    <row r="1538" spans="1:16">
      <c r="A1538" s="4">
        <v>46247.977222222224</v>
      </c>
      <c r="B1538" s="2" t="s">
        <v>179</v>
      </c>
      <c r="C1538" s="2" t="s">
        <v>1350</v>
      </c>
      <c r="D1538" s="2" t="s">
        <v>3966</v>
      </c>
      <c r="E1538" s="2">
        <v>20</v>
      </c>
      <c r="F1538" s="2"/>
      <c r="G1538" s="2">
        <v>20</v>
      </c>
      <c r="H1538" s="2" t="s">
        <v>693</v>
      </c>
      <c r="I1538" s="2" t="s">
        <v>695</v>
      </c>
      <c r="J1538" s="2" t="s">
        <v>2537</v>
      </c>
      <c r="K1538" s="2" t="s">
        <v>1855</v>
      </c>
      <c r="L1538" s="2" t="s">
        <v>2564</v>
      </c>
      <c r="M1538" s="2" t="str">
        <f t="shared" ref="M1538:M1601" si="27">RIGHT(L1538,2)</f>
        <v>07</v>
      </c>
      <c r="N1538" s="2" t="s">
        <v>4224</v>
      </c>
      <c r="O1538" s="2" t="s">
        <v>4373</v>
      </c>
      <c r="P1538" s="2" t="s">
        <v>4380</v>
      </c>
    </row>
    <row r="1539" spans="1:16">
      <c r="A1539" s="4">
        <v>46247.976018518515</v>
      </c>
      <c r="B1539" s="2" t="s">
        <v>3683</v>
      </c>
      <c r="C1539" s="2" t="s">
        <v>1350</v>
      </c>
      <c r="D1539" s="2" t="s">
        <v>3966</v>
      </c>
      <c r="E1539" s="2">
        <v>20</v>
      </c>
      <c r="F1539" s="2"/>
      <c r="G1539" s="2">
        <v>20</v>
      </c>
      <c r="H1539" s="2" t="s">
        <v>693</v>
      </c>
      <c r="I1539" s="2" t="s">
        <v>695</v>
      </c>
      <c r="J1539" s="2" t="s">
        <v>2537</v>
      </c>
      <c r="K1539" s="2" t="s">
        <v>1855</v>
      </c>
      <c r="L1539" s="2" t="s">
        <v>2564</v>
      </c>
      <c r="M1539" s="2" t="str">
        <f t="shared" si="27"/>
        <v>07</v>
      </c>
      <c r="N1539" s="2" t="s">
        <v>3172</v>
      </c>
      <c r="O1539" s="2" t="s">
        <v>4373</v>
      </c>
      <c r="P1539" s="2" t="s">
        <v>4380</v>
      </c>
    </row>
    <row r="1540" spans="1:16">
      <c r="A1540" s="4">
        <v>46247.97515046296</v>
      </c>
      <c r="B1540" s="2" t="s">
        <v>1772</v>
      </c>
      <c r="C1540" s="2" t="s">
        <v>1350</v>
      </c>
      <c r="D1540" s="2" t="s">
        <v>3966</v>
      </c>
      <c r="E1540" s="2">
        <v>20</v>
      </c>
      <c r="F1540" s="2"/>
      <c r="G1540" s="2">
        <v>20</v>
      </c>
      <c r="H1540" s="2" t="s">
        <v>693</v>
      </c>
      <c r="I1540" s="2" t="s">
        <v>695</v>
      </c>
      <c r="J1540" s="2" t="s">
        <v>2537</v>
      </c>
      <c r="K1540" s="2" t="s">
        <v>1855</v>
      </c>
      <c r="L1540" s="2" t="s">
        <v>2564</v>
      </c>
      <c r="M1540" s="2" t="str">
        <f t="shared" si="27"/>
        <v>07</v>
      </c>
      <c r="N1540" s="2" t="s">
        <v>1534</v>
      </c>
      <c r="O1540" s="2" t="s">
        <v>4373</v>
      </c>
      <c r="P1540" s="2" t="s">
        <v>4380</v>
      </c>
    </row>
    <row r="1541" spans="1:16">
      <c r="A1541" s="4">
        <v>46247.974259259259</v>
      </c>
      <c r="B1541" s="2" t="s">
        <v>2924</v>
      </c>
      <c r="C1541" s="2" t="s">
        <v>1350</v>
      </c>
      <c r="D1541" s="2" t="s">
        <v>3966</v>
      </c>
      <c r="E1541" s="2">
        <v>20</v>
      </c>
      <c r="F1541" s="2"/>
      <c r="G1541" s="2">
        <v>20</v>
      </c>
      <c r="H1541" s="2" t="s">
        <v>693</v>
      </c>
      <c r="I1541" s="2" t="s">
        <v>695</v>
      </c>
      <c r="J1541" s="2" t="s">
        <v>2537</v>
      </c>
      <c r="K1541" s="2" t="s">
        <v>1855</v>
      </c>
      <c r="L1541" s="2" t="s">
        <v>2564</v>
      </c>
      <c r="M1541" s="2" t="str">
        <f t="shared" si="27"/>
        <v>07</v>
      </c>
      <c r="N1541" s="2" t="s">
        <v>2994</v>
      </c>
      <c r="O1541" s="2" t="s">
        <v>4373</v>
      </c>
      <c r="P1541" s="2" t="s">
        <v>4380</v>
      </c>
    </row>
    <row r="1542" spans="1:16">
      <c r="A1542" s="4">
        <v>46247.974085648151</v>
      </c>
      <c r="B1542" s="2" t="s">
        <v>938</v>
      </c>
      <c r="C1542" s="2" t="s">
        <v>1350</v>
      </c>
      <c r="D1542" s="2" t="s">
        <v>3966</v>
      </c>
      <c r="E1542" s="2">
        <v>20</v>
      </c>
      <c r="F1542" s="2"/>
      <c r="G1542" s="2">
        <v>20</v>
      </c>
      <c r="H1542" s="2" t="s">
        <v>693</v>
      </c>
      <c r="I1542" s="2" t="s">
        <v>695</v>
      </c>
      <c r="J1542" s="2" t="s">
        <v>2537</v>
      </c>
      <c r="K1542" s="2" t="s">
        <v>1855</v>
      </c>
      <c r="L1542" s="2" t="s">
        <v>2564</v>
      </c>
      <c r="M1542" s="2" t="str">
        <f t="shared" si="27"/>
        <v>07</v>
      </c>
      <c r="N1542" s="2" t="s">
        <v>2351</v>
      </c>
      <c r="O1542" s="2" t="s">
        <v>4373</v>
      </c>
      <c r="P1542" s="2" t="s">
        <v>4380</v>
      </c>
    </row>
    <row r="1543" spans="1:16">
      <c r="A1543" s="4">
        <v>46247.973020833335</v>
      </c>
      <c r="B1543" s="2" t="s">
        <v>1635</v>
      </c>
      <c r="C1543" s="2" t="s">
        <v>1350</v>
      </c>
      <c r="D1543" s="2" t="s">
        <v>3966</v>
      </c>
      <c r="E1543" s="2">
        <v>20</v>
      </c>
      <c r="F1543" s="2"/>
      <c r="G1543" s="2">
        <v>20</v>
      </c>
      <c r="H1543" s="2" t="s">
        <v>693</v>
      </c>
      <c r="I1543" s="2" t="s">
        <v>695</v>
      </c>
      <c r="J1543" s="2" t="s">
        <v>2537</v>
      </c>
      <c r="K1543" s="2" t="s">
        <v>1855</v>
      </c>
      <c r="L1543" s="2" t="s">
        <v>2564</v>
      </c>
      <c r="M1543" s="2" t="str">
        <f t="shared" si="27"/>
        <v>07</v>
      </c>
      <c r="N1543" s="2" t="s">
        <v>2798</v>
      </c>
      <c r="O1543" s="2" t="s">
        <v>4373</v>
      </c>
      <c r="P1543" s="2" t="s">
        <v>4380</v>
      </c>
    </row>
    <row r="1544" spans="1:16">
      <c r="A1544" s="4">
        <v>46247.972708333335</v>
      </c>
      <c r="B1544" s="2" t="s">
        <v>1415</v>
      </c>
      <c r="C1544" s="2" t="s">
        <v>1350</v>
      </c>
      <c r="D1544" s="2" t="s">
        <v>3966</v>
      </c>
      <c r="E1544" s="2">
        <v>20</v>
      </c>
      <c r="F1544" s="2"/>
      <c r="G1544" s="2">
        <v>20</v>
      </c>
      <c r="H1544" s="2" t="s">
        <v>693</v>
      </c>
      <c r="I1544" s="2" t="s">
        <v>695</v>
      </c>
      <c r="J1544" s="2" t="s">
        <v>2537</v>
      </c>
      <c r="K1544" s="2" t="s">
        <v>1855</v>
      </c>
      <c r="L1544" s="2" t="s">
        <v>2564</v>
      </c>
      <c r="M1544" s="2" t="str">
        <f t="shared" si="27"/>
        <v>07</v>
      </c>
      <c r="N1544" s="2" t="s">
        <v>3089</v>
      </c>
      <c r="O1544" s="2" t="s">
        <v>4373</v>
      </c>
      <c r="P1544" s="2" t="s">
        <v>4380</v>
      </c>
    </row>
    <row r="1545" spans="1:16">
      <c r="A1545" s="4">
        <v>46247.968124999999</v>
      </c>
      <c r="B1545" s="2" t="s">
        <v>2253</v>
      </c>
      <c r="C1545" s="2" t="s">
        <v>1350</v>
      </c>
      <c r="D1545" s="2" t="s">
        <v>3966</v>
      </c>
      <c r="E1545" s="2">
        <v>20</v>
      </c>
      <c r="F1545" s="2"/>
      <c r="G1545" s="2">
        <v>20</v>
      </c>
      <c r="H1545" s="2" t="s">
        <v>693</v>
      </c>
      <c r="I1545" s="2" t="s">
        <v>695</v>
      </c>
      <c r="J1545" s="2" t="s">
        <v>2537</v>
      </c>
      <c r="K1545" s="2" t="s">
        <v>1855</v>
      </c>
      <c r="L1545" s="2" t="s">
        <v>2564</v>
      </c>
      <c r="M1545" s="2" t="str">
        <f t="shared" si="27"/>
        <v>07</v>
      </c>
      <c r="N1545" s="2" t="s">
        <v>2519</v>
      </c>
      <c r="O1545" s="2" t="s">
        <v>4373</v>
      </c>
      <c r="P1545" s="2" t="s">
        <v>4380</v>
      </c>
    </row>
    <row r="1546" spans="1:16">
      <c r="A1546" s="4">
        <v>46247.96607638889</v>
      </c>
      <c r="B1546" s="2" t="s">
        <v>2991</v>
      </c>
      <c r="C1546" s="2" t="s">
        <v>1350</v>
      </c>
      <c r="D1546" s="2" t="s">
        <v>3966</v>
      </c>
      <c r="E1546" s="2">
        <v>20</v>
      </c>
      <c r="F1546" s="2"/>
      <c r="G1546" s="2">
        <v>20</v>
      </c>
      <c r="H1546" s="2" t="s">
        <v>693</v>
      </c>
      <c r="I1546" s="2" t="s">
        <v>695</v>
      </c>
      <c r="J1546" s="2" t="s">
        <v>2537</v>
      </c>
      <c r="K1546" s="2" t="s">
        <v>1855</v>
      </c>
      <c r="L1546" s="2" t="s">
        <v>2564</v>
      </c>
      <c r="M1546" s="2" t="str">
        <f t="shared" si="27"/>
        <v>07</v>
      </c>
      <c r="N1546" s="2" t="s">
        <v>3969</v>
      </c>
      <c r="O1546" s="2" t="s">
        <v>4373</v>
      </c>
      <c r="P1546" s="2" t="s">
        <v>4380</v>
      </c>
    </row>
    <row r="1547" spans="1:16">
      <c r="A1547" s="4">
        <v>46247.964641203704</v>
      </c>
      <c r="B1547" s="2" t="s">
        <v>2513</v>
      </c>
      <c r="C1547" s="2" t="s">
        <v>1350</v>
      </c>
      <c r="D1547" s="2" t="s">
        <v>3966</v>
      </c>
      <c r="E1547" s="2">
        <v>20</v>
      </c>
      <c r="F1547" s="2"/>
      <c r="G1547" s="2">
        <v>20</v>
      </c>
      <c r="H1547" s="2" t="s">
        <v>693</v>
      </c>
      <c r="I1547" s="2" t="s">
        <v>695</v>
      </c>
      <c r="J1547" s="2" t="s">
        <v>2537</v>
      </c>
      <c r="K1547" s="2" t="s">
        <v>1855</v>
      </c>
      <c r="L1547" s="2" t="s">
        <v>2564</v>
      </c>
      <c r="M1547" s="2" t="str">
        <f t="shared" si="27"/>
        <v>07</v>
      </c>
      <c r="N1547" s="2" t="s">
        <v>4152</v>
      </c>
      <c r="O1547" s="2" t="s">
        <v>4373</v>
      </c>
      <c r="P1547" s="2" t="s">
        <v>4380</v>
      </c>
    </row>
    <row r="1548" spans="1:16">
      <c r="A1548" s="4">
        <v>46246.309502314813</v>
      </c>
      <c r="B1548" s="2" t="s">
        <v>3975</v>
      </c>
      <c r="C1548" s="2" t="s">
        <v>1350</v>
      </c>
      <c r="D1548" s="2" t="s">
        <v>3966</v>
      </c>
      <c r="E1548" s="2">
        <v>20</v>
      </c>
      <c r="F1548" s="2"/>
      <c r="G1548" s="2">
        <v>20</v>
      </c>
      <c r="H1548" s="2" t="s">
        <v>821</v>
      </c>
      <c r="I1548" s="2" t="s">
        <v>695</v>
      </c>
      <c r="J1548" s="2" t="s">
        <v>2537</v>
      </c>
      <c r="K1548" s="2" t="s">
        <v>1855</v>
      </c>
      <c r="L1548" s="2" t="s">
        <v>3493</v>
      </c>
      <c r="M1548" s="2" t="str">
        <f t="shared" si="27"/>
        <v>03</v>
      </c>
      <c r="N1548" s="2" t="s">
        <v>481</v>
      </c>
      <c r="O1548" s="2" t="s">
        <v>4373</v>
      </c>
      <c r="P1548" s="2" t="s">
        <v>4381</v>
      </c>
    </row>
    <row r="1549" spans="1:16">
      <c r="A1549" s="4">
        <v>46246.308495370373</v>
      </c>
      <c r="B1549" s="2" t="s">
        <v>3231</v>
      </c>
      <c r="C1549" s="2" t="s">
        <v>1350</v>
      </c>
      <c r="D1549" s="2" t="s">
        <v>3966</v>
      </c>
      <c r="E1549" s="2">
        <v>20</v>
      </c>
      <c r="F1549" s="2"/>
      <c r="G1549" s="2">
        <v>20</v>
      </c>
      <c r="H1549" s="2" t="s">
        <v>821</v>
      </c>
      <c r="I1549" s="2" t="s">
        <v>695</v>
      </c>
      <c r="J1549" s="2" t="s">
        <v>2537</v>
      </c>
      <c r="K1549" s="2" t="s">
        <v>1855</v>
      </c>
      <c r="L1549" s="2" t="s">
        <v>3493</v>
      </c>
      <c r="M1549" s="2" t="str">
        <f t="shared" si="27"/>
        <v>03</v>
      </c>
      <c r="N1549" s="2" t="s">
        <v>2734</v>
      </c>
      <c r="O1549" s="2" t="s">
        <v>4373</v>
      </c>
      <c r="P1549" s="2" t="s">
        <v>4381</v>
      </c>
    </row>
    <row r="1550" spans="1:16">
      <c r="A1550" s="4">
        <v>46246.306423611109</v>
      </c>
      <c r="B1550" s="2" t="s">
        <v>1703</v>
      </c>
      <c r="C1550" s="2" t="s">
        <v>1350</v>
      </c>
      <c r="D1550" s="2" t="s">
        <v>3966</v>
      </c>
      <c r="E1550" s="2">
        <v>20</v>
      </c>
      <c r="F1550" s="2"/>
      <c r="G1550" s="2">
        <v>20</v>
      </c>
      <c r="H1550" s="2" t="s">
        <v>821</v>
      </c>
      <c r="I1550" s="2" t="s">
        <v>695</v>
      </c>
      <c r="J1550" s="2" t="s">
        <v>2537</v>
      </c>
      <c r="K1550" s="2" t="s">
        <v>1855</v>
      </c>
      <c r="L1550" s="2" t="s">
        <v>3493</v>
      </c>
      <c r="M1550" s="2" t="str">
        <f t="shared" si="27"/>
        <v>03</v>
      </c>
      <c r="N1550" s="2" t="s">
        <v>1923</v>
      </c>
      <c r="O1550" s="2" t="s">
        <v>4373</v>
      </c>
      <c r="P1550" s="2" t="s">
        <v>4381</v>
      </c>
    </row>
    <row r="1551" spans="1:16">
      <c r="A1551" s="4">
        <v>46246.306192129632</v>
      </c>
      <c r="B1551" s="2" t="s">
        <v>1753</v>
      </c>
      <c r="C1551" s="2" t="s">
        <v>1350</v>
      </c>
      <c r="D1551" s="2" t="s">
        <v>3966</v>
      </c>
      <c r="E1551" s="2">
        <v>20</v>
      </c>
      <c r="F1551" s="2"/>
      <c r="G1551" s="2">
        <v>20</v>
      </c>
      <c r="H1551" s="2" t="s">
        <v>821</v>
      </c>
      <c r="I1551" s="2" t="s">
        <v>695</v>
      </c>
      <c r="J1551" s="2" t="s">
        <v>2537</v>
      </c>
      <c r="K1551" s="2" t="s">
        <v>1855</v>
      </c>
      <c r="L1551" s="2" t="s">
        <v>3493</v>
      </c>
      <c r="M1551" s="2" t="str">
        <f t="shared" si="27"/>
        <v>03</v>
      </c>
      <c r="N1551" s="2" t="s">
        <v>3277</v>
      </c>
      <c r="O1551" s="2" t="s">
        <v>4373</v>
      </c>
      <c r="P1551" s="2" t="s">
        <v>4381</v>
      </c>
    </row>
    <row r="1552" spans="1:16">
      <c r="A1552" s="4">
        <v>46246.304166666669</v>
      </c>
      <c r="B1552" s="2" t="s">
        <v>3067</v>
      </c>
      <c r="C1552" s="2" t="s">
        <v>1350</v>
      </c>
      <c r="D1552" s="2" t="s">
        <v>3966</v>
      </c>
      <c r="E1552" s="2">
        <v>20</v>
      </c>
      <c r="F1552" s="2"/>
      <c r="G1552" s="2">
        <v>20</v>
      </c>
      <c r="H1552" s="2" t="s">
        <v>821</v>
      </c>
      <c r="I1552" s="2" t="s">
        <v>695</v>
      </c>
      <c r="J1552" s="2" t="s">
        <v>2537</v>
      </c>
      <c r="K1552" s="2" t="s">
        <v>1855</v>
      </c>
      <c r="L1552" s="2" t="s">
        <v>3493</v>
      </c>
      <c r="M1552" s="2" t="str">
        <f t="shared" si="27"/>
        <v>03</v>
      </c>
      <c r="N1552" s="2" t="s">
        <v>1410</v>
      </c>
      <c r="O1552" s="2" t="s">
        <v>4373</v>
      </c>
      <c r="P1552" s="2" t="s">
        <v>4381</v>
      </c>
    </row>
    <row r="1553" spans="1:16">
      <c r="A1553" s="4">
        <v>46246.304016203707</v>
      </c>
      <c r="B1553" s="2" t="s">
        <v>3517</v>
      </c>
      <c r="C1553" s="2" t="s">
        <v>1350</v>
      </c>
      <c r="D1553" s="2" t="s">
        <v>3966</v>
      </c>
      <c r="E1553" s="2">
        <v>20</v>
      </c>
      <c r="F1553" s="2"/>
      <c r="G1553" s="2">
        <v>20</v>
      </c>
      <c r="H1553" s="2" t="s">
        <v>821</v>
      </c>
      <c r="I1553" s="2" t="s">
        <v>695</v>
      </c>
      <c r="J1553" s="2" t="s">
        <v>2537</v>
      </c>
      <c r="K1553" s="2" t="s">
        <v>1855</v>
      </c>
      <c r="L1553" s="2" t="s">
        <v>3493</v>
      </c>
      <c r="M1553" s="2" t="str">
        <f t="shared" si="27"/>
        <v>03</v>
      </c>
      <c r="N1553" s="2" t="s">
        <v>2756</v>
      </c>
      <c r="O1553" s="2" t="s">
        <v>4373</v>
      </c>
      <c r="P1553" s="2" t="s">
        <v>4381</v>
      </c>
    </row>
    <row r="1554" spans="1:16">
      <c r="A1554" s="4">
        <v>46246.301435185182</v>
      </c>
      <c r="B1554" s="2" t="s">
        <v>991</v>
      </c>
      <c r="C1554" s="2" t="s">
        <v>1350</v>
      </c>
      <c r="D1554" s="2" t="s">
        <v>3966</v>
      </c>
      <c r="E1554" s="2">
        <v>20</v>
      </c>
      <c r="F1554" s="2"/>
      <c r="G1554" s="2">
        <v>20</v>
      </c>
      <c r="H1554" s="2" t="s">
        <v>821</v>
      </c>
      <c r="I1554" s="2" t="s">
        <v>695</v>
      </c>
      <c r="J1554" s="2" t="s">
        <v>2537</v>
      </c>
      <c r="K1554" s="2" t="s">
        <v>1855</v>
      </c>
      <c r="L1554" s="2" t="s">
        <v>3493</v>
      </c>
      <c r="M1554" s="2" t="str">
        <f t="shared" si="27"/>
        <v>03</v>
      </c>
      <c r="N1554" s="2" t="s">
        <v>1662</v>
      </c>
      <c r="O1554" s="2" t="s">
        <v>4373</v>
      </c>
      <c r="P1554" s="2" t="s">
        <v>4381</v>
      </c>
    </row>
    <row r="1555" spans="1:16">
      <c r="A1555" s="4">
        <v>46246.301423611112</v>
      </c>
      <c r="B1555" s="2" t="s">
        <v>3259</v>
      </c>
      <c r="C1555" s="2" t="s">
        <v>1350</v>
      </c>
      <c r="D1555" s="2" t="s">
        <v>3966</v>
      </c>
      <c r="E1555" s="2">
        <v>20</v>
      </c>
      <c r="F1555" s="2"/>
      <c r="G1555" s="2">
        <v>20</v>
      </c>
      <c r="H1555" s="2" t="s">
        <v>821</v>
      </c>
      <c r="I1555" s="2" t="s">
        <v>695</v>
      </c>
      <c r="J1555" s="2" t="s">
        <v>2537</v>
      </c>
      <c r="K1555" s="2" t="s">
        <v>1855</v>
      </c>
      <c r="L1555" s="2" t="s">
        <v>3493</v>
      </c>
      <c r="M1555" s="2" t="str">
        <f t="shared" si="27"/>
        <v>03</v>
      </c>
      <c r="N1555" s="2" t="s">
        <v>546</v>
      </c>
      <c r="O1555" s="2" t="s">
        <v>4373</v>
      </c>
      <c r="P1555" s="2" t="s">
        <v>4381</v>
      </c>
    </row>
    <row r="1556" spans="1:16">
      <c r="A1556" s="4">
        <v>46246.300057870372</v>
      </c>
      <c r="B1556" s="2" t="s">
        <v>1054</v>
      </c>
      <c r="C1556" s="2" t="s">
        <v>1350</v>
      </c>
      <c r="D1556" s="2" t="s">
        <v>3966</v>
      </c>
      <c r="E1556" s="2">
        <v>20</v>
      </c>
      <c r="F1556" s="2"/>
      <c r="G1556" s="2">
        <v>20</v>
      </c>
      <c r="H1556" s="2" t="s">
        <v>821</v>
      </c>
      <c r="I1556" s="2" t="s">
        <v>695</v>
      </c>
      <c r="J1556" s="2" t="s">
        <v>2537</v>
      </c>
      <c r="K1556" s="2" t="s">
        <v>1855</v>
      </c>
      <c r="L1556" s="2" t="s">
        <v>3493</v>
      </c>
      <c r="M1556" s="2" t="str">
        <f t="shared" si="27"/>
        <v>03</v>
      </c>
      <c r="N1556" s="2" t="s">
        <v>3986</v>
      </c>
      <c r="O1556" s="2" t="s">
        <v>4373</v>
      </c>
      <c r="P1556" s="2" t="s">
        <v>4381</v>
      </c>
    </row>
    <row r="1557" spans="1:16">
      <c r="A1557" s="4">
        <v>46246.299490740741</v>
      </c>
      <c r="B1557" s="2" t="s">
        <v>279</v>
      </c>
      <c r="C1557" s="2" t="s">
        <v>1350</v>
      </c>
      <c r="D1557" s="2" t="s">
        <v>3966</v>
      </c>
      <c r="E1557" s="2">
        <v>20</v>
      </c>
      <c r="F1557" s="2"/>
      <c r="G1557" s="2">
        <v>20</v>
      </c>
      <c r="H1557" s="2" t="s">
        <v>821</v>
      </c>
      <c r="I1557" s="2" t="s">
        <v>695</v>
      </c>
      <c r="J1557" s="2" t="s">
        <v>2537</v>
      </c>
      <c r="K1557" s="2" t="s">
        <v>1855</v>
      </c>
      <c r="L1557" s="2" t="s">
        <v>3493</v>
      </c>
      <c r="M1557" s="2" t="str">
        <f t="shared" si="27"/>
        <v>03</v>
      </c>
      <c r="N1557" s="2" t="s">
        <v>941</v>
      </c>
      <c r="O1557" s="2" t="s">
        <v>4373</v>
      </c>
      <c r="P1557" s="2" t="s">
        <v>4381</v>
      </c>
    </row>
    <row r="1558" spans="1:16">
      <c r="A1558" s="4">
        <v>46246.297615740739</v>
      </c>
      <c r="B1558" s="2" t="s">
        <v>571</v>
      </c>
      <c r="C1558" s="2" t="s">
        <v>1350</v>
      </c>
      <c r="D1558" s="2" t="s">
        <v>3966</v>
      </c>
      <c r="E1558" s="2">
        <v>20</v>
      </c>
      <c r="F1558" s="2"/>
      <c r="G1558" s="2">
        <v>20</v>
      </c>
      <c r="H1558" s="2" t="s">
        <v>821</v>
      </c>
      <c r="I1558" s="2" t="s">
        <v>695</v>
      </c>
      <c r="J1558" s="2" t="s">
        <v>2537</v>
      </c>
      <c r="K1558" s="2" t="s">
        <v>1855</v>
      </c>
      <c r="L1558" s="2" t="s">
        <v>3493</v>
      </c>
      <c r="M1558" s="2" t="str">
        <f t="shared" si="27"/>
        <v>03</v>
      </c>
      <c r="N1558" s="2" t="s">
        <v>1191</v>
      </c>
      <c r="O1558" s="2" t="s">
        <v>4373</v>
      </c>
      <c r="P1558" s="2" t="s">
        <v>4381</v>
      </c>
    </row>
    <row r="1559" spans="1:16">
      <c r="A1559" s="4">
        <v>46246.297476851854</v>
      </c>
      <c r="B1559" s="2" t="s">
        <v>2450</v>
      </c>
      <c r="C1559" s="2" t="s">
        <v>1350</v>
      </c>
      <c r="D1559" s="2" t="s">
        <v>3966</v>
      </c>
      <c r="E1559" s="2">
        <v>20</v>
      </c>
      <c r="F1559" s="2"/>
      <c r="G1559" s="2">
        <v>20</v>
      </c>
      <c r="H1559" s="2" t="s">
        <v>821</v>
      </c>
      <c r="I1559" s="2" t="s">
        <v>695</v>
      </c>
      <c r="J1559" s="2" t="s">
        <v>2537</v>
      </c>
      <c r="K1559" s="2" t="s">
        <v>1855</v>
      </c>
      <c r="L1559" s="2" t="s">
        <v>3493</v>
      </c>
      <c r="M1559" s="2" t="str">
        <f t="shared" si="27"/>
        <v>03</v>
      </c>
      <c r="N1559" s="2" t="s">
        <v>3095</v>
      </c>
      <c r="O1559" s="2" t="s">
        <v>4373</v>
      </c>
      <c r="P1559" s="2" t="s">
        <v>4381</v>
      </c>
    </row>
    <row r="1560" spans="1:16">
      <c r="A1560" s="4">
        <v>46246.294942129629</v>
      </c>
      <c r="B1560" s="2" t="s">
        <v>4122</v>
      </c>
      <c r="C1560" s="2" t="s">
        <v>1350</v>
      </c>
      <c r="D1560" s="2" t="s">
        <v>3966</v>
      </c>
      <c r="E1560" s="2">
        <v>20</v>
      </c>
      <c r="F1560" s="2"/>
      <c r="G1560" s="2">
        <v>20</v>
      </c>
      <c r="H1560" s="2" t="s">
        <v>821</v>
      </c>
      <c r="I1560" s="2" t="s">
        <v>695</v>
      </c>
      <c r="J1560" s="2" t="s">
        <v>2537</v>
      </c>
      <c r="K1560" s="2" t="s">
        <v>1855</v>
      </c>
      <c r="L1560" s="2" t="s">
        <v>3493</v>
      </c>
      <c r="M1560" s="2" t="str">
        <f t="shared" si="27"/>
        <v>03</v>
      </c>
      <c r="N1560" s="2" t="s">
        <v>1116</v>
      </c>
      <c r="O1560" s="2" t="s">
        <v>4373</v>
      </c>
      <c r="P1560" s="2" t="s">
        <v>4381</v>
      </c>
    </row>
    <row r="1561" spans="1:16">
      <c r="A1561" s="4">
        <v>46246.29483796296</v>
      </c>
      <c r="B1561" s="2" t="s">
        <v>176</v>
      </c>
      <c r="C1561" s="2" t="s">
        <v>1350</v>
      </c>
      <c r="D1561" s="2" t="s">
        <v>3966</v>
      </c>
      <c r="E1561" s="2">
        <v>20</v>
      </c>
      <c r="F1561" s="2"/>
      <c r="G1561" s="2">
        <v>20</v>
      </c>
      <c r="H1561" s="2" t="s">
        <v>821</v>
      </c>
      <c r="I1561" s="2" t="s">
        <v>695</v>
      </c>
      <c r="J1561" s="2" t="s">
        <v>2537</v>
      </c>
      <c r="K1561" s="2" t="s">
        <v>1855</v>
      </c>
      <c r="L1561" s="2" t="s">
        <v>3493</v>
      </c>
      <c r="M1561" s="2" t="str">
        <f t="shared" si="27"/>
        <v>03</v>
      </c>
      <c r="N1561" s="2" t="s">
        <v>1288</v>
      </c>
      <c r="O1561" s="2" t="s">
        <v>4373</v>
      </c>
      <c r="P1561" s="2" t="s">
        <v>4381</v>
      </c>
    </row>
    <row r="1562" spans="1:16">
      <c r="A1562" s="4">
        <v>46246.292905092596</v>
      </c>
      <c r="B1562" s="2" t="s">
        <v>412</v>
      </c>
      <c r="C1562" s="2" t="s">
        <v>1350</v>
      </c>
      <c r="D1562" s="2" t="s">
        <v>3966</v>
      </c>
      <c r="E1562" s="2">
        <v>20</v>
      </c>
      <c r="F1562" s="2"/>
      <c r="G1562" s="2">
        <v>20</v>
      </c>
      <c r="H1562" s="2" t="s">
        <v>821</v>
      </c>
      <c r="I1562" s="2" t="s">
        <v>695</v>
      </c>
      <c r="J1562" s="2" t="s">
        <v>2537</v>
      </c>
      <c r="K1562" s="2" t="s">
        <v>1855</v>
      </c>
      <c r="L1562" s="2" t="s">
        <v>3493</v>
      </c>
      <c r="M1562" s="2" t="str">
        <f t="shared" si="27"/>
        <v>03</v>
      </c>
      <c r="N1562" s="2" t="s">
        <v>3560</v>
      </c>
      <c r="O1562" s="2" t="s">
        <v>4373</v>
      </c>
      <c r="P1562" s="2" t="s">
        <v>4381</v>
      </c>
    </row>
    <row r="1563" spans="1:16">
      <c r="A1563" s="4">
        <v>46246.292650462965</v>
      </c>
      <c r="B1563" s="2" t="s">
        <v>4197</v>
      </c>
      <c r="C1563" s="2" t="s">
        <v>1350</v>
      </c>
      <c r="D1563" s="2" t="s">
        <v>3966</v>
      </c>
      <c r="E1563" s="2">
        <v>20</v>
      </c>
      <c r="F1563" s="2"/>
      <c r="G1563" s="2">
        <v>20</v>
      </c>
      <c r="H1563" s="2" t="s">
        <v>821</v>
      </c>
      <c r="I1563" s="2" t="s">
        <v>695</v>
      </c>
      <c r="J1563" s="2" t="s">
        <v>2537</v>
      </c>
      <c r="K1563" s="2" t="s">
        <v>1855</v>
      </c>
      <c r="L1563" s="2" t="s">
        <v>3493</v>
      </c>
      <c r="M1563" s="2" t="str">
        <f t="shared" si="27"/>
        <v>03</v>
      </c>
      <c r="N1563" s="2" t="s">
        <v>287</v>
      </c>
      <c r="O1563" s="2" t="s">
        <v>4373</v>
      </c>
      <c r="P1563" s="2" t="s">
        <v>4381</v>
      </c>
    </row>
    <row r="1564" spans="1:16">
      <c r="A1564" s="4">
        <v>46246.291041666664</v>
      </c>
      <c r="B1564" s="2" t="s">
        <v>1252</v>
      </c>
      <c r="C1564" s="2" t="s">
        <v>1350</v>
      </c>
      <c r="D1564" s="2" t="s">
        <v>3966</v>
      </c>
      <c r="E1564" s="2">
        <v>20</v>
      </c>
      <c r="F1564" s="2"/>
      <c r="G1564" s="2">
        <v>20</v>
      </c>
      <c r="H1564" s="2" t="s">
        <v>821</v>
      </c>
      <c r="I1564" s="2" t="s">
        <v>695</v>
      </c>
      <c r="J1564" s="2" t="s">
        <v>2537</v>
      </c>
      <c r="K1564" s="2" t="s">
        <v>1855</v>
      </c>
      <c r="L1564" s="2" t="s">
        <v>3493</v>
      </c>
      <c r="M1564" s="2" t="str">
        <f t="shared" si="27"/>
        <v>03</v>
      </c>
      <c r="N1564" s="2" t="s">
        <v>4357</v>
      </c>
      <c r="O1564" s="2" t="s">
        <v>4373</v>
      </c>
      <c r="P1564" s="2" t="s">
        <v>4381</v>
      </c>
    </row>
    <row r="1565" spans="1:16">
      <c r="A1565" s="4">
        <v>46246.290949074071</v>
      </c>
      <c r="B1565" s="2" t="s">
        <v>3915</v>
      </c>
      <c r="C1565" s="2" t="s">
        <v>1350</v>
      </c>
      <c r="D1565" s="2" t="s">
        <v>3966</v>
      </c>
      <c r="E1565" s="2">
        <v>20</v>
      </c>
      <c r="F1565" s="2"/>
      <c r="G1565" s="2">
        <v>20</v>
      </c>
      <c r="H1565" s="2" t="s">
        <v>821</v>
      </c>
      <c r="I1565" s="2" t="s">
        <v>695</v>
      </c>
      <c r="J1565" s="2" t="s">
        <v>2537</v>
      </c>
      <c r="K1565" s="2" t="s">
        <v>1855</v>
      </c>
      <c r="L1565" s="2" t="s">
        <v>3493</v>
      </c>
      <c r="M1565" s="2" t="str">
        <f t="shared" si="27"/>
        <v>03</v>
      </c>
      <c r="N1565" s="2" t="s">
        <v>4108</v>
      </c>
      <c r="O1565" s="2" t="s">
        <v>4373</v>
      </c>
      <c r="P1565" s="2" t="s">
        <v>4381</v>
      </c>
    </row>
    <row r="1566" spans="1:16">
      <c r="A1566" s="4">
        <v>46246.288402777776</v>
      </c>
      <c r="B1566" s="2" t="s">
        <v>1511</v>
      </c>
      <c r="C1566" s="2" t="s">
        <v>1350</v>
      </c>
      <c r="D1566" s="2" t="s">
        <v>3966</v>
      </c>
      <c r="E1566" s="2">
        <v>20</v>
      </c>
      <c r="F1566" s="2"/>
      <c r="G1566" s="2">
        <v>20</v>
      </c>
      <c r="H1566" s="2" t="s">
        <v>821</v>
      </c>
      <c r="I1566" s="2" t="s">
        <v>695</v>
      </c>
      <c r="J1566" s="2" t="s">
        <v>2537</v>
      </c>
      <c r="K1566" s="2" t="s">
        <v>1855</v>
      </c>
      <c r="L1566" s="2" t="s">
        <v>3493</v>
      </c>
      <c r="M1566" s="2" t="str">
        <f t="shared" si="27"/>
        <v>03</v>
      </c>
      <c r="N1566" s="2" t="s">
        <v>749</v>
      </c>
      <c r="O1566" s="2" t="s">
        <v>4373</v>
      </c>
      <c r="P1566" s="2" t="s">
        <v>4381</v>
      </c>
    </row>
    <row r="1567" spans="1:16">
      <c r="A1567" s="4">
        <v>46246.288344907407</v>
      </c>
      <c r="B1567" s="2" t="s">
        <v>2541</v>
      </c>
      <c r="C1567" s="2" t="s">
        <v>1350</v>
      </c>
      <c r="D1567" s="2" t="s">
        <v>3966</v>
      </c>
      <c r="E1567" s="2">
        <v>20</v>
      </c>
      <c r="F1567" s="2"/>
      <c r="G1567" s="2">
        <v>20</v>
      </c>
      <c r="H1567" s="2" t="s">
        <v>821</v>
      </c>
      <c r="I1567" s="2" t="s">
        <v>695</v>
      </c>
      <c r="J1567" s="2" t="s">
        <v>2537</v>
      </c>
      <c r="K1567" s="2" t="s">
        <v>1855</v>
      </c>
      <c r="L1567" s="2" t="s">
        <v>3493</v>
      </c>
      <c r="M1567" s="2" t="str">
        <f t="shared" si="27"/>
        <v>03</v>
      </c>
      <c r="N1567" s="2" t="s">
        <v>1697</v>
      </c>
      <c r="O1567" s="2" t="s">
        <v>4373</v>
      </c>
      <c r="P1567" s="2" t="s">
        <v>4381</v>
      </c>
    </row>
    <row r="1568" spans="1:16">
      <c r="A1568" s="4">
        <v>46246.285879629628</v>
      </c>
      <c r="B1568" s="2" t="s">
        <v>121</v>
      </c>
      <c r="C1568" s="2" t="s">
        <v>1350</v>
      </c>
      <c r="D1568" s="2" t="s">
        <v>3966</v>
      </c>
      <c r="E1568" s="2">
        <v>20</v>
      </c>
      <c r="F1568" s="2"/>
      <c r="G1568" s="2">
        <v>20</v>
      </c>
      <c r="H1568" s="2" t="s">
        <v>821</v>
      </c>
      <c r="I1568" s="2" t="s">
        <v>695</v>
      </c>
      <c r="J1568" s="2" t="s">
        <v>2537</v>
      </c>
      <c r="K1568" s="2" t="s">
        <v>1855</v>
      </c>
      <c r="L1568" s="2" t="s">
        <v>3493</v>
      </c>
      <c r="M1568" s="2" t="str">
        <f t="shared" si="27"/>
        <v>03</v>
      </c>
      <c r="N1568" s="2" t="s">
        <v>600</v>
      </c>
      <c r="O1568" s="2" t="s">
        <v>4373</v>
      </c>
      <c r="P1568" s="2" t="s">
        <v>4381</v>
      </c>
    </row>
    <row r="1569" spans="1:16">
      <c r="A1569" s="4">
        <v>46246.285833333335</v>
      </c>
      <c r="B1569" s="2" t="s">
        <v>2984</v>
      </c>
      <c r="C1569" s="2" t="s">
        <v>1350</v>
      </c>
      <c r="D1569" s="2" t="s">
        <v>3966</v>
      </c>
      <c r="E1569" s="2">
        <v>20</v>
      </c>
      <c r="F1569" s="2"/>
      <c r="G1569" s="2">
        <v>20</v>
      </c>
      <c r="H1569" s="2" t="s">
        <v>821</v>
      </c>
      <c r="I1569" s="2" t="s">
        <v>695</v>
      </c>
      <c r="J1569" s="2" t="s">
        <v>2537</v>
      </c>
      <c r="K1569" s="2" t="s">
        <v>1855</v>
      </c>
      <c r="L1569" s="2" t="s">
        <v>3493</v>
      </c>
      <c r="M1569" s="2" t="str">
        <f t="shared" si="27"/>
        <v>03</v>
      </c>
      <c r="N1569" s="2" t="s">
        <v>2531</v>
      </c>
      <c r="O1569" s="2" t="s">
        <v>4373</v>
      </c>
      <c r="P1569" s="2" t="s">
        <v>4381</v>
      </c>
    </row>
    <row r="1570" spans="1:16">
      <c r="A1570" s="4">
        <v>46246.281898148147</v>
      </c>
      <c r="B1570" s="2" t="s">
        <v>297</v>
      </c>
      <c r="C1570" s="2" t="s">
        <v>1350</v>
      </c>
      <c r="D1570" s="2" t="s">
        <v>3966</v>
      </c>
      <c r="E1570" s="2">
        <v>20</v>
      </c>
      <c r="F1570" s="2"/>
      <c r="G1570" s="2">
        <v>20</v>
      </c>
      <c r="H1570" s="2" t="s">
        <v>821</v>
      </c>
      <c r="I1570" s="2" t="s">
        <v>695</v>
      </c>
      <c r="J1570" s="2" t="s">
        <v>2537</v>
      </c>
      <c r="K1570" s="2" t="s">
        <v>1855</v>
      </c>
      <c r="L1570" s="2" t="s">
        <v>3493</v>
      </c>
      <c r="M1570" s="2" t="str">
        <f t="shared" si="27"/>
        <v>03</v>
      </c>
      <c r="N1570" s="2" t="s">
        <v>283</v>
      </c>
      <c r="O1570" s="2" t="s">
        <v>4373</v>
      </c>
      <c r="P1570" s="2" t="s">
        <v>4381</v>
      </c>
    </row>
    <row r="1571" spans="1:16">
      <c r="A1571" s="4">
        <v>46246.281828703701</v>
      </c>
      <c r="B1571" s="2" t="s">
        <v>3464</v>
      </c>
      <c r="C1571" s="2" t="s">
        <v>1350</v>
      </c>
      <c r="D1571" s="2" t="s">
        <v>3966</v>
      </c>
      <c r="E1571" s="2">
        <v>20</v>
      </c>
      <c r="F1571" s="2"/>
      <c r="G1571" s="2">
        <v>20</v>
      </c>
      <c r="H1571" s="2" t="s">
        <v>821</v>
      </c>
      <c r="I1571" s="2" t="s">
        <v>695</v>
      </c>
      <c r="J1571" s="2" t="s">
        <v>2537</v>
      </c>
      <c r="K1571" s="2" t="s">
        <v>1855</v>
      </c>
      <c r="L1571" s="2" t="s">
        <v>3493</v>
      </c>
      <c r="M1571" s="2" t="str">
        <f t="shared" si="27"/>
        <v>03</v>
      </c>
      <c r="N1571" s="2" t="s">
        <v>2310</v>
      </c>
      <c r="O1571" s="2" t="s">
        <v>4373</v>
      </c>
      <c r="P1571" s="2" t="s">
        <v>4381</v>
      </c>
    </row>
    <row r="1572" spans="1:16">
      <c r="A1572" s="4">
        <v>46244.885798611111</v>
      </c>
      <c r="B1572" s="2" t="s">
        <v>1072</v>
      </c>
      <c r="C1572" s="2" t="s">
        <v>1350</v>
      </c>
      <c r="D1572" s="2" t="s">
        <v>3966</v>
      </c>
      <c r="E1572" s="2">
        <v>20</v>
      </c>
      <c r="F1572" s="2"/>
      <c r="G1572" s="2">
        <v>20</v>
      </c>
      <c r="H1572" s="2" t="s">
        <v>1061</v>
      </c>
      <c r="I1572" s="2" t="s">
        <v>695</v>
      </c>
      <c r="J1572" s="2" t="s">
        <v>2537</v>
      </c>
      <c r="K1572" s="2" t="s">
        <v>1855</v>
      </c>
      <c r="L1572" s="2" t="s">
        <v>1847</v>
      </c>
      <c r="M1572" s="2" t="str">
        <f t="shared" si="27"/>
        <v>14</v>
      </c>
      <c r="N1572" s="2" t="s">
        <v>3473</v>
      </c>
      <c r="O1572" s="2" t="s">
        <v>4373</v>
      </c>
      <c r="P1572" s="2" t="s">
        <v>4375</v>
      </c>
    </row>
    <row r="1573" spans="1:16">
      <c r="A1573" s="4">
        <v>46244.885717592595</v>
      </c>
      <c r="B1573" s="2" t="s">
        <v>224</v>
      </c>
      <c r="C1573" s="2" t="s">
        <v>1350</v>
      </c>
      <c r="D1573" s="2" t="s">
        <v>3966</v>
      </c>
      <c r="E1573" s="2">
        <v>20</v>
      </c>
      <c r="F1573" s="2"/>
      <c r="G1573" s="2">
        <v>20</v>
      </c>
      <c r="H1573" s="2" t="s">
        <v>1061</v>
      </c>
      <c r="I1573" s="2" t="s">
        <v>695</v>
      </c>
      <c r="J1573" s="2" t="s">
        <v>2537</v>
      </c>
      <c r="K1573" s="2" t="s">
        <v>1855</v>
      </c>
      <c r="L1573" s="2" t="s">
        <v>1847</v>
      </c>
      <c r="M1573" s="2" t="str">
        <f t="shared" si="27"/>
        <v>14</v>
      </c>
      <c r="N1573" s="2" t="s">
        <v>2704</v>
      </c>
      <c r="O1573" s="2" t="s">
        <v>4373</v>
      </c>
      <c r="P1573" s="2" t="s">
        <v>4375</v>
      </c>
    </row>
    <row r="1574" spans="1:16">
      <c r="A1574" s="4">
        <v>46244.885671296295</v>
      </c>
      <c r="B1574" s="2" t="s">
        <v>3420</v>
      </c>
      <c r="C1574" s="2" t="s">
        <v>1350</v>
      </c>
      <c r="D1574" s="2" t="s">
        <v>3966</v>
      </c>
      <c r="E1574" s="2">
        <v>20</v>
      </c>
      <c r="F1574" s="2"/>
      <c r="G1574" s="2">
        <v>20</v>
      </c>
      <c r="H1574" s="2" t="s">
        <v>1061</v>
      </c>
      <c r="I1574" s="2" t="s">
        <v>695</v>
      </c>
      <c r="J1574" s="2" t="s">
        <v>2537</v>
      </c>
      <c r="K1574" s="2" t="s">
        <v>1855</v>
      </c>
      <c r="L1574" s="2" t="s">
        <v>1847</v>
      </c>
      <c r="M1574" s="2" t="str">
        <f t="shared" si="27"/>
        <v>14</v>
      </c>
      <c r="N1574" s="2" t="s">
        <v>3714</v>
      </c>
      <c r="O1574" s="2" t="s">
        <v>4373</v>
      </c>
      <c r="P1574" s="2" t="s">
        <v>4375</v>
      </c>
    </row>
    <row r="1575" spans="1:16">
      <c r="A1575" s="4">
        <v>46244.882511574076</v>
      </c>
      <c r="B1575" s="2" t="s">
        <v>2892</v>
      </c>
      <c r="C1575" s="2" t="s">
        <v>1350</v>
      </c>
      <c r="D1575" s="2" t="s">
        <v>3966</v>
      </c>
      <c r="E1575" s="2">
        <v>20</v>
      </c>
      <c r="F1575" s="2"/>
      <c r="G1575" s="2">
        <v>20</v>
      </c>
      <c r="H1575" s="2" t="s">
        <v>1061</v>
      </c>
      <c r="I1575" s="2" t="s">
        <v>695</v>
      </c>
      <c r="J1575" s="2" t="s">
        <v>2537</v>
      </c>
      <c r="K1575" s="2" t="s">
        <v>1855</v>
      </c>
      <c r="L1575" s="2" t="s">
        <v>1847</v>
      </c>
      <c r="M1575" s="2" t="str">
        <f t="shared" si="27"/>
        <v>14</v>
      </c>
      <c r="N1575" s="2" t="s">
        <v>1129</v>
      </c>
      <c r="O1575" s="2" t="s">
        <v>4373</v>
      </c>
      <c r="P1575" s="2" t="s">
        <v>4375</v>
      </c>
    </row>
    <row r="1576" spans="1:16">
      <c r="A1576" s="4">
        <v>46244.882453703707</v>
      </c>
      <c r="B1576" s="2" t="s">
        <v>2775</v>
      </c>
      <c r="C1576" s="2" t="s">
        <v>1350</v>
      </c>
      <c r="D1576" s="2" t="s">
        <v>3966</v>
      </c>
      <c r="E1576" s="2">
        <v>20</v>
      </c>
      <c r="F1576" s="2"/>
      <c r="G1576" s="2">
        <v>20</v>
      </c>
      <c r="H1576" s="2" t="s">
        <v>1061</v>
      </c>
      <c r="I1576" s="2" t="s">
        <v>695</v>
      </c>
      <c r="J1576" s="2" t="s">
        <v>2537</v>
      </c>
      <c r="K1576" s="2" t="s">
        <v>1855</v>
      </c>
      <c r="L1576" s="2" t="s">
        <v>1847</v>
      </c>
      <c r="M1576" s="2" t="str">
        <f t="shared" si="27"/>
        <v>14</v>
      </c>
      <c r="N1576" s="2" t="s">
        <v>1808</v>
      </c>
      <c r="O1576" s="2" t="s">
        <v>4373</v>
      </c>
      <c r="P1576" s="2" t="s">
        <v>4375</v>
      </c>
    </row>
    <row r="1577" spans="1:16">
      <c r="A1577" s="4">
        <v>46244.882337962961</v>
      </c>
      <c r="B1577" s="2" t="s">
        <v>1342</v>
      </c>
      <c r="C1577" s="2" t="s">
        <v>1350</v>
      </c>
      <c r="D1577" s="2" t="s">
        <v>3966</v>
      </c>
      <c r="E1577" s="2">
        <v>20</v>
      </c>
      <c r="F1577" s="2"/>
      <c r="G1577" s="2">
        <v>20</v>
      </c>
      <c r="H1577" s="2" t="s">
        <v>1061</v>
      </c>
      <c r="I1577" s="2" t="s">
        <v>695</v>
      </c>
      <c r="J1577" s="2" t="s">
        <v>2537</v>
      </c>
      <c r="K1577" s="2" t="s">
        <v>1855</v>
      </c>
      <c r="L1577" s="2" t="s">
        <v>1847</v>
      </c>
      <c r="M1577" s="2" t="str">
        <f t="shared" si="27"/>
        <v>14</v>
      </c>
      <c r="N1577" s="2" t="s">
        <v>794</v>
      </c>
      <c r="O1577" s="2" t="s">
        <v>4373</v>
      </c>
      <c r="P1577" s="2" t="s">
        <v>4375</v>
      </c>
    </row>
    <row r="1578" spans="1:16">
      <c r="A1578" s="4">
        <v>46244.87945601852</v>
      </c>
      <c r="B1578" s="2" t="s">
        <v>299</v>
      </c>
      <c r="C1578" s="2" t="s">
        <v>1350</v>
      </c>
      <c r="D1578" s="2" t="s">
        <v>3966</v>
      </c>
      <c r="E1578" s="2">
        <v>20</v>
      </c>
      <c r="F1578" s="2"/>
      <c r="G1578" s="2">
        <v>20</v>
      </c>
      <c r="H1578" s="2" t="s">
        <v>1061</v>
      </c>
      <c r="I1578" s="2" t="s">
        <v>695</v>
      </c>
      <c r="J1578" s="2" t="s">
        <v>2537</v>
      </c>
      <c r="K1578" s="2" t="s">
        <v>1855</v>
      </c>
      <c r="L1578" s="2" t="s">
        <v>1847</v>
      </c>
      <c r="M1578" s="2" t="str">
        <f t="shared" si="27"/>
        <v>14</v>
      </c>
      <c r="N1578" s="2" t="s">
        <v>3534</v>
      </c>
      <c r="O1578" s="2" t="s">
        <v>4373</v>
      </c>
      <c r="P1578" s="2" t="s">
        <v>4375</v>
      </c>
    </row>
    <row r="1579" spans="1:16">
      <c r="A1579" s="4">
        <v>46244.878981481481</v>
      </c>
      <c r="B1579" s="2" t="s">
        <v>4309</v>
      </c>
      <c r="C1579" s="2" t="s">
        <v>1350</v>
      </c>
      <c r="D1579" s="2" t="s">
        <v>3966</v>
      </c>
      <c r="E1579" s="2">
        <v>20</v>
      </c>
      <c r="F1579" s="2"/>
      <c r="G1579" s="2">
        <v>20</v>
      </c>
      <c r="H1579" s="2" t="s">
        <v>1061</v>
      </c>
      <c r="I1579" s="2" t="s">
        <v>695</v>
      </c>
      <c r="J1579" s="2" t="s">
        <v>2537</v>
      </c>
      <c r="K1579" s="2" t="s">
        <v>1855</v>
      </c>
      <c r="L1579" s="2" t="s">
        <v>1847</v>
      </c>
      <c r="M1579" s="2" t="str">
        <f t="shared" si="27"/>
        <v>14</v>
      </c>
      <c r="N1579" s="2" t="s">
        <v>2123</v>
      </c>
      <c r="O1579" s="2" t="s">
        <v>4373</v>
      </c>
      <c r="P1579" s="2" t="s">
        <v>4375</v>
      </c>
    </row>
    <row r="1580" spans="1:16">
      <c r="A1580" s="4">
        <v>46244.878703703704</v>
      </c>
      <c r="B1580" s="2" t="s">
        <v>369</v>
      </c>
      <c r="C1580" s="2" t="s">
        <v>1350</v>
      </c>
      <c r="D1580" s="2" t="s">
        <v>3966</v>
      </c>
      <c r="E1580" s="2">
        <v>20</v>
      </c>
      <c r="F1580" s="2"/>
      <c r="G1580" s="2">
        <v>20</v>
      </c>
      <c r="H1580" s="2" t="s">
        <v>1061</v>
      </c>
      <c r="I1580" s="2" t="s">
        <v>695</v>
      </c>
      <c r="J1580" s="2" t="s">
        <v>2537</v>
      </c>
      <c r="K1580" s="2" t="s">
        <v>1855</v>
      </c>
      <c r="L1580" s="2" t="s">
        <v>1847</v>
      </c>
      <c r="M1580" s="2" t="str">
        <f t="shared" si="27"/>
        <v>14</v>
      </c>
      <c r="N1580" s="2" t="s">
        <v>1980</v>
      </c>
      <c r="O1580" s="2" t="s">
        <v>4373</v>
      </c>
      <c r="P1580" s="2" t="s">
        <v>4375</v>
      </c>
    </row>
    <row r="1581" spans="1:16">
      <c r="A1581" s="4">
        <v>46244.874398148146</v>
      </c>
      <c r="B1581" s="2" t="s">
        <v>315</v>
      </c>
      <c r="C1581" s="2" t="s">
        <v>1350</v>
      </c>
      <c r="D1581" s="2" t="s">
        <v>3966</v>
      </c>
      <c r="E1581" s="2">
        <v>20</v>
      </c>
      <c r="F1581" s="2"/>
      <c r="G1581" s="2">
        <v>20</v>
      </c>
      <c r="H1581" s="2" t="s">
        <v>1061</v>
      </c>
      <c r="I1581" s="2" t="s">
        <v>695</v>
      </c>
      <c r="J1581" s="2" t="s">
        <v>2537</v>
      </c>
      <c r="K1581" s="2" t="s">
        <v>1855</v>
      </c>
      <c r="L1581" s="2" t="s">
        <v>1847</v>
      </c>
      <c r="M1581" s="2" t="str">
        <f t="shared" si="27"/>
        <v>14</v>
      </c>
      <c r="N1581" s="2" t="s">
        <v>1331</v>
      </c>
      <c r="O1581" s="2" t="s">
        <v>4373</v>
      </c>
      <c r="P1581" s="2" t="s">
        <v>4375</v>
      </c>
    </row>
    <row r="1582" spans="1:16">
      <c r="A1582" s="4">
        <v>46244.874062499999</v>
      </c>
      <c r="B1582" s="2" t="s">
        <v>2303</v>
      </c>
      <c r="C1582" s="2" t="s">
        <v>1350</v>
      </c>
      <c r="D1582" s="2" t="s">
        <v>3966</v>
      </c>
      <c r="E1582" s="2">
        <v>20</v>
      </c>
      <c r="F1582" s="2"/>
      <c r="G1582" s="2">
        <v>20</v>
      </c>
      <c r="H1582" s="2" t="s">
        <v>1061</v>
      </c>
      <c r="I1582" s="2" t="s">
        <v>695</v>
      </c>
      <c r="J1582" s="2" t="s">
        <v>2537</v>
      </c>
      <c r="K1582" s="2" t="s">
        <v>1855</v>
      </c>
      <c r="L1582" s="2" t="s">
        <v>1847</v>
      </c>
      <c r="M1582" s="2" t="str">
        <f t="shared" si="27"/>
        <v>14</v>
      </c>
      <c r="N1582" s="2" t="s">
        <v>773</v>
      </c>
      <c r="O1582" s="2" t="s">
        <v>4373</v>
      </c>
      <c r="P1582" s="2" t="s">
        <v>4375</v>
      </c>
    </row>
    <row r="1583" spans="1:16">
      <c r="A1583" s="4">
        <v>46244.874039351853</v>
      </c>
      <c r="B1583" s="2" t="s">
        <v>1402</v>
      </c>
      <c r="C1583" s="2" t="s">
        <v>1350</v>
      </c>
      <c r="D1583" s="2" t="s">
        <v>3966</v>
      </c>
      <c r="E1583" s="2">
        <v>20</v>
      </c>
      <c r="F1583" s="2"/>
      <c r="G1583" s="2">
        <v>20</v>
      </c>
      <c r="H1583" s="2" t="s">
        <v>1061</v>
      </c>
      <c r="I1583" s="2" t="s">
        <v>695</v>
      </c>
      <c r="J1583" s="2" t="s">
        <v>2537</v>
      </c>
      <c r="K1583" s="2" t="s">
        <v>1855</v>
      </c>
      <c r="L1583" s="2" t="s">
        <v>1847</v>
      </c>
      <c r="M1583" s="2" t="str">
        <f t="shared" si="27"/>
        <v>14</v>
      </c>
      <c r="N1583" s="2" t="s">
        <v>921</v>
      </c>
      <c r="O1583" s="2" t="s">
        <v>4373</v>
      </c>
      <c r="P1583" s="2" t="s">
        <v>4375</v>
      </c>
    </row>
    <row r="1584" spans="1:16">
      <c r="A1584" s="4">
        <v>46244.871261574073</v>
      </c>
      <c r="B1584" s="2" t="s">
        <v>2321</v>
      </c>
      <c r="C1584" s="2" t="s">
        <v>1350</v>
      </c>
      <c r="D1584" s="2" t="s">
        <v>3966</v>
      </c>
      <c r="E1584" s="2">
        <v>20</v>
      </c>
      <c r="F1584" s="2"/>
      <c r="G1584" s="2">
        <v>20</v>
      </c>
      <c r="H1584" s="2" t="s">
        <v>1061</v>
      </c>
      <c r="I1584" s="2" t="s">
        <v>695</v>
      </c>
      <c r="J1584" s="2" t="s">
        <v>2537</v>
      </c>
      <c r="K1584" s="2" t="s">
        <v>1855</v>
      </c>
      <c r="L1584" s="2" t="s">
        <v>1847</v>
      </c>
      <c r="M1584" s="2" t="str">
        <f t="shared" si="27"/>
        <v>14</v>
      </c>
      <c r="N1584" s="2" t="s">
        <v>2556</v>
      </c>
      <c r="O1584" s="2" t="s">
        <v>4373</v>
      </c>
      <c r="P1584" s="2" t="s">
        <v>4375</v>
      </c>
    </row>
    <row r="1585" spans="1:16">
      <c r="A1585" s="4">
        <v>46244.87122685185</v>
      </c>
      <c r="B1585" s="2" t="s">
        <v>3524</v>
      </c>
      <c r="C1585" s="2" t="s">
        <v>1350</v>
      </c>
      <c r="D1585" s="2" t="s">
        <v>3966</v>
      </c>
      <c r="E1585" s="2">
        <v>20</v>
      </c>
      <c r="F1585" s="2"/>
      <c r="G1585" s="2">
        <v>20</v>
      </c>
      <c r="H1585" s="2" t="s">
        <v>1061</v>
      </c>
      <c r="I1585" s="2" t="s">
        <v>695</v>
      </c>
      <c r="J1585" s="2" t="s">
        <v>2537</v>
      </c>
      <c r="K1585" s="2" t="s">
        <v>1855</v>
      </c>
      <c r="L1585" s="2" t="s">
        <v>1847</v>
      </c>
      <c r="M1585" s="2" t="str">
        <f t="shared" si="27"/>
        <v>14</v>
      </c>
      <c r="N1585" s="2" t="s">
        <v>4245</v>
      </c>
      <c r="O1585" s="2" t="s">
        <v>4373</v>
      </c>
      <c r="P1585" s="2" t="s">
        <v>4375</v>
      </c>
    </row>
    <row r="1586" spans="1:16">
      <c r="A1586" s="4">
        <v>46244.871203703704</v>
      </c>
      <c r="B1586" s="2" t="s">
        <v>4302</v>
      </c>
      <c r="C1586" s="2" t="s">
        <v>1350</v>
      </c>
      <c r="D1586" s="2" t="s">
        <v>3966</v>
      </c>
      <c r="E1586" s="2">
        <v>20</v>
      </c>
      <c r="F1586" s="2"/>
      <c r="G1586" s="2">
        <v>20</v>
      </c>
      <c r="H1586" s="2" t="s">
        <v>1061</v>
      </c>
      <c r="I1586" s="2" t="s">
        <v>695</v>
      </c>
      <c r="J1586" s="2" t="s">
        <v>2537</v>
      </c>
      <c r="K1586" s="2" t="s">
        <v>1855</v>
      </c>
      <c r="L1586" s="2" t="s">
        <v>1847</v>
      </c>
      <c r="M1586" s="2" t="str">
        <f t="shared" si="27"/>
        <v>14</v>
      </c>
      <c r="N1586" s="2" t="s">
        <v>2737</v>
      </c>
      <c r="O1586" s="2" t="s">
        <v>4373</v>
      </c>
      <c r="P1586" s="2" t="s">
        <v>4375</v>
      </c>
    </row>
    <row r="1587" spans="1:16">
      <c r="A1587" s="4">
        <v>46244.867962962962</v>
      </c>
      <c r="B1587" s="2" t="s">
        <v>3069</v>
      </c>
      <c r="C1587" s="2" t="s">
        <v>1350</v>
      </c>
      <c r="D1587" s="2" t="s">
        <v>3966</v>
      </c>
      <c r="E1587" s="2">
        <v>20</v>
      </c>
      <c r="F1587" s="2"/>
      <c r="G1587" s="2">
        <v>20</v>
      </c>
      <c r="H1587" s="2" t="s">
        <v>1061</v>
      </c>
      <c r="I1587" s="2" t="s">
        <v>695</v>
      </c>
      <c r="J1587" s="2" t="s">
        <v>2537</v>
      </c>
      <c r="K1587" s="2" t="s">
        <v>1855</v>
      </c>
      <c r="L1587" s="2" t="s">
        <v>1847</v>
      </c>
      <c r="M1587" s="2" t="str">
        <f t="shared" si="27"/>
        <v>14</v>
      </c>
      <c r="N1587" s="2" t="s">
        <v>3204</v>
      </c>
      <c r="O1587" s="2" t="s">
        <v>4373</v>
      </c>
      <c r="P1587" s="2" t="s">
        <v>4375</v>
      </c>
    </row>
    <row r="1588" spans="1:16">
      <c r="A1588" s="4">
        <v>46244.867291666669</v>
      </c>
      <c r="B1588" s="2" t="s">
        <v>3392</v>
      </c>
      <c r="C1588" s="2" t="s">
        <v>1350</v>
      </c>
      <c r="D1588" s="2" t="s">
        <v>3966</v>
      </c>
      <c r="E1588" s="2">
        <v>20</v>
      </c>
      <c r="F1588" s="2"/>
      <c r="G1588" s="2">
        <v>20</v>
      </c>
      <c r="H1588" s="2" t="s">
        <v>1061</v>
      </c>
      <c r="I1588" s="2" t="s">
        <v>695</v>
      </c>
      <c r="J1588" s="2" t="s">
        <v>2537</v>
      </c>
      <c r="K1588" s="2" t="s">
        <v>1855</v>
      </c>
      <c r="L1588" s="2" t="s">
        <v>1847</v>
      </c>
      <c r="M1588" s="2" t="str">
        <f t="shared" si="27"/>
        <v>14</v>
      </c>
      <c r="N1588" s="2" t="s">
        <v>3458</v>
      </c>
      <c r="O1588" s="2" t="s">
        <v>4373</v>
      </c>
      <c r="P1588" s="2" t="s">
        <v>4375</v>
      </c>
    </row>
    <row r="1589" spans="1:16">
      <c r="A1589" s="4">
        <v>46244.867256944446</v>
      </c>
      <c r="B1589" s="2" t="s">
        <v>2568</v>
      </c>
      <c r="C1589" s="2" t="s">
        <v>1350</v>
      </c>
      <c r="D1589" s="2" t="s">
        <v>3966</v>
      </c>
      <c r="E1589" s="2">
        <v>20</v>
      </c>
      <c r="F1589" s="2"/>
      <c r="G1589" s="2">
        <v>20</v>
      </c>
      <c r="H1589" s="2" t="s">
        <v>1061</v>
      </c>
      <c r="I1589" s="2" t="s">
        <v>695</v>
      </c>
      <c r="J1589" s="2" t="s">
        <v>2537</v>
      </c>
      <c r="K1589" s="2" t="s">
        <v>1855</v>
      </c>
      <c r="L1589" s="2" t="s">
        <v>1847</v>
      </c>
      <c r="M1589" s="2" t="str">
        <f t="shared" si="27"/>
        <v>14</v>
      </c>
      <c r="N1589" s="2" t="s">
        <v>1825</v>
      </c>
      <c r="O1589" s="2" t="s">
        <v>4373</v>
      </c>
      <c r="P1589" s="2" t="s">
        <v>4375</v>
      </c>
    </row>
    <row r="1590" spans="1:16">
      <c r="A1590" s="4">
        <v>46244.862430555557</v>
      </c>
      <c r="B1590" s="2" t="s">
        <v>2186</v>
      </c>
      <c r="C1590" s="2" t="s">
        <v>1350</v>
      </c>
      <c r="D1590" s="2" t="s">
        <v>3966</v>
      </c>
      <c r="E1590" s="2">
        <v>20</v>
      </c>
      <c r="F1590" s="2"/>
      <c r="G1590" s="2">
        <v>20</v>
      </c>
      <c r="H1590" s="2" t="s">
        <v>1061</v>
      </c>
      <c r="I1590" s="2" t="s">
        <v>695</v>
      </c>
      <c r="J1590" s="2" t="s">
        <v>2537</v>
      </c>
      <c r="K1590" s="2" t="s">
        <v>1855</v>
      </c>
      <c r="L1590" s="2" t="s">
        <v>1847</v>
      </c>
      <c r="M1590" s="2" t="str">
        <f t="shared" si="27"/>
        <v>14</v>
      </c>
      <c r="N1590" s="2" t="s">
        <v>4084</v>
      </c>
      <c r="O1590" s="2" t="s">
        <v>4373</v>
      </c>
      <c r="P1590" s="2" t="s">
        <v>4375</v>
      </c>
    </row>
    <row r="1591" spans="1:16">
      <c r="A1591" s="4">
        <v>46244.862280092595</v>
      </c>
      <c r="B1591" s="2" t="s">
        <v>2420</v>
      </c>
      <c r="C1591" s="2" t="s">
        <v>1350</v>
      </c>
      <c r="D1591" s="2" t="s">
        <v>3966</v>
      </c>
      <c r="E1591" s="2">
        <v>20</v>
      </c>
      <c r="F1591" s="2"/>
      <c r="G1591" s="2">
        <v>20</v>
      </c>
      <c r="H1591" s="2" t="s">
        <v>1061</v>
      </c>
      <c r="I1591" s="2" t="s">
        <v>695</v>
      </c>
      <c r="J1591" s="2" t="s">
        <v>2537</v>
      </c>
      <c r="K1591" s="2" t="s">
        <v>1855</v>
      </c>
      <c r="L1591" s="2" t="s">
        <v>1847</v>
      </c>
      <c r="M1591" s="2" t="str">
        <f t="shared" si="27"/>
        <v>14</v>
      </c>
      <c r="N1591" s="2" t="s">
        <v>347</v>
      </c>
      <c r="O1591" s="2" t="s">
        <v>4373</v>
      </c>
      <c r="P1591" s="2" t="s">
        <v>4375</v>
      </c>
    </row>
    <row r="1592" spans="1:16">
      <c r="A1592" s="4">
        <v>46244.861909722225</v>
      </c>
      <c r="B1592" s="2" t="s">
        <v>2870</v>
      </c>
      <c r="C1592" s="2" t="s">
        <v>1350</v>
      </c>
      <c r="D1592" s="2" t="s">
        <v>3966</v>
      </c>
      <c r="E1592" s="2">
        <v>20</v>
      </c>
      <c r="F1592" s="2"/>
      <c r="G1592" s="2">
        <v>20</v>
      </c>
      <c r="H1592" s="2" t="s">
        <v>1061</v>
      </c>
      <c r="I1592" s="2" t="s">
        <v>695</v>
      </c>
      <c r="J1592" s="2" t="s">
        <v>2537</v>
      </c>
      <c r="K1592" s="2" t="s">
        <v>1855</v>
      </c>
      <c r="L1592" s="2" t="s">
        <v>1847</v>
      </c>
      <c r="M1592" s="2" t="str">
        <f t="shared" si="27"/>
        <v>14</v>
      </c>
      <c r="N1592" s="2" t="s">
        <v>2557</v>
      </c>
      <c r="O1592" s="2" t="s">
        <v>4373</v>
      </c>
      <c r="P1592" s="2" t="s">
        <v>4375</v>
      </c>
    </row>
    <row r="1593" spans="1:16">
      <c r="A1593" s="4">
        <v>46244.859629629631</v>
      </c>
      <c r="B1593" s="2" t="s">
        <v>3450</v>
      </c>
      <c r="C1593" s="2" t="s">
        <v>1350</v>
      </c>
      <c r="D1593" s="2" t="s">
        <v>3966</v>
      </c>
      <c r="E1593" s="2">
        <v>20</v>
      </c>
      <c r="F1593" s="2"/>
      <c r="G1593" s="2">
        <v>20</v>
      </c>
      <c r="H1593" s="2" t="s">
        <v>1061</v>
      </c>
      <c r="I1593" s="2" t="s">
        <v>695</v>
      </c>
      <c r="J1593" s="2" t="s">
        <v>2537</v>
      </c>
      <c r="K1593" s="2" t="s">
        <v>1855</v>
      </c>
      <c r="L1593" s="2" t="s">
        <v>1847</v>
      </c>
      <c r="M1593" s="2" t="str">
        <f t="shared" si="27"/>
        <v>14</v>
      </c>
      <c r="N1593" s="2" t="s">
        <v>3854</v>
      </c>
      <c r="O1593" s="2" t="s">
        <v>4373</v>
      </c>
      <c r="P1593" s="2" t="s">
        <v>4375</v>
      </c>
    </row>
    <row r="1594" spans="1:16">
      <c r="A1594" s="4">
        <v>46244.859629629631</v>
      </c>
      <c r="B1594" s="2" t="s">
        <v>1232</v>
      </c>
      <c r="C1594" s="2" t="s">
        <v>1350</v>
      </c>
      <c r="D1594" s="2" t="s">
        <v>3966</v>
      </c>
      <c r="E1594" s="2">
        <v>20</v>
      </c>
      <c r="F1594" s="2"/>
      <c r="G1594" s="2">
        <v>20</v>
      </c>
      <c r="H1594" s="2" t="s">
        <v>1061</v>
      </c>
      <c r="I1594" s="2" t="s">
        <v>695</v>
      </c>
      <c r="J1594" s="2" t="s">
        <v>2537</v>
      </c>
      <c r="K1594" s="2" t="s">
        <v>1855</v>
      </c>
      <c r="L1594" s="2" t="s">
        <v>1847</v>
      </c>
      <c r="M1594" s="2" t="str">
        <f t="shared" si="27"/>
        <v>14</v>
      </c>
      <c r="N1594" s="2" t="s">
        <v>4182</v>
      </c>
      <c r="O1594" s="2" t="s">
        <v>4373</v>
      </c>
      <c r="P1594" s="2" t="s">
        <v>4375</v>
      </c>
    </row>
    <row r="1595" spans="1:16">
      <c r="A1595" s="4">
        <v>46244.859432870369</v>
      </c>
      <c r="B1595" s="2" t="s">
        <v>52</v>
      </c>
      <c r="C1595" s="2" t="s">
        <v>1350</v>
      </c>
      <c r="D1595" s="2" t="s">
        <v>3966</v>
      </c>
      <c r="E1595" s="2">
        <v>20</v>
      </c>
      <c r="F1595" s="2"/>
      <c r="G1595" s="2">
        <v>20</v>
      </c>
      <c r="H1595" s="2" t="s">
        <v>1061</v>
      </c>
      <c r="I1595" s="2" t="s">
        <v>695</v>
      </c>
      <c r="J1595" s="2" t="s">
        <v>2537</v>
      </c>
      <c r="K1595" s="2" t="s">
        <v>1855</v>
      </c>
      <c r="L1595" s="2" t="s">
        <v>1847</v>
      </c>
      <c r="M1595" s="2" t="str">
        <f t="shared" si="27"/>
        <v>14</v>
      </c>
      <c r="N1595" s="2" t="s">
        <v>1192</v>
      </c>
      <c r="O1595" s="2" t="s">
        <v>4373</v>
      </c>
      <c r="P1595" s="2" t="s">
        <v>4375</v>
      </c>
    </row>
    <row r="1596" spans="1:16">
      <c r="A1596" s="4">
        <v>46244.307500000003</v>
      </c>
      <c r="B1596" s="2" t="s">
        <v>402</v>
      </c>
      <c r="C1596" s="2" t="s">
        <v>1350</v>
      </c>
      <c r="D1596" s="2" t="s">
        <v>3966</v>
      </c>
      <c r="E1596" s="2">
        <v>20</v>
      </c>
      <c r="F1596" s="2"/>
      <c r="G1596" s="2">
        <v>20</v>
      </c>
      <c r="H1596" s="2" t="s">
        <v>821</v>
      </c>
      <c r="I1596" s="2" t="s">
        <v>695</v>
      </c>
      <c r="J1596" s="2" t="s">
        <v>2537</v>
      </c>
      <c r="K1596" s="2" t="s">
        <v>1855</v>
      </c>
      <c r="L1596" s="2" t="s">
        <v>1847</v>
      </c>
      <c r="M1596" s="2" t="str">
        <f t="shared" si="27"/>
        <v>14</v>
      </c>
      <c r="N1596" s="2" t="s">
        <v>3627</v>
      </c>
      <c r="O1596" s="2" t="s">
        <v>4373</v>
      </c>
      <c r="P1596" s="2" t="s">
        <v>4375</v>
      </c>
    </row>
    <row r="1597" spans="1:16">
      <c r="A1597" s="4">
        <v>46244.307395833333</v>
      </c>
      <c r="B1597" s="2" t="s">
        <v>1598</v>
      </c>
      <c r="C1597" s="2" t="s">
        <v>1350</v>
      </c>
      <c r="D1597" s="2" t="s">
        <v>3966</v>
      </c>
      <c r="E1597" s="2">
        <v>20</v>
      </c>
      <c r="F1597" s="2"/>
      <c r="G1597" s="2">
        <v>20</v>
      </c>
      <c r="H1597" s="2" t="s">
        <v>821</v>
      </c>
      <c r="I1597" s="2" t="s">
        <v>695</v>
      </c>
      <c r="J1597" s="2" t="s">
        <v>2537</v>
      </c>
      <c r="K1597" s="2" t="s">
        <v>1855</v>
      </c>
      <c r="L1597" s="2" t="s">
        <v>1847</v>
      </c>
      <c r="M1597" s="2" t="str">
        <f t="shared" si="27"/>
        <v>14</v>
      </c>
      <c r="N1597" s="2" t="s">
        <v>3872</v>
      </c>
      <c r="O1597" s="2" t="s">
        <v>4373</v>
      </c>
      <c r="P1597" s="2" t="s">
        <v>4375</v>
      </c>
    </row>
    <row r="1598" spans="1:16">
      <c r="A1598" s="4">
        <v>46244.307384259257</v>
      </c>
      <c r="B1598" s="2" t="s">
        <v>1513</v>
      </c>
      <c r="C1598" s="2" t="s">
        <v>1350</v>
      </c>
      <c r="D1598" s="2" t="s">
        <v>3966</v>
      </c>
      <c r="E1598" s="2">
        <v>20</v>
      </c>
      <c r="F1598" s="2"/>
      <c r="G1598" s="2">
        <v>20</v>
      </c>
      <c r="H1598" s="2" t="s">
        <v>821</v>
      </c>
      <c r="I1598" s="2" t="s">
        <v>695</v>
      </c>
      <c r="J1598" s="2" t="s">
        <v>2537</v>
      </c>
      <c r="K1598" s="2" t="s">
        <v>1855</v>
      </c>
      <c r="L1598" s="2" t="s">
        <v>1847</v>
      </c>
      <c r="M1598" s="2" t="str">
        <f t="shared" si="27"/>
        <v>14</v>
      </c>
      <c r="N1598" s="2" t="s">
        <v>561</v>
      </c>
      <c r="O1598" s="2" t="s">
        <v>4373</v>
      </c>
      <c r="P1598" s="2" t="s">
        <v>4375</v>
      </c>
    </row>
    <row r="1599" spans="1:16">
      <c r="A1599" s="4">
        <v>46244.302951388891</v>
      </c>
      <c r="B1599" s="2" t="s">
        <v>2066</v>
      </c>
      <c r="C1599" s="2" t="s">
        <v>1350</v>
      </c>
      <c r="D1599" s="2" t="s">
        <v>3966</v>
      </c>
      <c r="E1599" s="2">
        <v>20</v>
      </c>
      <c r="F1599" s="2"/>
      <c r="G1599" s="2">
        <v>20</v>
      </c>
      <c r="H1599" s="2" t="s">
        <v>821</v>
      </c>
      <c r="I1599" s="2" t="s">
        <v>695</v>
      </c>
      <c r="J1599" s="2" t="s">
        <v>2537</v>
      </c>
      <c r="K1599" s="2" t="s">
        <v>1855</v>
      </c>
      <c r="L1599" s="2" t="s">
        <v>1847</v>
      </c>
      <c r="M1599" s="2" t="str">
        <f t="shared" si="27"/>
        <v>14</v>
      </c>
      <c r="N1599" s="2" t="s">
        <v>1877</v>
      </c>
      <c r="O1599" s="2" t="s">
        <v>4373</v>
      </c>
      <c r="P1599" s="2" t="s">
        <v>4375</v>
      </c>
    </row>
    <row r="1600" spans="1:16">
      <c r="A1600" s="4">
        <v>46244.302928240744</v>
      </c>
      <c r="B1600" s="2" t="s">
        <v>915</v>
      </c>
      <c r="C1600" s="2" t="s">
        <v>1350</v>
      </c>
      <c r="D1600" s="2" t="s">
        <v>3966</v>
      </c>
      <c r="E1600" s="2">
        <v>20</v>
      </c>
      <c r="F1600" s="2"/>
      <c r="G1600" s="2">
        <v>20</v>
      </c>
      <c r="H1600" s="2" t="s">
        <v>821</v>
      </c>
      <c r="I1600" s="2" t="s">
        <v>695</v>
      </c>
      <c r="J1600" s="2" t="s">
        <v>2537</v>
      </c>
      <c r="K1600" s="2" t="s">
        <v>1855</v>
      </c>
      <c r="L1600" s="2" t="s">
        <v>1847</v>
      </c>
      <c r="M1600" s="2" t="str">
        <f t="shared" si="27"/>
        <v>14</v>
      </c>
      <c r="N1600" s="2" t="s">
        <v>4159</v>
      </c>
      <c r="O1600" s="2" t="s">
        <v>4373</v>
      </c>
      <c r="P1600" s="2" t="s">
        <v>4375</v>
      </c>
    </row>
    <row r="1601" spans="1:16">
      <c r="A1601" s="4">
        <v>46244.302685185183</v>
      </c>
      <c r="B1601" s="2" t="s">
        <v>3505</v>
      </c>
      <c r="C1601" s="2" t="s">
        <v>1350</v>
      </c>
      <c r="D1601" s="2" t="s">
        <v>3966</v>
      </c>
      <c r="E1601" s="2">
        <v>20</v>
      </c>
      <c r="F1601" s="2"/>
      <c r="G1601" s="2">
        <v>20</v>
      </c>
      <c r="H1601" s="2" t="s">
        <v>821</v>
      </c>
      <c r="I1601" s="2" t="s">
        <v>695</v>
      </c>
      <c r="J1601" s="2" t="s">
        <v>2537</v>
      </c>
      <c r="K1601" s="2" t="s">
        <v>1855</v>
      </c>
      <c r="L1601" s="2" t="s">
        <v>1847</v>
      </c>
      <c r="M1601" s="2" t="str">
        <f t="shared" si="27"/>
        <v>14</v>
      </c>
      <c r="N1601" s="2" t="s">
        <v>165</v>
      </c>
      <c r="O1601" s="2" t="s">
        <v>4373</v>
      </c>
      <c r="P1601" s="2" t="s">
        <v>4375</v>
      </c>
    </row>
    <row r="1602" spans="1:16">
      <c r="A1602" s="4">
        <v>46244.29959490741</v>
      </c>
      <c r="B1602" s="2" t="s">
        <v>2945</v>
      </c>
      <c r="C1602" s="2" t="s">
        <v>1350</v>
      </c>
      <c r="D1602" s="2" t="s">
        <v>3966</v>
      </c>
      <c r="E1602" s="2">
        <v>20</v>
      </c>
      <c r="F1602" s="2"/>
      <c r="G1602" s="2">
        <v>20</v>
      </c>
      <c r="H1602" s="2" t="s">
        <v>821</v>
      </c>
      <c r="I1602" s="2" t="s">
        <v>695</v>
      </c>
      <c r="J1602" s="2" t="s">
        <v>2537</v>
      </c>
      <c r="K1602" s="2" t="s">
        <v>1855</v>
      </c>
      <c r="L1602" s="2" t="s">
        <v>1847</v>
      </c>
      <c r="M1602" s="2" t="str">
        <f t="shared" ref="M1602:M1665" si="28">RIGHT(L1602,2)</f>
        <v>14</v>
      </c>
      <c r="N1602" s="2" t="s">
        <v>957</v>
      </c>
      <c r="O1602" s="2" t="s">
        <v>4373</v>
      </c>
      <c r="P1602" s="2" t="s">
        <v>4375</v>
      </c>
    </row>
    <row r="1603" spans="1:16">
      <c r="A1603" s="4">
        <v>46244.299375000002</v>
      </c>
      <c r="B1603" s="2" t="s">
        <v>2726</v>
      </c>
      <c r="C1603" s="2" t="s">
        <v>1350</v>
      </c>
      <c r="D1603" s="2" t="s">
        <v>3966</v>
      </c>
      <c r="E1603" s="2">
        <v>20</v>
      </c>
      <c r="F1603" s="2"/>
      <c r="G1603" s="2">
        <v>20</v>
      </c>
      <c r="H1603" s="2" t="s">
        <v>821</v>
      </c>
      <c r="I1603" s="2" t="s">
        <v>695</v>
      </c>
      <c r="J1603" s="2" t="s">
        <v>2537</v>
      </c>
      <c r="K1603" s="2" t="s">
        <v>1855</v>
      </c>
      <c r="L1603" s="2" t="s">
        <v>1847</v>
      </c>
      <c r="M1603" s="2" t="str">
        <f t="shared" si="28"/>
        <v>14</v>
      </c>
      <c r="N1603" s="2" t="s">
        <v>2083</v>
      </c>
      <c r="O1603" s="2" t="s">
        <v>4373</v>
      </c>
      <c r="P1603" s="2" t="s">
        <v>4375</v>
      </c>
    </row>
    <row r="1604" spans="1:16">
      <c r="A1604" s="4">
        <v>46244.299212962964</v>
      </c>
      <c r="B1604" s="2" t="s">
        <v>857</v>
      </c>
      <c r="C1604" s="2" t="s">
        <v>1350</v>
      </c>
      <c r="D1604" s="2" t="s">
        <v>3966</v>
      </c>
      <c r="E1604" s="2">
        <v>20</v>
      </c>
      <c r="F1604" s="2"/>
      <c r="G1604" s="2">
        <v>20</v>
      </c>
      <c r="H1604" s="2" t="s">
        <v>821</v>
      </c>
      <c r="I1604" s="2" t="s">
        <v>695</v>
      </c>
      <c r="J1604" s="2" t="s">
        <v>2537</v>
      </c>
      <c r="K1604" s="2" t="s">
        <v>1855</v>
      </c>
      <c r="L1604" s="2" t="s">
        <v>1847</v>
      </c>
      <c r="M1604" s="2" t="str">
        <f t="shared" si="28"/>
        <v>14</v>
      </c>
      <c r="N1604" s="2" t="s">
        <v>4277</v>
      </c>
      <c r="O1604" s="2" t="s">
        <v>4373</v>
      </c>
      <c r="P1604" s="2" t="s">
        <v>4375</v>
      </c>
    </row>
    <row r="1605" spans="1:16">
      <c r="A1605" s="4">
        <v>46244.296712962961</v>
      </c>
      <c r="B1605" s="2" t="s">
        <v>3338</v>
      </c>
      <c r="C1605" s="2" t="s">
        <v>1350</v>
      </c>
      <c r="D1605" s="2" t="s">
        <v>3966</v>
      </c>
      <c r="E1605" s="2">
        <v>20</v>
      </c>
      <c r="F1605" s="2"/>
      <c r="G1605" s="2">
        <v>20</v>
      </c>
      <c r="H1605" s="2" t="s">
        <v>821</v>
      </c>
      <c r="I1605" s="2" t="s">
        <v>695</v>
      </c>
      <c r="J1605" s="2" t="s">
        <v>2537</v>
      </c>
      <c r="K1605" s="2" t="s">
        <v>1855</v>
      </c>
      <c r="L1605" s="2" t="s">
        <v>1847</v>
      </c>
      <c r="M1605" s="2" t="str">
        <f t="shared" si="28"/>
        <v>14</v>
      </c>
      <c r="N1605" s="2" t="s">
        <v>1837</v>
      </c>
      <c r="O1605" s="2" t="s">
        <v>4373</v>
      </c>
      <c r="P1605" s="2" t="s">
        <v>4375</v>
      </c>
    </row>
    <row r="1606" spans="1:16">
      <c r="A1606" s="4">
        <v>46244.296631944446</v>
      </c>
      <c r="B1606" s="2" t="s">
        <v>1818</v>
      </c>
      <c r="C1606" s="2" t="s">
        <v>1350</v>
      </c>
      <c r="D1606" s="2" t="s">
        <v>3966</v>
      </c>
      <c r="E1606" s="2">
        <v>20</v>
      </c>
      <c r="F1606" s="2"/>
      <c r="G1606" s="2">
        <v>20</v>
      </c>
      <c r="H1606" s="2" t="s">
        <v>821</v>
      </c>
      <c r="I1606" s="2" t="s">
        <v>695</v>
      </c>
      <c r="J1606" s="2" t="s">
        <v>2537</v>
      </c>
      <c r="K1606" s="2" t="s">
        <v>1855</v>
      </c>
      <c r="L1606" s="2" t="s">
        <v>1847</v>
      </c>
      <c r="M1606" s="2" t="str">
        <f t="shared" si="28"/>
        <v>14</v>
      </c>
      <c r="N1606" s="2" t="s">
        <v>4295</v>
      </c>
      <c r="O1606" s="2" t="s">
        <v>4373</v>
      </c>
      <c r="P1606" s="2" t="s">
        <v>4375</v>
      </c>
    </row>
    <row r="1607" spans="1:16">
      <c r="A1607" s="4">
        <v>46244.296574074076</v>
      </c>
      <c r="B1607" s="2" t="s">
        <v>912</v>
      </c>
      <c r="C1607" s="2" t="s">
        <v>1350</v>
      </c>
      <c r="D1607" s="2" t="s">
        <v>3966</v>
      </c>
      <c r="E1607" s="2">
        <v>20</v>
      </c>
      <c r="F1607" s="2"/>
      <c r="G1607" s="2">
        <v>20</v>
      </c>
      <c r="H1607" s="2" t="s">
        <v>821</v>
      </c>
      <c r="I1607" s="2" t="s">
        <v>695</v>
      </c>
      <c r="J1607" s="2" t="s">
        <v>2537</v>
      </c>
      <c r="K1607" s="2" t="s">
        <v>1855</v>
      </c>
      <c r="L1607" s="2" t="s">
        <v>1847</v>
      </c>
      <c r="M1607" s="2" t="str">
        <f t="shared" si="28"/>
        <v>14</v>
      </c>
      <c r="N1607" s="2" t="s">
        <v>1611</v>
      </c>
      <c r="O1607" s="2" t="s">
        <v>4373</v>
      </c>
      <c r="P1607" s="2" t="s">
        <v>4375</v>
      </c>
    </row>
    <row r="1608" spans="1:16">
      <c r="A1608" s="4">
        <v>46244.29178240741</v>
      </c>
      <c r="B1608" s="2" t="s">
        <v>2411</v>
      </c>
      <c r="C1608" s="2" t="s">
        <v>1350</v>
      </c>
      <c r="D1608" s="2" t="s">
        <v>3966</v>
      </c>
      <c r="E1608" s="2">
        <v>20</v>
      </c>
      <c r="F1608" s="2"/>
      <c r="G1608" s="2">
        <v>20</v>
      </c>
      <c r="H1608" s="2" t="s">
        <v>821</v>
      </c>
      <c r="I1608" s="2" t="s">
        <v>695</v>
      </c>
      <c r="J1608" s="2" t="s">
        <v>2537</v>
      </c>
      <c r="K1608" s="2" t="s">
        <v>1855</v>
      </c>
      <c r="L1608" s="2" t="s">
        <v>1847</v>
      </c>
      <c r="M1608" s="2" t="str">
        <f t="shared" si="28"/>
        <v>14</v>
      </c>
      <c r="N1608" s="2" t="s">
        <v>380</v>
      </c>
      <c r="O1608" s="2" t="s">
        <v>4373</v>
      </c>
      <c r="P1608" s="2" t="s">
        <v>4375</v>
      </c>
    </row>
    <row r="1609" spans="1:16">
      <c r="A1609" s="4">
        <v>46244.291585648149</v>
      </c>
      <c r="B1609" s="2" t="s">
        <v>614</v>
      </c>
      <c r="C1609" s="2" t="s">
        <v>1350</v>
      </c>
      <c r="D1609" s="2" t="s">
        <v>3966</v>
      </c>
      <c r="E1609" s="2">
        <v>20</v>
      </c>
      <c r="F1609" s="2"/>
      <c r="G1609" s="2">
        <v>20</v>
      </c>
      <c r="H1609" s="2" t="s">
        <v>821</v>
      </c>
      <c r="I1609" s="2" t="s">
        <v>695</v>
      </c>
      <c r="J1609" s="2" t="s">
        <v>2537</v>
      </c>
      <c r="K1609" s="2" t="s">
        <v>1855</v>
      </c>
      <c r="L1609" s="2" t="s">
        <v>1847</v>
      </c>
      <c r="M1609" s="2" t="str">
        <f t="shared" si="28"/>
        <v>14</v>
      </c>
      <c r="N1609" s="2" t="s">
        <v>2873</v>
      </c>
      <c r="O1609" s="2" t="s">
        <v>4373</v>
      </c>
      <c r="P1609" s="2" t="s">
        <v>4375</v>
      </c>
    </row>
    <row r="1610" spans="1:16">
      <c r="A1610" s="4">
        <v>46244.29042824074</v>
      </c>
      <c r="B1610" s="2" t="s">
        <v>4200</v>
      </c>
      <c r="C1610" s="2" t="s">
        <v>1350</v>
      </c>
      <c r="D1610" s="2" t="s">
        <v>3966</v>
      </c>
      <c r="E1610" s="2">
        <v>20</v>
      </c>
      <c r="F1610" s="2"/>
      <c r="G1610" s="2">
        <v>20</v>
      </c>
      <c r="H1610" s="2" t="s">
        <v>821</v>
      </c>
      <c r="I1610" s="2" t="s">
        <v>695</v>
      </c>
      <c r="J1610" s="2" t="s">
        <v>2537</v>
      </c>
      <c r="K1610" s="2" t="s">
        <v>1855</v>
      </c>
      <c r="L1610" s="2" t="s">
        <v>1847</v>
      </c>
      <c r="M1610" s="2" t="str">
        <f t="shared" si="28"/>
        <v>14</v>
      </c>
      <c r="N1610" s="2" t="s">
        <v>3337</v>
      </c>
      <c r="O1610" s="2" t="s">
        <v>4373</v>
      </c>
      <c r="P1610" s="2" t="s">
        <v>4375</v>
      </c>
    </row>
    <row r="1611" spans="1:16">
      <c r="A1611" s="4">
        <v>46244.290277777778</v>
      </c>
      <c r="B1611" s="2" t="s">
        <v>946</v>
      </c>
      <c r="C1611" s="2" t="s">
        <v>1350</v>
      </c>
      <c r="D1611" s="2" t="s">
        <v>3966</v>
      </c>
      <c r="E1611" s="2">
        <v>20</v>
      </c>
      <c r="F1611" s="2"/>
      <c r="G1611" s="2">
        <v>20</v>
      </c>
      <c r="H1611" s="2" t="s">
        <v>821</v>
      </c>
      <c r="I1611" s="2" t="s">
        <v>695</v>
      </c>
      <c r="J1611" s="2" t="s">
        <v>2537</v>
      </c>
      <c r="K1611" s="2" t="s">
        <v>1855</v>
      </c>
      <c r="L1611" s="2" t="s">
        <v>1847</v>
      </c>
      <c r="M1611" s="2" t="str">
        <f t="shared" si="28"/>
        <v>14</v>
      </c>
      <c r="N1611" s="2" t="s">
        <v>1000</v>
      </c>
      <c r="O1611" s="2" t="s">
        <v>4373</v>
      </c>
      <c r="P1611" s="2" t="s">
        <v>4375</v>
      </c>
    </row>
    <row r="1612" spans="1:16">
      <c r="A1612" s="4">
        <v>46244.28701388889</v>
      </c>
      <c r="B1612" s="2" t="s">
        <v>3195</v>
      </c>
      <c r="C1612" s="2" t="s">
        <v>1350</v>
      </c>
      <c r="D1612" s="2" t="s">
        <v>3966</v>
      </c>
      <c r="E1612" s="2">
        <v>20</v>
      </c>
      <c r="F1612" s="2"/>
      <c r="G1612" s="2">
        <v>20</v>
      </c>
      <c r="H1612" s="2" t="s">
        <v>821</v>
      </c>
      <c r="I1612" s="2" t="s">
        <v>695</v>
      </c>
      <c r="J1612" s="2" t="s">
        <v>2537</v>
      </c>
      <c r="K1612" s="2" t="s">
        <v>1855</v>
      </c>
      <c r="L1612" s="2" t="s">
        <v>1847</v>
      </c>
      <c r="M1612" s="2" t="str">
        <f t="shared" si="28"/>
        <v>14</v>
      </c>
      <c r="N1612" s="2" t="s">
        <v>2153</v>
      </c>
      <c r="O1612" s="2" t="s">
        <v>4373</v>
      </c>
      <c r="P1612" s="2" t="s">
        <v>4375</v>
      </c>
    </row>
    <row r="1613" spans="1:16">
      <c r="A1613" s="4">
        <v>46244.286990740744</v>
      </c>
      <c r="B1613" s="2" t="s">
        <v>1198</v>
      </c>
      <c r="C1613" s="2" t="s">
        <v>1350</v>
      </c>
      <c r="D1613" s="2" t="s">
        <v>3966</v>
      </c>
      <c r="E1613" s="2">
        <v>20</v>
      </c>
      <c r="F1613" s="2"/>
      <c r="G1613" s="2">
        <v>20</v>
      </c>
      <c r="H1613" s="2" t="s">
        <v>821</v>
      </c>
      <c r="I1613" s="2" t="s">
        <v>695</v>
      </c>
      <c r="J1613" s="2" t="s">
        <v>2537</v>
      </c>
      <c r="K1613" s="2" t="s">
        <v>1855</v>
      </c>
      <c r="L1613" s="2" t="s">
        <v>1847</v>
      </c>
      <c r="M1613" s="2" t="str">
        <f t="shared" si="28"/>
        <v>14</v>
      </c>
      <c r="N1613" s="2" t="s">
        <v>3389</v>
      </c>
      <c r="O1613" s="2" t="s">
        <v>4373</v>
      </c>
      <c r="P1613" s="2" t="s">
        <v>4375</v>
      </c>
    </row>
    <row r="1614" spans="1:16">
      <c r="A1614" s="4">
        <v>46244.285266203704</v>
      </c>
      <c r="B1614" s="2" t="s">
        <v>2933</v>
      </c>
      <c r="C1614" s="2" t="s">
        <v>1350</v>
      </c>
      <c r="D1614" s="2" t="s">
        <v>3966</v>
      </c>
      <c r="E1614" s="2">
        <v>20</v>
      </c>
      <c r="F1614" s="2"/>
      <c r="G1614" s="2">
        <v>20</v>
      </c>
      <c r="H1614" s="2" t="s">
        <v>821</v>
      </c>
      <c r="I1614" s="2" t="s">
        <v>695</v>
      </c>
      <c r="J1614" s="2" t="s">
        <v>2537</v>
      </c>
      <c r="K1614" s="2" t="s">
        <v>1855</v>
      </c>
      <c r="L1614" s="2" t="s">
        <v>1847</v>
      </c>
      <c r="M1614" s="2" t="str">
        <f t="shared" si="28"/>
        <v>14</v>
      </c>
      <c r="N1614" s="2" t="s">
        <v>317</v>
      </c>
      <c r="O1614" s="2" t="s">
        <v>4373</v>
      </c>
      <c r="P1614" s="2" t="s">
        <v>4375</v>
      </c>
    </row>
    <row r="1615" spans="1:16">
      <c r="A1615" s="4">
        <v>46244.285104166665</v>
      </c>
      <c r="B1615" s="2" t="s">
        <v>2496</v>
      </c>
      <c r="C1615" s="2" t="s">
        <v>1350</v>
      </c>
      <c r="D1615" s="2" t="s">
        <v>3966</v>
      </c>
      <c r="E1615" s="2">
        <v>20</v>
      </c>
      <c r="F1615" s="2"/>
      <c r="G1615" s="2">
        <v>20</v>
      </c>
      <c r="H1615" s="2" t="s">
        <v>821</v>
      </c>
      <c r="I1615" s="2" t="s">
        <v>695</v>
      </c>
      <c r="J1615" s="2" t="s">
        <v>2537</v>
      </c>
      <c r="K1615" s="2" t="s">
        <v>1855</v>
      </c>
      <c r="L1615" s="2" t="s">
        <v>1847</v>
      </c>
      <c r="M1615" s="2" t="str">
        <f t="shared" si="28"/>
        <v>14</v>
      </c>
      <c r="N1615" s="2" t="s">
        <v>3612</v>
      </c>
      <c r="O1615" s="2" t="s">
        <v>4373</v>
      </c>
      <c r="P1615" s="2" t="s">
        <v>4375</v>
      </c>
    </row>
    <row r="1616" spans="1:16">
      <c r="A1616" s="4">
        <v>46244.282777777778</v>
      </c>
      <c r="B1616" s="2" t="s">
        <v>62</v>
      </c>
      <c r="C1616" s="2" t="s">
        <v>1350</v>
      </c>
      <c r="D1616" s="2" t="s">
        <v>3966</v>
      </c>
      <c r="E1616" s="2">
        <v>20</v>
      </c>
      <c r="F1616" s="2"/>
      <c r="G1616" s="2">
        <v>20</v>
      </c>
      <c r="H1616" s="2" t="s">
        <v>821</v>
      </c>
      <c r="I1616" s="2" t="s">
        <v>695</v>
      </c>
      <c r="J1616" s="2" t="s">
        <v>2537</v>
      </c>
      <c r="K1616" s="2" t="s">
        <v>1855</v>
      </c>
      <c r="L1616" s="2" t="s">
        <v>1847</v>
      </c>
      <c r="M1616" s="2" t="str">
        <f t="shared" si="28"/>
        <v>14</v>
      </c>
      <c r="N1616" s="2" t="s">
        <v>38</v>
      </c>
      <c r="O1616" s="2" t="s">
        <v>4373</v>
      </c>
      <c r="P1616" s="2" t="s">
        <v>4375</v>
      </c>
    </row>
    <row r="1617" spans="1:16">
      <c r="A1617" s="4">
        <v>46244.282604166663</v>
      </c>
      <c r="B1617" s="2" t="s">
        <v>2960</v>
      </c>
      <c r="C1617" s="2" t="s">
        <v>1350</v>
      </c>
      <c r="D1617" s="2" t="s">
        <v>3966</v>
      </c>
      <c r="E1617" s="2">
        <v>20</v>
      </c>
      <c r="F1617" s="2"/>
      <c r="G1617" s="2">
        <v>20</v>
      </c>
      <c r="H1617" s="2" t="s">
        <v>821</v>
      </c>
      <c r="I1617" s="2" t="s">
        <v>695</v>
      </c>
      <c r="J1617" s="2" t="s">
        <v>2537</v>
      </c>
      <c r="K1617" s="2" t="s">
        <v>1855</v>
      </c>
      <c r="L1617" s="2" t="s">
        <v>1847</v>
      </c>
      <c r="M1617" s="2" t="str">
        <f t="shared" si="28"/>
        <v>14</v>
      </c>
      <c r="N1617" s="2" t="s">
        <v>1211</v>
      </c>
      <c r="O1617" s="2" t="s">
        <v>4373</v>
      </c>
      <c r="P1617" s="2" t="s">
        <v>4375</v>
      </c>
    </row>
    <row r="1618" spans="1:16">
      <c r="A1618" s="4">
        <v>46244.280057870368</v>
      </c>
      <c r="B1618" s="2" t="s">
        <v>3848</v>
      </c>
      <c r="C1618" s="2" t="s">
        <v>1350</v>
      </c>
      <c r="D1618" s="2" t="s">
        <v>3966</v>
      </c>
      <c r="E1618" s="2">
        <v>20</v>
      </c>
      <c r="F1618" s="2"/>
      <c r="G1618" s="2">
        <v>20</v>
      </c>
      <c r="H1618" s="2" t="s">
        <v>821</v>
      </c>
      <c r="I1618" s="2" t="s">
        <v>695</v>
      </c>
      <c r="J1618" s="2" t="s">
        <v>2537</v>
      </c>
      <c r="K1618" s="2" t="s">
        <v>1855</v>
      </c>
      <c r="L1618" s="2" t="s">
        <v>1847</v>
      </c>
      <c r="M1618" s="2" t="str">
        <f t="shared" si="28"/>
        <v>14</v>
      </c>
      <c r="N1618" s="2" t="s">
        <v>1832</v>
      </c>
      <c r="O1618" s="2" t="s">
        <v>4373</v>
      </c>
      <c r="P1618" s="2" t="s">
        <v>4375</v>
      </c>
    </row>
    <row r="1619" spans="1:16">
      <c r="A1619" s="4">
        <v>46244.279942129629</v>
      </c>
      <c r="B1619" s="2" t="s">
        <v>993</v>
      </c>
      <c r="C1619" s="2" t="s">
        <v>1350</v>
      </c>
      <c r="D1619" s="2" t="s">
        <v>3966</v>
      </c>
      <c r="E1619" s="2">
        <v>20</v>
      </c>
      <c r="F1619" s="2"/>
      <c r="G1619" s="2">
        <v>20</v>
      </c>
      <c r="H1619" s="2" t="s">
        <v>821</v>
      </c>
      <c r="I1619" s="2" t="s">
        <v>695</v>
      </c>
      <c r="J1619" s="2" t="s">
        <v>2537</v>
      </c>
      <c r="K1619" s="2" t="s">
        <v>1855</v>
      </c>
      <c r="L1619" s="2" t="s">
        <v>1847</v>
      </c>
      <c r="M1619" s="2" t="str">
        <f t="shared" si="28"/>
        <v>14</v>
      </c>
      <c r="N1619" s="2" t="s">
        <v>1238</v>
      </c>
      <c r="O1619" s="2" t="s">
        <v>4373</v>
      </c>
      <c r="P1619" s="2" t="s">
        <v>4375</v>
      </c>
    </row>
    <row r="1620" spans="1:16">
      <c r="A1620" s="4">
        <v>46249.711226851854</v>
      </c>
      <c r="B1620" s="2" t="s">
        <v>2772</v>
      </c>
      <c r="C1620" s="2" t="s">
        <v>3441</v>
      </c>
      <c r="D1620" s="2" t="s">
        <v>3513</v>
      </c>
      <c r="E1620" s="2">
        <v>12</v>
      </c>
      <c r="F1620" s="2"/>
      <c r="G1620" s="2">
        <v>12</v>
      </c>
      <c r="H1620" s="2" t="s">
        <v>2990</v>
      </c>
      <c r="I1620" s="2" t="s">
        <v>695</v>
      </c>
      <c r="J1620" s="2" t="s">
        <v>2537</v>
      </c>
      <c r="K1620" s="2" t="s">
        <v>1855</v>
      </c>
      <c r="L1620" s="2" t="s">
        <v>3386</v>
      </c>
      <c r="M1620" s="2" t="str">
        <f t="shared" si="28"/>
        <v>13</v>
      </c>
      <c r="N1620" s="2" t="s">
        <v>4360</v>
      </c>
      <c r="O1620" s="2" t="s">
        <v>4373</v>
      </c>
      <c r="P1620" s="2" t="s">
        <v>4378</v>
      </c>
    </row>
    <row r="1621" spans="1:16">
      <c r="A1621" s="4">
        <v>46249.707361111112</v>
      </c>
      <c r="B1621" s="2" t="s">
        <v>1933</v>
      </c>
      <c r="C1621" s="2" t="s">
        <v>3441</v>
      </c>
      <c r="D1621" s="2" t="s">
        <v>3513</v>
      </c>
      <c r="E1621" s="2">
        <v>6</v>
      </c>
      <c r="F1621" s="2"/>
      <c r="G1621" s="2">
        <v>6</v>
      </c>
      <c r="H1621" s="2" t="s">
        <v>2990</v>
      </c>
      <c r="I1621" s="2" t="s">
        <v>695</v>
      </c>
      <c r="J1621" s="2" t="s">
        <v>2537</v>
      </c>
      <c r="K1621" s="2" t="s">
        <v>1855</v>
      </c>
      <c r="L1621" s="2" t="s">
        <v>3386</v>
      </c>
      <c r="M1621" s="2" t="str">
        <f t="shared" si="28"/>
        <v>13</v>
      </c>
      <c r="N1621" s="2" t="s">
        <v>3361</v>
      </c>
      <c r="O1621" s="2" t="s">
        <v>4373</v>
      </c>
      <c r="P1621" s="2" t="s">
        <v>4378</v>
      </c>
    </row>
    <row r="1622" spans="1:16">
      <c r="A1622" s="4">
        <v>46249.707349537035</v>
      </c>
      <c r="B1622" s="2" t="s">
        <v>2761</v>
      </c>
      <c r="C1622" s="2" t="s">
        <v>3441</v>
      </c>
      <c r="D1622" s="2" t="s">
        <v>3513</v>
      </c>
      <c r="E1622" s="2">
        <v>12</v>
      </c>
      <c r="F1622" s="2"/>
      <c r="G1622" s="2">
        <v>12</v>
      </c>
      <c r="H1622" s="2" t="s">
        <v>2990</v>
      </c>
      <c r="I1622" s="2" t="s">
        <v>695</v>
      </c>
      <c r="J1622" s="2" t="s">
        <v>2537</v>
      </c>
      <c r="K1622" s="2" t="s">
        <v>1855</v>
      </c>
      <c r="L1622" s="2" t="s">
        <v>3386</v>
      </c>
      <c r="M1622" s="2" t="str">
        <f t="shared" si="28"/>
        <v>13</v>
      </c>
      <c r="N1622" s="2" t="s">
        <v>2795</v>
      </c>
      <c r="O1622" s="2" t="s">
        <v>4373</v>
      </c>
      <c r="P1622" s="2" t="s">
        <v>4378</v>
      </c>
    </row>
    <row r="1623" spans="1:16">
      <c r="A1623" s="4">
        <v>46249.707291666666</v>
      </c>
      <c r="B1623" s="2" t="s">
        <v>3959</v>
      </c>
      <c r="C1623" s="2" t="s">
        <v>3441</v>
      </c>
      <c r="D1623" s="2" t="s">
        <v>3513</v>
      </c>
      <c r="E1623" s="2">
        <v>12</v>
      </c>
      <c r="F1623" s="2"/>
      <c r="G1623" s="2">
        <v>12</v>
      </c>
      <c r="H1623" s="2" t="s">
        <v>2990</v>
      </c>
      <c r="I1623" s="2" t="s">
        <v>695</v>
      </c>
      <c r="J1623" s="2" t="s">
        <v>2537</v>
      </c>
      <c r="K1623" s="2" t="s">
        <v>1855</v>
      </c>
      <c r="L1623" s="2" t="s">
        <v>3386</v>
      </c>
      <c r="M1623" s="2" t="str">
        <f t="shared" si="28"/>
        <v>13</v>
      </c>
      <c r="N1623" s="2" t="s">
        <v>780</v>
      </c>
      <c r="O1623" s="2" t="s">
        <v>4373</v>
      </c>
      <c r="P1623" s="2" t="s">
        <v>4378</v>
      </c>
    </row>
    <row r="1624" spans="1:16">
      <c r="A1624" s="4">
        <v>46249.705266203702</v>
      </c>
      <c r="B1624" s="2" t="s">
        <v>2790</v>
      </c>
      <c r="C1624" s="2" t="s">
        <v>3441</v>
      </c>
      <c r="D1624" s="2" t="s">
        <v>3513</v>
      </c>
      <c r="E1624" s="2">
        <v>12</v>
      </c>
      <c r="F1624" s="2"/>
      <c r="G1624" s="2">
        <v>12</v>
      </c>
      <c r="H1624" s="2" t="s">
        <v>2990</v>
      </c>
      <c r="I1624" s="2" t="s">
        <v>695</v>
      </c>
      <c r="J1624" s="2" t="s">
        <v>2537</v>
      </c>
      <c r="K1624" s="2" t="s">
        <v>1855</v>
      </c>
      <c r="L1624" s="2" t="s">
        <v>3386</v>
      </c>
      <c r="M1624" s="2" t="str">
        <f t="shared" si="28"/>
        <v>13</v>
      </c>
      <c r="N1624" s="2" t="s">
        <v>591</v>
      </c>
      <c r="O1624" s="2" t="s">
        <v>4373</v>
      </c>
      <c r="P1624" s="2" t="s">
        <v>4378</v>
      </c>
    </row>
    <row r="1625" spans="1:16">
      <c r="A1625" s="4">
        <v>46249.704907407409</v>
      </c>
      <c r="B1625" s="2" t="s">
        <v>2609</v>
      </c>
      <c r="C1625" s="2" t="s">
        <v>3441</v>
      </c>
      <c r="D1625" s="2" t="s">
        <v>3513</v>
      </c>
      <c r="E1625" s="2">
        <v>12</v>
      </c>
      <c r="F1625" s="2"/>
      <c r="G1625" s="2">
        <v>12</v>
      </c>
      <c r="H1625" s="2" t="s">
        <v>2990</v>
      </c>
      <c r="I1625" s="2" t="s">
        <v>695</v>
      </c>
      <c r="J1625" s="2" t="s">
        <v>2537</v>
      </c>
      <c r="K1625" s="2" t="s">
        <v>1855</v>
      </c>
      <c r="L1625" s="2" t="s">
        <v>3386</v>
      </c>
      <c r="M1625" s="2" t="str">
        <f t="shared" si="28"/>
        <v>13</v>
      </c>
      <c r="N1625" s="2" t="s">
        <v>2402</v>
      </c>
      <c r="O1625" s="2" t="s">
        <v>4373</v>
      </c>
      <c r="P1625" s="2" t="s">
        <v>4378</v>
      </c>
    </row>
    <row r="1626" spans="1:16">
      <c r="A1626" s="4">
        <v>46249.703958333332</v>
      </c>
      <c r="B1626" s="2" t="s">
        <v>4111</v>
      </c>
      <c r="C1626" s="2" t="s">
        <v>3441</v>
      </c>
      <c r="D1626" s="2" t="s">
        <v>3513</v>
      </c>
      <c r="E1626" s="2">
        <v>12</v>
      </c>
      <c r="F1626" s="2"/>
      <c r="G1626" s="2">
        <v>12</v>
      </c>
      <c r="H1626" s="2" t="s">
        <v>2990</v>
      </c>
      <c r="I1626" s="2" t="s">
        <v>695</v>
      </c>
      <c r="J1626" s="2" t="s">
        <v>2537</v>
      </c>
      <c r="K1626" s="2" t="s">
        <v>1855</v>
      </c>
      <c r="L1626" s="2" t="s">
        <v>3386</v>
      </c>
      <c r="M1626" s="2" t="str">
        <f t="shared" si="28"/>
        <v>13</v>
      </c>
      <c r="N1626" s="2" t="s">
        <v>2356</v>
      </c>
      <c r="O1626" s="2" t="s">
        <v>4373</v>
      </c>
      <c r="P1626" s="2" t="s">
        <v>4378</v>
      </c>
    </row>
    <row r="1627" spans="1:16">
      <c r="A1627" s="4">
        <v>46249.703310185185</v>
      </c>
      <c r="B1627" s="2" t="s">
        <v>1249</v>
      </c>
      <c r="C1627" s="2" t="s">
        <v>3441</v>
      </c>
      <c r="D1627" s="2" t="s">
        <v>3513</v>
      </c>
      <c r="E1627" s="2">
        <v>12</v>
      </c>
      <c r="F1627" s="2"/>
      <c r="G1627" s="2">
        <v>12</v>
      </c>
      <c r="H1627" s="2" t="s">
        <v>2990</v>
      </c>
      <c r="I1627" s="2" t="s">
        <v>695</v>
      </c>
      <c r="J1627" s="2" t="s">
        <v>2537</v>
      </c>
      <c r="K1627" s="2" t="s">
        <v>1855</v>
      </c>
      <c r="L1627" s="2" t="s">
        <v>3386</v>
      </c>
      <c r="M1627" s="2" t="str">
        <f t="shared" si="28"/>
        <v>13</v>
      </c>
      <c r="N1627" s="2" t="s">
        <v>72</v>
      </c>
      <c r="O1627" s="2" t="s">
        <v>4373</v>
      </c>
      <c r="P1627" s="2" t="s">
        <v>4378</v>
      </c>
    </row>
    <row r="1628" spans="1:16">
      <c r="A1628" s="4">
        <v>46249.702974537038</v>
      </c>
      <c r="B1628" s="2" t="s">
        <v>2944</v>
      </c>
      <c r="C1628" s="2" t="s">
        <v>3441</v>
      </c>
      <c r="D1628" s="2" t="s">
        <v>3513</v>
      </c>
      <c r="E1628" s="2">
        <v>12</v>
      </c>
      <c r="F1628" s="2"/>
      <c r="G1628" s="2">
        <v>12</v>
      </c>
      <c r="H1628" s="2" t="s">
        <v>2990</v>
      </c>
      <c r="I1628" s="2" t="s">
        <v>695</v>
      </c>
      <c r="J1628" s="2" t="s">
        <v>2537</v>
      </c>
      <c r="K1628" s="2" t="s">
        <v>1855</v>
      </c>
      <c r="L1628" s="2" t="s">
        <v>3386</v>
      </c>
      <c r="M1628" s="2" t="str">
        <f t="shared" si="28"/>
        <v>13</v>
      </c>
      <c r="N1628" s="2" t="s">
        <v>4172</v>
      </c>
      <c r="O1628" s="2" t="s">
        <v>4373</v>
      </c>
      <c r="P1628" s="2" t="s">
        <v>4378</v>
      </c>
    </row>
    <row r="1629" spans="1:16">
      <c r="A1629" s="4">
        <v>46249.689097222225</v>
      </c>
      <c r="B1629" s="2" t="s">
        <v>3173</v>
      </c>
      <c r="C1629" s="2" t="s">
        <v>3441</v>
      </c>
      <c r="D1629" s="2" t="s">
        <v>3513</v>
      </c>
      <c r="E1629" s="2">
        <v>12</v>
      </c>
      <c r="F1629" s="2"/>
      <c r="G1629" s="2">
        <v>12</v>
      </c>
      <c r="H1629" s="2" t="s">
        <v>2990</v>
      </c>
      <c r="I1629" s="2" t="s">
        <v>695</v>
      </c>
      <c r="J1629" s="2" t="s">
        <v>2537</v>
      </c>
      <c r="K1629" s="2" t="s">
        <v>1855</v>
      </c>
      <c r="L1629" s="2" t="s">
        <v>3386</v>
      </c>
      <c r="M1629" s="2" t="str">
        <f t="shared" si="28"/>
        <v>13</v>
      </c>
      <c r="N1629" s="2" t="s">
        <v>262</v>
      </c>
      <c r="O1629" s="2" t="s">
        <v>4373</v>
      </c>
      <c r="P1629" s="2" t="s">
        <v>4378</v>
      </c>
    </row>
    <row r="1630" spans="1:16">
      <c r="A1630" s="4">
        <v>46249.688842592594</v>
      </c>
      <c r="B1630" s="2" t="s">
        <v>2474</v>
      </c>
      <c r="C1630" s="2" t="s">
        <v>3441</v>
      </c>
      <c r="D1630" s="2" t="s">
        <v>3513</v>
      </c>
      <c r="E1630" s="2">
        <v>12</v>
      </c>
      <c r="F1630" s="2"/>
      <c r="G1630" s="2">
        <v>12</v>
      </c>
      <c r="H1630" s="2" t="s">
        <v>2990</v>
      </c>
      <c r="I1630" s="2" t="s">
        <v>695</v>
      </c>
      <c r="J1630" s="2" t="s">
        <v>2537</v>
      </c>
      <c r="K1630" s="2" t="s">
        <v>1855</v>
      </c>
      <c r="L1630" s="2" t="s">
        <v>3386</v>
      </c>
      <c r="M1630" s="2" t="str">
        <f t="shared" si="28"/>
        <v>13</v>
      </c>
      <c r="N1630" s="2" t="s">
        <v>4175</v>
      </c>
      <c r="O1630" s="2" t="s">
        <v>4373</v>
      </c>
      <c r="P1630" s="2" t="s">
        <v>4378</v>
      </c>
    </row>
    <row r="1631" spans="1:16">
      <c r="A1631" s="4">
        <v>46249.688611111109</v>
      </c>
      <c r="B1631" s="2" t="s">
        <v>3367</v>
      </c>
      <c r="C1631" s="2" t="s">
        <v>3441</v>
      </c>
      <c r="D1631" s="2" t="s">
        <v>3513</v>
      </c>
      <c r="E1631" s="2">
        <v>12</v>
      </c>
      <c r="F1631" s="2"/>
      <c r="G1631" s="2">
        <v>12</v>
      </c>
      <c r="H1631" s="2" t="s">
        <v>2990</v>
      </c>
      <c r="I1631" s="2" t="s">
        <v>695</v>
      </c>
      <c r="J1631" s="2" t="s">
        <v>2537</v>
      </c>
      <c r="K1631" s="2" t="s">
        <v>1855</v>
      </c>
      <c r="L1631" s="2" t="s">
        <v>3386</v>
      </c>
      <c r="M1631" s="2" t="str">
        <f t="shared" si="28"/>
        <v>13</v>
      </c>
      <c r="N1631" s="2" t="s">
        <v>4183</v>
      </c>
      <c r="O1631" s="2" t="s">
        <v>4373</v>
      </c>
      <c r="P1631" s="2" t="s">
        <v>4378</v>
      </c>
    </row>
    <row r="1632" spans="1:16">
      <c r="A1632" s="4">
        <v>46249.687916666669</v>
      </c>
      <c r="B1632" s="2" t="s">
        <v>1021</v>
      </c>
      <c r="C1632" s="2" t="s">
        <v>3441</v>
      </c>
      <c r="D1632" s="2" t="s">
        <v>3513</v>
      </c>
      <c r="E1632" s="2">
        <v>12</v>
      </c>
      <c r="F1632" s="2"/>
      <c r="G1632" s="2">
        <v>12</v>
      </c>
      <c r="H1632" s="2" t="s">
        <v>2990</v>
      </c>
      <c r="I1632" s="2" t="s">
        <v>695</v>
      </c>
      <c r="J1632" s="2" t="s">
        <v>2537</v>
      </c>
      <c r="K1632" s="2" t="s">
        <v>1855</v>
      </c>
      <c r="L1632" s="2" t="s">
        <v>3386</v>
      </c>
      <c r="M1632" s="2" t="str">
        <f t="shared" si="28"/>
        <v>13</v>
      </c>
      <c r="N1632" s="2" t="s">
        <v>3077</v>
      </c>
      <c r="O1632" s="2" t="s">
        <v>4373</v>
      </c>
      <c r="P1632" s="2" t="s">
        <v>4378</v>
      </c>
    </row>
    <row r="1633" spans="1:16">
      <c r="A1633" s="4">
        <v>46249.6872337963</v>
      </c>
      <c r="B1633" s="2" t="s">
        <v>1154</v>
      </c>
      <c r="C1633" s="2" t="s">
        <v>3441</v>
      </c>
      <c r="D1633" s="2" t="s">
        <v>3513</v>
      </c>
      <c r="E1633" s="2">
        <v>12</v>
      </c>
      <c r="F1633" s="2"/>
      <c r="G1633" s="2">
        <v>12</v>
      </c>
      <c r="H1633" s="2" t="s">
        <v>2990</v>
      </c>
      <c r="I1633" s="2" t="s">
        <v>695</v>
      </c>
      <c r="J1633" s="2" t="s">
        <v>2537</v>
      </c>
      <c r="K1633" s="2" t="s">
        <v>1855</v>
      </c>
      <c r="L1633" s="2" t="s">
        <v>3386</v>
      </c>
      <c r="M1633" s="2" t="str">
        <f t="shared" si="28"/>
        <v>13</v>
      </c>
      <c r="N1633" s="2" t="s">
        <v>3080</v>
      </c>
      <c r="O1633" s="2" t="s">
        <v>4373</v>
      </c>
      <c r="P1633" s="2" t="s">
        <v>4378</v>
      </c>
    </row>
    <row r="1634" spans="1:16">
      <c r="A1634" s="4">
        <v>46249.687222222223</v>
      </c>
      <c r="B1634" s="2" t="s">
        <v>265</v>
      </c>
      <c r="C1634" s="2" t="s">
        <v>3441</v>
      </c>
      <c r="D1634" s="2" t="s">
        <v>3513</v>
      </c>
      <c r="E1634" s="2">
        <v>12</v>
      </c>
      <c r="F1634" s="2"/>
      <c r="G1634" s="2">
        <v>12</v>
      </c>
      <c r="H1634" s="2" t="s">
        <v>2990</v>
      </c>
      <c r="I1634" s="2" t="s">
        <v>695</v>
      </c>
      <c r="J1634" s="2" t="s">
        <v>2537</v>
      </c>
      <c r="K1634" s="2" t="s">
        <v>1855</v>
      </c>
      <c r="L1634" s="2" t="s">
        <v>3386</v>
      </c>
      <c r="M1634" s="2" t="str">
        <f t="shared" si="28"/>
        <v>13</v>
      </c>
      <c r="N1634" s="2" t="s">
        <v>4253</v>
      </c>
      <c r="O1634" s="2" t="s">
        <v>4373</v>
      </c>
      <c r="P1634" s="2" t="s">
        <v>4378</v>
      </c>
    </row>
    <row r="1635" spans="1:16">
      <c r="A1635" s="4">
        <v>46249.686574074076</v>
      </c>
      <c r="B1635" s="2" t="s">
        <v>1995</v>
      </c>
      <c r="C1635" s="2" t="s">
        <v>3441</v>
      </c>
      <c r="D1635" s="2" t="s">
        <v>3513</v>
      </c>
      <c r="E1635" s="2">
        <v>12</v>
      </c>
      <c r="F1635" s="2"/>
      <c r="G1635" s="2">
        <v>12</v>
      </c>
      <c r="H1635" s="2" t="s">
        <v>2990</v>
      </c>
      <c r="I1635" s="2" t="s">
        <v>695</v>
      </c>
      <c r="J1635" s="2" t="s">
        <v>2537</v>
      </c>
      <c r="K1635" s="2" t="s">
        <v>1855</v>
      </c>
      <c r="L1635" s="2" t="s">
        <v>3386</v>
      </c>
      <c r="M1635" s="2" t="str">
        <f t="shared" si="28"/>
        <v>13</v>
      </c>
      <c r="N1635" s="2" t="s">
        <v>3700</v>
      </c>
      <c r="O1635" s="2" t="s">
        <v>4373</v>
      </c>
      <c r="P1635" s="2" t="s">
        <v>4378</v>
      </c>
    </row>
    <row r="1636" spans="1:16">
      <c r="A1636" s="4">
        <v>46249.686331018522</v>
      </c>
      <c r="B1636" s="2" t="s">
        <v>978</v>
      </c>
      <c r="C1636" s="2" t="s">
        <v>3441</v>
      </c>
      <c r="D1636" s="2" t="s">
        <v>3513</v>
      </c>
      <c r="E1636" s="2">
        <v>12</v>
      </c>
      <c r="F1636" s="2"/>
      <c r="G1636" s="2">
        <v>12</v>
      </c>
      <c r="H1636" s="2" t="s">
        <v>2990</v>
      </c>
      <c r="I1636" s="2" t="s">
        <v>695</v>
      </c>
      <c r="J1636" s="2" t="s">
        <v>2537</v>
      </c>
      <c r="K1636" s="2" t="s">
        <v>1855</v>
      </c>
      <c r="L1636" s="2" t="s">
        <v>3386</v>
      </c>
      <c r="M1636" s="2" t="str">
        <f t="shared" si="28"/>
        <v>13</v>
      </c>
      <c r="N1636" s="2" t="s">
        <v>2073</v>
      </c>
      <c r="O1636" s="2" t="s">
        <v>4373</v>
      </c>
      <c r="P1636" s="2" t="s">
        <v>4378</v>
      </c>
    </row>
    <row r="1637" spans="1:16">
      <c r="A1637" s="4">
        <v>46249.685671296298</v>
      </c>
      <c r="B1637" s="2" t="s">
        <v>1234</v>
      </c>
      <c r="C1637" s="2" t="s">
        <v>3441</v>
      </c>
      <c r="D1637" s="2" t="s">
        <v>3513</v>
      </c>
      <c r="E1637" s="2">
        <v>12</v>
      </c>
      <c r="F1637" s="2"/>
      <c r="G1637" s="2">
        <v>12</v>
      </c>
      <c r="H1637" s="2" t="s">
        <v>2990</v>
      </c>
      <c r="I1637" s="2" t="s">
        <v>695</v>
      </c>
      <c r="J1637" s="2" t="s">
        <v>2537</v>
      </c>
      <c r="K1637" s="2" t="s">
        <v>1855</v>
      </c>
      <c r="L1637" s="2" t="s">
        <v>3386</v>
      </c>
      <c r="M1637" s="2" t="str">
        <f t="shared" si="28"/>
        <v>13</v>
      </c>
      <c r="N1637" s="2" t="s">
        <v>192</v>
      </c>
      <c r="O1637" s="2" t="s">
        <v>4373</v>
      </c>
      <c r="P1637" s="2" t="s">
        <v>4378</v>
      </c>
    </row>
    <row r="1638" spans="1:16">
      <c r="A1638" s="4">
        <v>46249.685648148145</v>
      </c>
      <c r="B1638" s="2" t="s">
        <v>1201</v>
      </c>
      <c r="C1638" s="2" t="s">
        <v>3441</v>
      </c>
      <c r="D1638" s="2" t="s">
        <v>3513</v>
      </c>
      <c r="E1638" s="2">
        <v>12</v>
      </c>
      <c r="F1638" s="2"/>
      <c r="G1638" s="2">
        <v>12</v>
      </c>
      <c r="H1638" s="2" t="s">
        <v>2990</v>
      </c>
      <c r="I1638" s="2" t="s">
        <v>695</v>
      </c>
      <c r="J1638" s="2" t="s">
        <v>2537</v>
      </c>
      <c r="K1638" s="2" t="s">
        <v>1855</v>
      </c>
      <c r="L1638" s="2" t="s">
        <v>3386</v>
      </c>
      <c r="M1638" s="2" t="str">
        <f t="shared" si="28"/>
        <v>13</v>
      </c>
      <c r="N1638" s="2" t="s">
        <v>968</v>
      </c>
      <c r="O1638" s="2" t="s">
        <v>4373</v>
      </c>
      <c r="P1638" s="2" t="s">
        <v>4378</v>
      </c>
    </row>
    <row r="1639" spans="1:16">
      <c r="A1639" s="4">
        <v>46249.684606481482</v>
      </c>
      <c r="B1639" s="2" t="s">
        <v>1009</v>
      </c>
      <c r="C1639" s="2" t="s">
        <v>3441</v>
      </c>
      <c r="D1639" s="2" t="s">
        <v>3513</v>
      </c>
      <c r="E1639" s="2">
        <v>12</v>
      </c>
      <c r="F1639" s="2"/>
      <c r="G1639" s="2">
        <v>12</v>
      </c>
      <c r="H1639" s="2" t="s">
        <v>2990</v>
      </c>
      <c r="I1639" s="2" t="s">
        <v>695</v>
      </c>
      <c r="J1639" s="2" t="s">
        <v>2537</v>
      </c>
      <c r="K1639" s="2" t="s">
        <v>1855</v>
      </c>
      <c r="L1639" s="2" t="s">
        <v>3386</v>
      </c>
      <c r="M1639" s="2" t="str">
        <f t="shared" si="28"/>
        <v>13</v>
      </c>
      <c r="N1639" s="2" t="s">
        <v>2322</v>
      </c>
      <c r="O1639" s="2" t="s">
        <v>4373</v>
      </c>
      <c r="P1639" s="2" t="s">
        <v>4378</v>
      </c>
    </row>
    <row r="1640" spans="1:16">
      <c r="A1640" s="4">
        <v>46248.628553240742</v>
      </c>
      <c r="B1640" s="2" t="s">
        <v>2048</v>
      </c>
      <c r="C1640" s="2" t="s">
        <v>3441</v>
      </c>
      <c r="D1640" s="2" t="s">
        <v>3513</v>
      </c>
      <c r="E1640" s="2">
        <v>12</v>
      </c>
      <c r="F1640" s="2"/>
      <c r="G1640" s="2">
        <v>12</v>
      </c>
      <c r="H1640" s="2" t="s">
        <v>2046</v>
      </c>
      <c r="I1640" s="2" t="s">
        <v>695</v>
      </c>
      <c r="J1640" s="2" t="s">
        <v>2537</v>
      </c>
      <c r="K1640" s="2" t="s">
        <v>1855</v>
      </c>
      <c r="L1640" s="2" t="s">
        <v>844</v>
      </c>
      <c r="M1640" s="2" t="str">
        <f t="shared" si="28"/>
        <v>01</v>
      </c>
      <c r="N1640" s="2" t="s">
        <v>1530</v>
      </c>
      <c r="O1640" s="2" t="s">
        <v>4373</v>
      </c>
      <c r="P1640" s="2" t="s">
        <v>4379</v>
      </c>
    </row>
    <row r="1641" spans="1:16">
      <c r="A1641" s="4">
        <v>46248.626331018517</v>
      </c>
      <c r="B1641" s="2" t="s">
        <v>4289</v>
      </c>
      <c r="C1641" s="2" t="s">
        <v>3441</v>
      </c>
      <c r="D1641" s="2" t="s">
        <v>3513</v>
      </c>
      <c r="E1641" s="2">
        <v>12</v>
      </c>
      <c r="F1641" s="2"/>
      <c r="G1641" s="2">
        <v>12</v>
      </c>
      <c r="H1641" s="2" t="s">
        <v>2046</v>
      </c>
      <c r="I1641" s="2" t="s">
        <v>695</v>
      </c>
      <c r="J1641" s="2" t="s">
        <v>2537</v>
      </c>
      <c r="K1641" s="2" t="s">
        <v>2705</v>
      </c>
      <c r="L1641" s="2" t="s">
        <v>844</v>
      </c>
      <c r="M1641" s="2" t="str">
        <f t="shared" si="28"/>
        <v>01</v>
      </c>
      <c r="N1641" s="2" t="s">
        <v>1429</v>
      </c>
      <c r="O1641" s="2" t="s">
        <v>4373</v>
      </c>
      <c r="P1641" s="2" t="s">
        <v>4379</v>
      </c>
    </row>
    <row r="1642" spans="1:16">
      <c r="A1642" s="4">
        <v>46248.597662037035</v>
      </c>
      <c r="B1642" s="2" t="s">
        <v>180</v>
      </c>
      <c r="C1642" s="2" t="s">
        <v>3441</v>
      </c>
      <c r="D1642" s="2" t="s">
        <v>3513</v>
      </c>
      <c r="E1642" s="2">
        <v>6</v>
      </c>
      <c r="F1642" s="2"/>
      <c r="G1642" s="2">
        <v>6</v>
      </c>
      <c r="H1642" s="2" t="s">
        <v>2046</v>
      </c>
      <c r="I1642" s="2" t="s">
        <v>695</v>
      </c>
      <c r="J1642" s="2" t="s">
        <v>2537</v>
      </c>
      <c r="K1642" s="2" t="s">
        <v>1855</v>
      </c>
      <c r="L1642" s="2" t="s">
        <v>1188</v>
      </c>
      <c r="M1642" s="2" t="str">
        <f t="shared" si="28"/>
        <v>10</v>
      </c>
      <c r="N1642" s="2" t="s">
        <v>3403</v>
      </c>
      <c r="O1642" s="2" t="s">
        <v>4373</v>
      </c>
      <c r="P1642" s="2" t="s">
        <v>4379</v>
      </c>
    </row>
    <row r="1643" spans="1:16">
      <c r="A1643" s="4">
        <v>46248.597245370373</v>
      </c>
      <c r="B1643" s="2" t="s">
        <v>3037</v>
      </c>
      <c r="C1643" s="2" t="s">
        <v>3441</v>
      </c>
      <c r="D1643" s="2" t="s">
        <v>3513</v>
      </c>
      <c r="E1643" s="2">
        <v>12</v>
      </c>
      <c r="F1643" s="2"/>
      <c r="G1643" s="2">
        <v>12</v>
      </c>
      <c r="H1643" s="2" t="s">
        <v>2046</v>
      </c>
      <c r="I1643" s="2" t="s">
        <v>695</v>
      </c>
      <c r="J1643" s="2" t="s">
        <v>2537</v>
      </c>
      <c r="K1643" s="2" t="s">
        <v>1855</v>
      </c>
      <c r="L1643" s="2" t="s">
        <v>1188</v>
      </c>
      <c r="M1643" s="2" t="str">
        <f t="shared" si="28"/>
        <v>10</v>
      </c>
      <c r="N1643" s="2" t="s">
        <v>3415</v>
      </c>
      <c r="O1643" s="2" t="s">
        <v>4373</v>
      </c>
      <c r="P1643" s="2" t="s">
        <v>4379</v>
      </c>
    </row>
    <row r="1644" spans="1:16">
      <c r="A1644" s="4">
        <v>46248.596886574072</v>
      </c>
      <c r="B1644" s="2" t="s">
        <v>3155</v>
      </c>
      <c r="C1644" s="2" t="s">
        <v>3441</v>
      </c>
      <c r="D1644" s="2" t="s">
        <v>3513</v>
      </c>
      <c r="E1644" s="2">
        <v>12</v>
      </c>
      <c r="F1644" s="2"/>
      <c r="G1644" s="2">
        <v>12</v>
      </c>
      <c r="H1644" s="2" t="s">
        <v>2046</v>
      </c>
      <c r="I1644" s="2" t="s">
        <v>695</v>
      </c>
      <c r="J1644" s="2" t="s">
        <v>2537</v>
      </c>
      <c r="K1644" s="2" t="s">
        <v>1855</v>
      </c>
      <c r="L1644" s="2" t="s">
        <v>1188</v>
      </c>
      <c r="M1644" s="2" t="str">
        <f t="shared" si="28"/>
        <v>10</v>
      </c>
      <c r="N1644" s="2" t="s">
        <v>2460</v>
      </c>
      <c r="O1644" s="2" t="s">
        <v>4373</v>
      </c>
      <c r="P1644" s="2" t="s">
        <v>4379</v>
      </c>
    </row>
    <row r="1645" spans="1:16">
      <c r="A1645" s="4">
        <v>46248.596736111111</v>
      </c>
      <c r="B1645" s="2" t="s">
        <v>1495</v>
      </c>
      <c r="C1645" s="2" t="s">
        <v>3441</v>
      </c>
      <c r="D1645" s="2" t="s">
        <v>3513</v>
      </c>
      <c r="E1645" s="2">
        <v>12</v>
      </c>
      <c r="F1645" s="2"/>
      <c r="G1645" s="2">
        <v>12</v>
      </c>
      <c r="H1645" s="2" t="s">
        <v>2046</v>
      </c>
      <c r="I1645" s="2" t="s">
        <v>695</v>
      </c>
      <c r="J1645" s="2" t="s">
        <v>2537</v>
      </c>
      <c r="K1645" s="2" t="s">
        <v>1855</v>
      </c>
      <c r="L1645" s="2" t="s">
        <v>1188</v>
      </c>
      <c r="M1645" s="2" t="str">
        <f t="shared" si="28"/>
        <v>10</v>
      </c>
      <c r="N1645" s="2" t="s">
        <v>3763</v>
      </c>
      <c r="O1645" s="2" t="s">
        <v>4373</v>
      </c>
      <c r="P1645" s="2" t="s">
        <v>4379</v>
      </c>
    </row>
    <row r="1646" spans="1:16">
      <c r="A1646" s="4">
        <v>46248.596319444441</v>
      </c>
      <c r="B1646" s="2" t="s">
        <v>2359</v>
      </c>
      <c r="C1646" s="2" t="s">
        <v>3441</v>
      </c>
      <c r="D1646" s="2" t="s">
        <v>3513</v>
      </c>
      <c r="E1646" s="2">
        <v>12</v>
      </c>
      <c r="F1646" s="2"/>
      <c r="G1646" s="2">
        <v>12</v>
      </c>
      <c r="H1646" s="2" t="s">
        <v>2046</v>
      </c>
      <c r="I1646" s="2" t="s">
        <v>695</v>
      </c>
      <c r="J1646" s="2" t="s">
        <v>2537</v>
      </c>
      <c r="K1646" s="2" t="s">
        <v>1855</v>
      </c>
      <c r="L1646" s="2" t="s">
        <v>1188</v>
      </c>
      <c r="M1646" s="2" t="str">
        <f t="shared" si="28"/>
        <v>10</v>
      </c>
      <c r="N1646" s="2" t="s">
        <v>810</v>
      </c>
      <c r="O1646" s="2" t="s">
        <v>4373</v>
      </c>
      <c r="P1646" s="2" t="s">
        <v>4379</v>
      </c>
    </row>
    <row r="1647" spans="1:16">
      <c r="A1647" s="4">
        <v>46248.596250000002</v>
      </c>
      <c r="B1647" s="2" t="s">
        <v>1660</v>
      </c>
      <c r="C1647" s="2" t="s">
        <v>3441</v>
      </c>
      <c r="D1647" s="2" t="s">
        <v>3513</v>
      </c>
      <c r="E1647" s="2">
        <v>12</v>
      </c>
      <c r="F1647" s="2"/>
      <c r="G1647" s="2">
        <v>12</v>
      </c>
      <c r="H1647" s="2" t="s">
        <v>2046</v>
      </c>
      <c r="I1647" s="2" t="s">
        <v>695</v>
      </c>
      <c r="J1647" s="2" t="s">
        <v>2537</v>
      </c>
      <c r="K1647" s="2" t="s">
        <v>1855</v>
      </c>
      <c r="L1647" s="2" t="s">
        <v>1188</v>
      </c>
      <c r="M1647" s="2" t="str">
        <f t="shared" si="28"/>
        <v>10</v>
      </c>
      <c r="N1647" s="2" t="s">
        <v>2190</v>
      </c>
      <c r="O1647" s="2" t="s">
        <v>4373</v>
      </c>
      <c r="P1647" s="2" t="s">
        <v>4379</v>
      </c>
    </row>
    <row r="1648" spans="1:16">
      <c r="A1648" s="4">
        <v>46248.595150462963</v>
      </c>
      <c r="B1648" s="2" t="s">
        <v>210</v>
      </c>
      <c r="C1648" s="2" t="s">
        <v>3441</v>
      </c>
      <c r="D1648" s="2" t="s">
        <v>3513</v>
      </c>
      <c r="E1648" s="2">
        <v>12</v>
      </c>
      <c r="F1648" s="2"/>
      <c r="G1648" s="2">
        <v>12</v>
      </c>
      <c r="H1648" s="2" t="s">
        <v>2046</v>
      </c>
      <c r="I1648" s="2" t="s">
        <v>695</v>
      </c>
      <c r="J1648" s="2" t="s">
        <v>2537</v>
      </c>
      <c r="K1648" s="2" t="s">
        <v>1855</v>
      </c>
      <c r="L1648" s="2" t="s">
        <v>1188</v>
      </c>
      <c r="M1648" s="2" t="str">
        <f t="shared" si="28"/>
        <v>10</v>
      </c>
      <c r="N1648" s="2" t="s">
        <v>2194</v>
      </c>
      <c r="O1648" s="2" t="s">
        <v>4373</v>
      </c>
      <c r="P1648" s="2" t="s">
        <v>4379</v>
      </c>
    </row>
    <row r="1649" spans="1:16">
      <c r="A1649" s="4">
        <v>46248.594907407409</v>
      </c>
      <c r="B1649" s="2" t="s">
        <v>2827</v>
      </c>
      <c r="C1649" s="2" t="s">
        <v>3441</v>
      </c>
      <c r="D1649" s="2" t="s">
        <v>3513</v>
      </c>
      <c r="E1649" s="2">
        <v>12</v>
      </c>
      <c r="F1649" s="2"/>
      <c r="G1649" s="2">
        <v>12</v>
      </c>
      <c r="H1649" s="2" t="s">
        <v>2046</v>
      </c>
      <c r="I1649" s="2" t="s">
        <v>695</v>
      </c>
      <c r="J1649" s="2" t="s">
        <v>2537</v>
      </c>
      <c r="K1649" s="2" t="s">
        <v>1855</v>
      </c>
      <c r="L1649" s="2" t="s">
        <v>1188</v>
      </c>
      <c r="M1649" s="2" t="str">
        <f t="shared" si="28"/>
        <v>10</v>
      </c>
      <c r="N1649" s="2" t="s">
        <v>167</v>
      </c>
      <c r="O1649" s="2" t="s">
        <v>4373</v>
      </c>
      <c r="P1649" s="2" t="s">
        <v>4379</v>
      </c>
    </row>
    <row r="1650" spans="1:16">
      <c r="A1650" s="4">
        <v>46248.594456018516</v>
      </c>
      <c r="B1650" s="2" t="s">
        <v>3148</v>
      </c>
      <c r="C1650" s="2" t="s">
        <v>3441</v>
      </c>
      <c r="D1650" s="2" t="s">
        <v>3513</v>
      </c>
      <c r="E1650" s="2">
        <v>12</v>
      </c>
      <c r="F1650" s="2"/>
      <c r="G1650" s="2">
        <v>12</v>
      </c>
      <c r="H1650" s="2" t="s">
        <v>2046</v>
      </c>
      <c r="I1650" s="2" t="s">
        <v>695</v>
      </c>
      <c r="J1650" s="2" t="s">
        <v>2537</v>
      </c>
      <c r="K1650" s="2" t="s">
        <v>1855</v>
      </c>
      <c r="L1650" s="2" t="s">
        <v>1188</v>
      </c>
      <c r="M1650" s="2" t="str">
        <f t="shared" si="28"/>
        <v>10</v>
      </c>
      <c r="N1650" s="2" t="s">
        <v>3584</v>
      </c>
      <c r="O1650" s="2" t="s">
        <v>4373</v>
      </c>
      <c r="P1650" s="2" t="s">
        <v>4379</v>
      </c>
    </row>
    <row r="1651" spans="1:16">
      <c r="A1651" s="4">
        <v>46248.594340277778</v>
      </c>
      <c r="B1651" s="2" t="s">
        <v>1044</v>
      </c>
      <c r="C1651" s="2" t="s">
        <v>3441</v>
      </c>
      <c r="D1651" s="2" t="s">
        <v>3513</v>
      </c>
      <c r="E1651" s="2">
        <v>12</v>
      </c>
      <c r="F1651" s="2"/>
      <c r="G1651" s="2">
        <v>12</v>
      </c>
      <c r="H1651" s="2" t="s">
        <v>2046</v>
      </c>
      <c r="I1651" s="2" t="s">
        <v>695</v>
      </c>
      <c r="J1651" s="2" t="s">
        <v>2537</v>
      </c>
      <c r="K1651" s="2" t="s">
        <v>1855</v>
      </c>
      <c r="L1651" s="2" t="s">
        <v>1188</v>
      </c>
      <c r="M1651" s="2" t="str">
        <f t="shared" si="28"/>
        <v>10</v>
      </c>
      <c r="N1651" s="2" t="s">
        <v>1894</v>
      </c>
      <c r="O1651" s="2" t="s">
        <v>4373</v>
      </c>
      <c r="P1651" s="2" t="s">
        <v>4379</v>
      </c>
    </row>
    <row r="1652" spans="1:16">
      <c r="A1652" s="4">
        <v>46248.593402777777</v>
      </c>
      <c r="B1652" s="2" t="s">
        <v>4272</v>
      </c>
      <c r="C1652" s="2" t="s">
        <v>3441</v>
      </c>
      <c r="D1652" s="2" t="s">
        <v>3513</v>
      </c>
      <c r="E1652" s="2">
        <v>12</v>
      </c>
      <c r="F1652" s="2"/>
      <c r="G1652" s="2">
        <v>12</v>
      </c>
      <c r="H1652" s="2" t="s">
        <v>2046</v>
      </c>
      <c r="I1652" s="2" t="s">
        <v>695</v>
      </c>
      <c r="J1652" s="2" t="s">
        <v>2537</v>
      </c>
      <c r="K1652" s="2" t="s">
        <v>1855</v>
      </c>
      <c r="L1652" s="2" t="s">
        <v>1188</v>
      </c>
      <c r="M1652" s="2" t="str">
        <f t="shared" si="28"/>
        <v>10</v>
      </c>
      <c r="N1652" s="2" t="s">
        <v>507</v>
      </c>
      <c r="O1652" s="2" t="s">
        <v>4373</v>
      </c>
      <c r="P1652" s="2" t="s">
        <v>4379</v>
      </c>
    </row>
    <row r="1653" spans="1:16">
      <c r="A1653" s="4">
        <v>46248.593206018515</v>
      </c>
      <c r="B1653" s="2" t="s">
        <v>3317</v>
      </c>
      <c r="C1653" s="2" t="s">
        <v>3441</v>
      </c>
      <c r="D1653" s="2" t="s">
        <v>3513</v>
      </c>
      <c r="E1653" s="2">
        <v>12</v>
      </c>
      <c r="F1653" s="2"/>
      <c r="G1653" s="2">
        <v>12</v>
      </c>
      <c r="H1653" s="2" t="s">
        <v>2046</v>
      </c>
      <c r="I1653" s="2" t="s">
        <v>695</v>
      </c>
      <c r="J1653" s="2" t="s">
        <v>2537</v>
      </c>
      <c r="K1653" s="2" t="s">
        <v>1855</v>
      </c>
      <c r="L1653" s="2" t="s">
        <v>1188</v>
      </c>
      <c r="M1653" s="2" t="str">
        <f t="shared" si="28"/>
        <v>10</v>
      </c>
      <c r="N1653" s="2" t="s">
        <v>636</v>
      </c>
      <c r="O1653" s="2" t="s">
        <v>4373</v>
      </c>
      <c r="P1653" s="2" t="s">
        <v>4379</v>
      </c>
    </row>
    <row r="1654" spans="1:16">
      <c r="A1654" s="4">
        <v>46248.592534722222</v>
      </c>
      <c r="B1654" s="2" t="s">
        <v>4111</v>
      </c>
      <c r="C1654" s="2" t="s">
        <v>3441</v>
      </c>
      <c r="D1654" s="2" t="s">
        <v>3513</v>
      </c>
      <c r="E1654" s="2">
        <v>12</v>
      </c>
      <c r="F1654" s="2"/>
      <c r="G1654" s="2">
        <v>12</v>
      </c>
      <c r="H1654" s="2" t="s">
        <v>2046</v>
      </c>
      <c r="I1654" s="2" t="s">
        <v>695</v>
      </c>
      <c r="J1654" s="2" t="s">
        <v>2537</v>
      </c>
      <c r="K1654" s="2" t="s">
        <v>1855</v>
      </c>
      <c r="L1654" s="2" t="s">
        <v>1188</v>
      </c>
      <c r="M1654" s="2" t="str">
        <f t="shared" si="28"/>
        <v>10</v>
      </c>
      <c r="N1654" s="2" t="s">
        <v>1236</v>
      </c>
      <c r="O1654" s="2" t="s">
        <v>4373</v>
      </c>
      <c r="P1654" s="2" t="s">
        <v>4379</v>
      </c>
    </row>
    <row r="1655" spans="1:16">
      <c r="A1655" s="4">
        <v>46248.592395833337</v>
      </c>
      <c r="B1655" s="2" t="s">
        <v>2317</v>
      </c>
      <c r="C1655" s="2" t="s">
        <v>3441</v>
      </c>
      <c r="D1655" s="2" t="s">
        <v>3513</v>
      </c>
      <c r="E1655" s="2">
        <v>12</v>
      </c>
      <c r="F1655" s="2"/>
      <c r="G1655" s="2">
        <v>12</v>
      </c>
      <c r="H1655" s="2" t="s">
        <v>2046</v>
      </c>
      <c r="I1655" s="2" t="s">
        <v>695</v>
      </c>
      <c r="J1655" s="2" t="s">
        <v>2537</v>
      </c>
      <c r="K1655" s="2" t="s">
        <v>1855</v>
      </c>
      <c r="L1655" s="2" t="s">
        <v>1188</v>
      </c>
      <c r="M1655" s="2" t="str">
        <f t="shared" si="28"/>
        <v>10</v>
      </c>
      <c r="N1655" s="2" t="s">
        <v>803</v>
      </c>
      <c r="O1655" s="2" t="s">
        <v>4373</v>
      </c>
      <c r="P1655" s="2" t="s">
        <v>4379</v>
      </c>
    </row>
    <row r="1656" spans="1:16">
      <c r="A1656" s="4">
        <v>46248.591608796298</v>
      </c>
      <c r="B1656" s="2" t="s">
        <v>4127</v>
      </c>
      <c r="C1656" s="2" t="s">
        <v>3441</v>
      </c>
      <c r="D1656" s="2" t="s">
        <v>3513</v>
      </c>
      <c r="E1656" s="2">
        <v>12</v>
      </c>
      <c r="F1656" s="2"/>
      <c r="G1656" s="2">
        <v>12</v>
      </c>
      <c r="H1656" s="2" t="s">
        <v>2046</v>
      </c>
      <c r="I1656" s="2" t="s">
        <v>695</v>
      </c>
      <c r="J1656" s="2" t="s">
        <v>2537</v>
      </c>
      <c r="K1656" s="2" t="s">
        <v>1855</v>
      </c>
      <c r="L1656" s="2" t="s">
        <v>1188</v>
      </c>
      <c r="M1656" s="2" t="str">
        <f t="shared" si="28"/>
        <v>10</v>
      </c>
      <c r="N1656" s="2" t="s">
        <v>2242</v>
      </c>
      <c r="O1656" s="2" t="s">
        <v>4373</v>
      </c>
      <c r="P1656" s="2" t="s">
        <v>4379</v>
      </c>
    </row>
    <row r="1657" spans="1:16">
      <c r="A1657" s="4">
        <v>46248.591307870367</v>
      </c>
      <c r="B1657" s="2" t="s">
        <v>2552</v>
      </c>
      <c r="C1657" s="2" t="s">
        <v>3441</v>
      </c>
      <c r="D1657" s="2" t="s">
        <v>3513</v>
      </c>
      <c r="E1657" s="2">
        <v>12</v>
      </c>
      <c r="F1657" s="2"/>
      <c r="G1657" s="2">
        <v>12</v>
      </c>
      <c r="H1657" s="2" t="s">
        <v>2046</v>
      </c>
      <c r="I1657" s="2" t="s">
        <v>695</v>
      </c>
      <c r="J1657" s="2" t="s">
        <v>2537</v>
      </c>
      <c r="K1657" s="2" t="s">
        <v>1855</v>
      </c>
      <c r="L1657" s="2" t="s">
        <v>1188</v>
      </c>
      <c r="M1657" s="2" t="str">
        <f t="shared" si="28"/>
        <v>10</v>
      </c>
      <c r="N1657" s="2" t="s">
        <v>3236</v>
      </c>
      <c r="O1657" s="2" t="s">
        <v>4373</v>
      </c>
      <c r="P1657" s="2" t="s">
        <v>4379</v>
      </c>
    </row>
    <row r="1658" spans="1:16">
      <c r="A1658" s="4">
        <v>46248.590370370373</v>
      </c>
      <c r="B1658" s="2" t="s">
        <v>1753</v>
      </c>
      <c r="C1658" s="2" t="s">
        <v>3441</v>
      </c>
      <c r="D1658" s="2" t="s">
        <v>3513</v>
      </c>
      <c r="E1658" s="2">
        <v>12</v>
      </c>
      <c r="F1658" s="2"/>
      <c r="G1658" s="2">
        <v>12</v>
      </c>
      <c r="H1658" s="2" t="s">
        <v>2046</v>
      </c>
      <c r="I1658" s="2" t="s">
        <v>695</v>
      </c>
      <c r="J1658" s="2" t="s">
        <v>2537</v>
      </c>
      <c r="K1658" s="2" t="s">
        <v>1855</v>
      </c>
      <c r="L1658" s="2" t="s">
        <v>1188</v>
      </c>
      <c r="M1658" s="2" t="str">
        <f t="shared" si="28"/>
        <v>10</v>
      </c>
      <c r="N1658" s="2" t="s">
        <v>123</v>
      </c>
      <c r="O1658" s="2" t="s">
        <v>4373</v>
      </c>
      <c r="P1658" s="2" t="s">
        <v>4379</v>
      </c>
    </row>
    <row r="1659" spans="1:16">
      <c r="A1659" s="4">
        <v>46248.590092592596</v>
      </c>
      <c r="B1659" s="2" t="s">
        <v>1312</v>
      </c>
      <c r="C1659" s="2" t="s">
        <v>3441</v>
      </c>
      <c r="D1659" s="2" t="s">
        <v>3513</v>
      </c>
      <c r="E1659" s="2">
        <v>12</v>
      </c>
      <c r="F1659" s="2"/>
      <c r="G1659" s="2">
        <v>12</v>
      </c>
      <c r="H1659" s="2" t="s">
        <v>2046</v>
      </c>
      <c r="I1659" s="2" t="s">
        <v>695</v>
      </c>
      <c r="J1659" s="2" t="s">
        <v>2537</v>
      </c>
      <c r="K1659" s="2" t="s">
        <v>1855</v>
      </c>
      <c r="L1659" s="2" t="s">
        <v>1188</v>
      </c>
      <c r="M1659" s="2" t="str">
        <f t="shared" si="28"/>
        <v>10</v>
      </c>
      <c r="N1659" s="2" t="s">
        <v>2782</v>
      </c>
      <c r="O1659" s="2" t="s">
        <v>4373</v>
      </c>
      <c r="P1659" s="2" t="s">
        <v>4379</v>
      </c>
    </row>
    <row r="1660" spans="1:16">
      <c r="A1660" s="4">
        <v>46248.588900462964</v>
      </c>
      <c r="B1660" s="2" t="s">
        <v>105</v>
      </c>
      <c r="C1660" s="2" t="s">
        <v>3441</v>
      </c>
      <c r="D1660" s="2" t="s">
        <v>3513</v>
      </c>
      <c r="E1660" s="2">
        <v>12</v>
      </c>
      <c r="F1660" s="2"/>
      <c r="G1660" s="2">
        <v>12</v>
      </c>
      <c r="H1660" s="2" t="s">
        <v>2046</v>
      </c>
      <c r="I1660" s="2" t="s">
        <v>695</v>
      </c>
      <c r="J1660" s="2" t="s">
        <v>2537</v>
      </c>
      <c r="K1660" s="2" t="s">
        <v>1855</v>
      </c>
      <c r="L1660" s="2" t="s">
        <v>1188</v>
      </c>
      <c r="M1660" s="2" t="str">
        <f t="shared" si="28"/>
        <v>10</v>
      </c>
      <c r="N1660" s="2" t="s">
        <v>3501</v>
      </c>
      <c r="O1660" s="2" t="s">
        <v>4373</v>
      </c>
      <c r="P1660" s="2" t="s">
        <v>4379</v>
      </c>
    </row>
    <row r="1661" spans="1:16">
      <c r="A1661" s="4">
        <v>46248.588831018518</v>
      </c>
      <c r="B1661" s="2" t="s">
        <v>2577</v>
      </c>
      <c r="C1661" s="2" t="s">
        <v>3441</v>
      </c>
      <c r="D1661" s="2" t="s">
        <v>3513</v>
      </c>
      <c r="E1661" s="2">
        <v>12</v>
      </c>
      <c r="F1661" s="2"/>
      <c r="G1661" s="2">
        <v>12</v>
      </c>
      <c r="H1661" s="2" t="s">
        <v>2046</v>
      </c>
      <c r="I1661" s="2" t="s">
        <v>695</v>
      </c>
      <c r="J1661" s="2" t="s">
        <v>2537</v>
      </c>
      <c r="K1661" s="2" t="s">
        <v>1855</v>
      </c>
      <c r="L1661" s="2" t="s">
        <v>1188</v>
      </c>
      <c r="M1661" s="2" t="str">
        <f t="shared" si="28"/>
        <v>10</v>
      </c>
      <c r="N1661" s="2" t="s">
        <v>3952</v>
      </c>
      <c r="O1661" s="2" t="s">
        <v>4373</v>
      </c>
      <c r="P1661" s="2" t="s">
        <v>4379</v>
      </c>
    </row>
    <row r="1662" spans="1:16">
      <c r="A1662" s="4">
        <v>46248.58797453704</v>
      </c>
      <c r="B1662" s="2" t="s">
        <v>228</v>
      </c>
      <c r="C1662" s="2" t="s">
        <v>3441</v>
      </c>
      <c r="D1662" s="2" t="s">
        <v>3513</v>
      </c>
      <c r="E1662" s="2">
        <v>12</v>
      </c>
      <c r="F1662" s="2"/>
      <c r="G1662" s="2">
        <v>12</v>
      </c>
      <c r="H1662" s="2" t="s">
        <v>2046</v>
      </c>
      <c r="I1662" s="2" t="s">
        <v>695</v>
      </c>
      <c r="J1662" s="2" t="s">
        <v>2537</v>
      </c>
      <c r="K1662" s="2" t="s">
        <v>1855</v>
      </c>
      <c r="L1662" s="2" t="s">
        <v>1188</v>
      </c>
      <c r="M1662" s="2" t="str">
        <f t="shared" si="28"/>
        <v>10</v>
      </c>
      <c r="N1662" s="2" t="s">
        <v>3414</v>
      </c>
      <c r="O1662" s="2" t="s">
        <v>4373</v>
      </c>
      <c r="P1662" s="2" t="s">
        <v>4379</v>
      </c>
    </row>
    <row r="1663" spans="1:16">
      <c r="A1663" s="4">
        <v>46248.587175925924</v>
      </c>
      <c r="B1663" s="2" t="s">
        <v>2700</v>
      </c>
      <c r="C1663" s="2" t="s">
        <v>3441</v>
      </c>
      <c r="D1663" s="2" t="s">
        <v>3513</v>
      </c>
      <c r="E1663" s="2">
        <v>12</v>
      </c>
      <c r="F1663" s="2"/>
      <c r="G1663" s="2">
        <v>12</v>
      </c>
      <c r="H1663" s="2" t="s">
        <v>2046</v>
      </c>
      <c r="I1663" s="2" t="s">
        <v>695</v>
      </c>
      <c r="J1663" s="2" t="s">
        <v>2537</v>
      </c>
      <c r="K1663" s="2" t="s">
        <v>1855</v>
      </c>
      <c r="L1663" s="2" t="s">
        <v>1188</v>
      </c>
      <c r="M1663" s="2" t="str">
        <f t="shared" si="28"/>
        <v>10</v>
      </c>
      <c r="N1663" s="2" t="s">
        <v>280</v>
      </c>
      <c r="O1663" s="2" t="s">
        <v>4373</v>
      </c>
      <c r="P1663" s="2" t="s">
        <v>4379</v>
      </c>
    </row>
    <row r="1664" spans="1:16">
      <c r="A1664" s="4">
        <v>46248.587152777778</v>
      </c>
      <c r="B1664" s="2" t="s">
        <v>535</v>
      </c>
      <c r="C1664" s="2" t="s">
        <v>3441</v>
      </c>
      <c r="D1664" s="2" t="s">
        <v>3513</v>
      </c>
      <c r="E1664" s="2">
        <v>12</v>
      </c>
      <c r="F1664" s="2"/>
      <c r="G1664" s="2">
        <v>12</v>
      </c>
      <c r="H1664" s="2" t="s">
        <v>2046</v>
      </c>
      <c r="I1664" s="2" t="s">
        <v>695</v>
      </c>
      <c r="J1664" s="2" t="s">
        <v>2537</v>
      </c>
      <c r="K1664" s="2" t="s">
        <v>1855</v>
      </c>
      <c r="L1664" s="2" t="s">
        <v>1188</v>
      </c>
      <c r="M1664" s="2" t="str">
        <f t="shared" si="28"/>
        <v>10</v>
      </c>
      <c r="N1664" s="2" t="s">
        <v>85</v>
      </c>
      <c r="O1664" s="2" t="s">
        <v>4373</v>
      </c>
      <c r="P1664" s="2" t="s">
        <v>4379</v>
      </c>
    </row>
    <row r="1665" spans="1:16">
      <c r="A1665" s="4">
        <v>46248.585821759261</v>
      </c>
      <c r="B1665" s="2" t="s">
        <v>1571</v>
      </c>
      <c r="C1665" s="2" t="s">
        <v>3441</v>
      </c>
      <c r="D1665" s="2" t="s">
        <v>3513</v>
      </c>
      <c r="E1665" s="2">
        <v>12</v>
      </c>
      <c r="F1665" s="2"/>
      <c r="G1665" s="2">
        <v>12</v>
      </c>
      <c r="H1665" s="2" t="s">
        <v>2046</v>
      </c>
      <c r="I1665" s="2" t="s">
        <v>695</v>
      </c>
      <c r="J1665" s="2" t="s">
        <v>2537</v>
      </c>
      <c r="K1665" s="2" t="s">
        <v>1855</v>
      </c>
      <c r="L1665" s="2" t="s">
        <v>1188</v>
      </c>
      <c r="M1665" s="2" t="str">
        <f t="shared" si="28"/>
        <v>10</v>
      </c>
      <c r="N1665" s="2" t="s">
        <v>2179</v>
      </c>
      <c r="O1665" s="2" t="s">
        <v>4373</v>
      </c>
      <c r="P1665" s="2" t="s">
        <v>4379</v>
      </c>
    </row>
    <row r="1666" spans="1:16">
      <c r="A1666" s="4">
        <v>46248.585462962961</v>
      </c>
      <c r="B1666" s="2" t="s">
        <v>2337</v>
      </c>
      <c r="C1666" s="2" t="s">
        <v>3441</v>
      </c>
      <c r="D1666" s="2" t="s">
        <v>3513</v>
      </c>
      <c r="E1666" s="2">
        <v>12</v>
      </c>
      <c r="F1666" s="2"/>
      <c r="G1666" s="2">
        <v>12</v>
      </c>
      <c r="H1666" s="2" t="s">
        <v>2046</v>
      </c>
      <c r="I1666" s="2" t="s">
        <v>695</v>
      </c>
      <c r="J1666" s="2" t="s">
        <v>2537</v>
      </c>
      <c r="K1666" s="2" t="s">
        <v>1855</v>
      </c>
      <c r="L1666" s="2" t="s">
        <v>1188</v>
      </c>
      <c r="M1666" s="2" t="str">
        <f t="shared" ref="M1666:M1729" si="29">RIGHT(L1666,2)</f>
        <v>10</v>
      </c>
      <c r="N1666" s="2" t="s">
        <v>2505</v>
      </c>
      <c r="O1666" s="2" t="s">
        <v>4373</v>
      </c>
      <c r="P1666" s="2" t="s">
        <v>4379</v>
      </c>
    </row>
    <row r="1667" spans="1:16">
      <c r="A1667" s="4">
        <v>46248.585405092592</v>
      </c>
      <c r="B1667" s="2" t="s">
        <v>908</v>
      </c>
      <c r="C1667" s="2" t="s">
        <v>3441</v>
      </c>
      <c r="D1667" s="2" t="s">
        <v>3513</v>
      </c>
      <c r="E1667" s="2">
        <v>12</v>
      </c>
      <c r="F1667" s="2"/>
      <c r="G1667" s="2">
        <v>12</v>
      </c>
      <c r="H1667" s="2" t="s">
        <v>2046</v>
      </c>
      <c r="I1667" s="2" t="s">
        <v>695</v>
      </c>
      <c r="J1667" s="2" t="s">
        <v>2537</v>
      </c>
      <c r="K1667" s="2" t="s">
        <v>1855</v>
      </c>
      <c r="L1667" s="2" t="s">
        <v>1188</v>
      </c>
      <c r="M1667" s="2" t="str">
        <f t="shared" si="29"/>
        <v>10</v>
      </c>
      <c r="N1667" s="2" t="s">
        <v>3408</v>
      </c>
      <c r="O1667" s="2" t="s">
        <v>4373</v>
      </c>
      <c r="P1667" s="2" t="s">
        <v>4379</v>
      </c>
    </row>
    <row r="1668" spans="1:16">
      <c r="A1668" s="4">
        <v>46248.584687499999</v>
      </c>
      <c r="B1668" s="2" t="s">
        <v>77</v>
      </c>
      <c r="C1668" s="2" t="s">
        <v>3441</v>
      </c>
      <c r="D1668" s="2" t="s">
        <v>3513</v>
      </c>
      <c r="E1668" s="2">
        <v>12</v>
      </c>
      <c r="F1668" s="2"/>
      <c r="G1668" s="2">
        <v>12</v>
      </c>
      <c r="H1668" s="2" t="s">
        <v>2046</v>
      </c>
      <c r="I1668" s="2" t="s">
        <v>695</v>
      </c>
      <c r="J1668" s="2" t="s">
        <v>2537</v>
      </c>
      <c r="K1668" s="2" t="s">
        <v>1855</v>
      </c>
      <c r="L1668" s="2" t="s">
        <v>1188</v>
      </c>
      <c r="M1668" s="2" t="str">
        <f t="shared" si="29"/>
        <v>10</v>
      </c>
      <c r="N1668" s="2" t="s">
        <v>2336</v>
      </c>
      <c r="O1668" s="2" t="s">
        <v>4373</v>
      </c>
      <c r="P1668" s="2" t="s">
        <v>4379</v>
      </c>
    </row>
    <row r="1669" spans="1:16">
      <c r="A1669" s="4">
        <v>46248.584340277775</v>
      </c>
      <c r="B1669" s="2" t="s">
        <v>1915</v>
      </c>
      <c r="C1669" s="2" t="s">
        <v>3441</v>
      </c>
      <c r="D1669" s="2" t="s">
        <v>3513</v>
      </c>
      <c r="E1669" s="2">
        <v>12</v>
      </c>
      <c r="F1669" s="2"/>
      <c r="G1669" s="2">
        <v>12</v>
      </c>
      <c r="H1669" s="2" t="s">
        <v>2046</v>
      </c>
      <c r="I1669" s="2" t="s">
        <v>695</v>
      </c>
      <c r="J1669" s="2" t="s">
        <v>2537</v>
      </c>
      <c r="K1669" s="2" t="s">
        <v>1855</v>
      </c>
      <c r="L1669" s="2" t="s">
        <v>1188</v>
      </c>
      <c r="M1669" s="2" t="str">
        <f t="shared" si="29"/>
        <v>10</v>
      </c>
      <c r="N1669" s="2" t="s">
        <v>874</v>
      </c>
      <c r="O1669" s="2" t="s">
        <v>4373</v>
      </c>
      <c r="P1669" s="2" t="s">
        <v>4379</v>
      </c>
    </row>
    <row r="1670" spans="1:16">
      <c r="A1670" s="4">
        <v>46248.584224537037</v>
      </c>
      <c r="B1670" s="2" t="s">
        <v>1904</v>
      </c>
      <c r="C1670" s="2" t="s">
        <v>3441</v>
      </c>
      <c r="D1670" s="2" t="s">
        <v>3513</v>
      </c>
      <c r="E1670" s="2">
        <v>12</v>
      </c>
      <c r="F1670" s="2"/>
      <c r="G1670" s="2">
        <v>12</v>
      </c>
      <c r="H1670" s="2" t="s">
        <v>2046</v>
      </c>
      <c r="I1670" s="2" t="s">
        <v>695</v>
      </c>
      <c r="J1670" s="2" t="s">
        <v>2537</v>
      </c>
      <c r="K1670" s="2" t="s">
        <v>1855</v>
      </c>
      <c r="L1670" s="2" t="s">
        <v>1188</v>
      </c>
      <c r="M1670" s="2" t="str">
        <f t="shared" si="29"/>
        <v>10</v>
      </c>
      <c r="N1670" s="2" t="s">
        <v>4038</v>
      </c>
      <c r="O1670" s="2" t="s">
        <v>4373</v>
      </c>
      <c r="P1670" s="2" t="s">
        <v>4379</v>
      </c>
    </row>
    <row r="1671" spans="1:16">
      <c r="A1671" s="4">
        <v>46248.583541666667</v>
      </c>
      <c r="B1671" s="2" t="s">
        <v>557</v>
      </c>
      <c r="C1671" s="2" t="s">
        <v>3441</v>
      </c>
      <c r="D1671" s="2" t="s">
        <v>3513</v>
      </c>
      <c r="E1671" s="2">
        <v>12</v>
      </c>
      <c r="F1671" s="2"/>
      <c r="G1671" s="2">
        <v>12</v>
      </c>
      <c r="H1671" s="2" t="s">
        <v>2046</v>
      </c>
      <c r="I1671" s="2" t="s">
        <v>695</v>
      </c>
      <c r="J1671" s="2" t="s">
        <v>2537</v>
      </c>
      <c r="K1671" s="2" t="s">
        <v>1855</v>
      </c>
      <c r="L1671" s="2" t="s">
        <v>1188</v>
      </c>
      <c r="M1671" s="2" t="str">
        <f t="shared" si="29"/>
        <v>10</v>
      </c>
      <c r="N1671" s="2" t="s">
        <v>2090</v>
      </c>
      <c r="O1671" s="2" t="s">
        <v>4373</v>
      </c>
      <c r="P1671" s="2" t="s">
        <v>4379</v>
      </c>
    </row>
    <row r="1672" spans="1:16">
      <c r="A1672" s="4">
        <v>46248.582673611112</v>
      </c>
      <c r="B1672" s="2" t="s">
        <v>2633</v>
      </c>
      <c r="C1672" s="2" t="s">
        <v>3441</v>
      </c>
      <c r="D1672" s="2" t="s">
        <v>3513</v>
      </c>
      <c r="E1672" s="2">
        <v>12</v>
      </c>
      <c r="F1672" s="2"/>
      <c r="G1672" s="2">
        <v>12</v>
      </c>
      <c r="H1672" s="2" t="s">
        <v>2046</v>
      </c>
      <c r="I1672" s="2" t="s">
        <v>695</v>
      </c>
      <c r="J1672" s="2" t="s">
        <v>2537</v>
      </c>
      <c r="K1672" s="2" t="s">
        <v>1855</v>
      </c>
      <c r="L1672" s="2" t="s">
        <v>1188</v>
      </c>
      <c r="M1672" s="2" t="str">
        <f t="shared" si="29"/>
        <v>10</v>
      </c>
      <c r="N1672" s="2" t="s">
        <v>3823</v>
      </c>
      <c r="O1672" s="2" t="s">
        <v>4373</v>
      </c>
      <c r="P1672" s="2" t="s">
        <v>4379</v>
      </c>
    </row>
    <row r="1673" spans="1:16">
      <c r="A1673" s="4">
        <v>46248.582129629627</v>
      </c>
      <c r="B1673" s="2" t="s">
        <v>1838</v>
      </c>
      <c r="C1673" s="2" t="s">
        <v>3441</v>
      </c>
      <c r="D1673" s="2" t="s">
        <v>3513</v>
      </c>
      <c r="E1673" s="2">
        <v>12</v>
      </c>
      <c r="F1673" s="2"/>
      <c r="G1673" s="2">
        <v>12</v>
      </c>
      <c r="H1673" s="2" t="s">
        <v>2046</v>
      </c>
      <c r="I1673" s="2" t="s">
        <v>695</v>
      </c>
      <c r="J1673" s="2" t="s">
        <v>2537</v>
      </c>
      <c r="K1673" s="2" t="s">
        <v>1855</v>
      </c>
      <c r="L1673" s="2" t="s">
        <v>1188</v>
      </c>
      <c r="M1673" s="2" t="str">
        <f t="shared" si="29"/>
        <v>10</v>
      </c>
      <c r="N1673" s="2" t="s">
        <v>391</v>
      </c>
      <c r="O1673" s="2" t="s">
        <v>4373</v>
      </c>
      <c r="P1673" s="2" t="s">
        <v>4379</v>
      </c>
    </row>
    <row r="1674" spans="1:16">
      <c r="A1674" s="4">
        <v>46248.581446759257</v>
      </c>
      <c r="B1674" s="2" t="s">
        <v>2641</v>
      </c>
      <c r="C1674" s="2" t="s">
        <v>3441</v>
      </c>
      <c r="D1674" s="2" t="s">
        <v>3513</v>
      </c>
      <c r="E1674" s="2">
        <v>12</v>
      </c>
      <c r="F1674" s="2"/>
      <c r="G1674" s="2">
        <v>12</v>
      </c>
      <c r="H1674" s="2" t="s">
        <v>2046</v>
      </c>
      <c r="I1674" s="2" t="s">
        <v>695</v>
      </c>
      <c r="J1674" s="2" t="s">
        <v>2537</v>
      </c>
      <c r="K1674" s="2" t="s">
        <v>1855</v>
      </c>
      <c r="L1674" s="2" t="s">
        <v>1188</v>
      </c>
      <c r="M1674" s="2" t="str">
        <f t="shared" si="29"/>
        <v>10</v>
      </c>
      <c r="N1674" s="2" t="s">
        <v>270</v>
      </c>
      <c r="O1674" s="2" t="s">
        <v>4373</v>
      </c>
      <c r="P1674" s="2" t="s">
        <v>4379</v>
      </c>
    </row>
    <row r="1675" spans="1:16">
      <c r="A1675" s="4">
        <v>46248.580590277779</v>
      </c>
      <c r="B1675" s="2" t="s">
        <v>2436</v>
      </c>
      <c r="C1675" s="2" t="s">
        <v>3441</v>
      </c>
      <c r="D1675" s="2" t="s">
        <v>3513</v>
      </c>
      <c r="E1675" s="2">
        <v>12</v>
      </c>
      <c r="F1675" s="2"/>
      <c r="G1675" s="2">
        <v>12</v>
      </c>
      <c r="H1675" s="2" t="s">
        <v>2046</v>
      </c>
      <c r="I1675" s="2" t="s">
        <v>695</v>
      </c>
      <c r="J1675" s="2" t="s">
        <v>2537</v>
      </c>
      <c r="K1675" s="2" t="s">
        <v>1855</v>
      </c>
      <c r="L1675" s="2" t="s">
        <v>1188</v>
      </c>
      <c r="M1675" s="2" t="str">
        <f t="shared" si="29"/>
        <v>10</v>
      </c>
      <c r="N1675" s="2" t="s">
        <v>3114</v>
      </c>
      <c r="O1675" s="2" t="s">
        <v>4373</v>
      </c>
      <c r="P1675" s="2" t="s">
        <v>4379</v>
      </c>
    </row>
    <row r="1676" spans="1:16">
      <c r="A1676" s="4">
        <v>46248.580439814818</v>
      </c>
      <c r="B1676" s="2" t="s">
        <v>401</v>
      </c>
      <c r="C1676" s="2" t="s">
        <v>3441</v>
      </c>
      <c r="D1676" s="2" t="s">
        <v>3513</v>
      </c>
      <c r="E1676" s="2">
        <v>12</v>
      </c>
      <c r="F1676" s="2"/>
      <c r="G1676" s="2">
        <v>12</v>
      </c>
      <c r="H1676" s="2" t="s">
        <v>2046</v>
      </c>
      <c r="I1676" s="2" t="s">
        <v>695</v>
      </c>
      <c r="J1676" s="2" t="s">
        <v>2537</v>
      </c>
      <c r="K1676" s="2" t="s">
        <v>1855</v>
      </c>
      <c r="L1676" s="2" t="s">
        <v>1188</v>
      </c>
      <c r="M1676" s="2" t="str">
        <f t="shared" si="29"/>
        <v>10</v>
      </c>
      <c r="N1676" s="2" t="s">
        <v>183</v>
      </c>
      <c r="O1676" s="2" t="s">
        <v>4373</v>
      </c>
      <c r="P1676" s="2" t="s">
        <v>4379</v>
      </c>
    </row>
    <row r="1677" spans="1:16">
      <c r="A1677" s="4">
        <v>46248.580381944441</v>
      </c>
      <c r="B1677" s="2" t="s">
        <v>3930</v>
      </c>
      <c r="C1677" s="2" t="s">
        <v>3441</v>
      </c>
      <c r="D1677" s="2" t="s">
        <v>3513</v>
      </c>
      <c r="E1677" s="2">
        <v>12</v>
      </c>
      <c r="F1677" s="2"/>
      <c r="G1677" s="2">
        <v>12</v>
      </c>
      <c r="H1677" s="2" t="s">
        <v>2046</v>
      </c>
      <c r="I1677" s="2" t="s">
        <v>695</v>
      </c>
      <c r="J1677" s="2" t="s">
        <v>2537</v>
      </c>
      <c r="K1677" s="2" t="s">
        <v>1855</v>
      </c>
      <c r="L1677" s="2" t="s">
        <v>1188</v>
      </c>
      <c r="M1677" s="2" t="str">
        <f t="shared" si="29"/>
        <v>10</v>
      </c>
      <c r="N1677" s="2" t="s">
        <v>341</v>
      </c>
      <c r="O1677" s="2" t="s">
        <v>4373</v>
      </c>
      <c r="P1677" s="2" t="s">
        <v>4379</v>
      </c>
    </row>
    <row r="1678" spans="1:16">
      <c r="A1678" s="4">
        <v>46248.579479166663</v>
      </c>
      <c r="B1678" s="2" t="s">
        <v>233</v>
      </c>
      <c r="C1678" s="2" t="s">
        <v>3441</v>
      </c>
      <c r="D1678" s="2" t="s">
        <v>3513</v>
      </c>
      <c r="E1678" s="2">
        <v>12</v>
      </c>
      <c r="F1678" s="2"/>
      <c r="G1678" s="2">
        <v>12</v>
      </c>
      <c r="H1678" s="2" t="s">
        <v>2046</v>
      </c>
      <c r="I1678" s="2" t="s">
        <v>695</v>
      </c>
      <c r="J1678" s="2" t="s">
        <v>2537</v>
      </c>
      <c r="K1678" s="2" t="s">
        <v>1855</v>
      </c>
      <c r="L1678" s="2" t="s">
        <v>1188</v>
      </c>
      <c r="M1678" s="2" t="str">
        <f t="shared" si="29"/>
        <v>10</v>
      </c>
      <c r="N1678" s="2" t="s">
        <v>2332</v>
      </c>
      <c r="O1678" s="2" t="s">
        <v>4373</v>
      </c>
      <c r="P1678" s="2" t="s">
        <v>4379</v>
      </c>
    </row>
    <row r="1679" spans="1:16">
      <c r="A1679" s="4">
        <v>46248.579444444447</v>
      </c>
      <c r="B1679" s="2" t="s">
        <v>1874</v>
      </c>
      <c r="C1679" s="2" t="s">
        <v>3441</v>
      </c>
      <c r="D1679" s="2" t="s">
        <v>3513</v>
      </c>
      <c r="E1679" s="2">
        <v>12</v>
      </c>
      <c r="F1679" s="2"/>
      <c r="G1679" s="2">
        <v>12</v>
      </c>
      <c r="H1679" s="2" t="s">
        <v>2046</v>
      </c>
      <c r="I1679" s="2" t="s">
        <v>695</v>
      </c>
      <c r="J1679" s="2" t="s">
        <v>2537</v>
      </c>
      <c r="K1679" s="2" t="s">
        <v>1855</v>
      </c>
      <c r="L1679" s="2" t="s">
        <v>1188</v>
      </c>
      <c r="M1679" s="2" t="str">
        <f t="shared" si="29"/>
        <v>10</v>
      </c>
      <c r="N1679" s="2" t="s">
        <v>2158</v>
      </c>
      <c r="O1679" s="2" t="s">
        <v>4373</v>
      </c>
      <c r="P1679" s="2" t="s">
        <v>4379</v>
      </c>
    </row>
    <row r="1680" spans="1:16">
      <c r="A1680" s="4">
        <v>46248.578726851854</v>
      </c>
      <c r="B1680" s="2" t="s">
        <v>663</v>
      </c>
      <c r="C1680" s="2" t="s">
        <v>3441</v>
      </c>
      <c r="D1680" s="2" t="s">
        <v>3513</v>
      </c>
      <c r="E1680" s="2">
        <v>12</v>
      </c>
      <c r="F1680" s="2"/>
      <c r="G1680" s="2">
        <v>12</v>
      </c>
      <c r="H1680" s="2" t="s">
        <v>2046</v>
      </c>
      <c r="I1680" s="2" t="s">
        <v>695</v>
      </c>
      <c r="J1680" s="2" t="s">
        <v>2537</v>
      </c>
      <c r="K1680" s="2" t="s">
        <v>1855</v>
      </c>
      <c r="L1680" s="2" t="s">
        <v>1188</v>
      </c>
      <c r="M1680" s="2" t="str">
        <f t="shared" si="29"/>
        <v>10</v>
      </c>
      <c r="N1680" s="2" t="s">
        <v>132</v>
      </c>
      <c r="O1680" s="2" t="s">
        <v>4373</v>
      </c>
      <c r="P1680" s="2" t="s">
        <v>4379</v>
      </c>
    </row>
    <row r="1681" spans="1:16">
      <c r="A1681" s="4">
        <v>46247.734594907408</v>
      </c>
      <c r="B1681" s="2" t="s">
        <v>2147</v>
      </c>
      <c r="C1681" s="2" t="s">
        <v>3441</v>
      </c>
      <c r="D1681" s="2" t="s">
        <v>3513</v>
      </c>
      <c r="E1681" s="2">
        <v>12</v>
      </c>
      <c r="F1681" s="2"/>
      <c r="G1681" s="2">
        <v>12</v>
      </c>
      <c r="H1681" s="2" t="s">
        <v>2046</v>
      </c>
      <c r="I1681" s="2" t="s">
        <v>695</v>
      </c>
      <c r="J1681" s="2" t="s">
        <v>2537</v>
      </c>
      <c r="K1681" s="2" t="s">
        <v>1855</v>
      </c>
      <c r="L1681" s="2" t="s">
        <v>3493</v>
      </c>
      <c r="M1681" s="2" t="str">
        <f t="shared" si="29"/>
        <v>03</v>
      </c>
      <c r="N1681" s="2" t="s">
        <v>3742</v>
      </c>
      <c r="O1681" s="2" t="s">
        <v>4373</v>
      </c>
      <c r="P1681" s="2" t="s">
        <v>4380</v>
      </c>
    </row>
    <row r="1682" spans="1:16">
      <c r="A1682" s="4">
        <v>46247.734513888892</v>
      </c>
      <c r="B1682" s="2" t="s">
        <v>1535</v>
      </c>
      <c r="C1682" s="2" t="s">
        <v>3441</v>
      </c>
      <c r="D1682" s="2" t="s">
        <v>3513</v>
      </c>
      <c r="E1682" s="2">
        <v>12</v>
      </c>
      <c r="F1682" s="2"/>
      <c r="G1682" s="2">
        <v>12</v>
      </c>
      <c r="H1682" s="2" t="s">
        <v>2046</v>
      </c>
      <c r="I1682" s="2" t="s">
        <v>695</v>
      </c>
      <c r="J1682" s="2" t="s">
        <v>2537</v>
      </c>
      <c r="K1682" s="2" t="s">
        <v>1855</v>
      </c>
      <c r="L1682" s="2" t="s">
        <v>3493</v>
      </c>
      <c r="M1682" s="2" t="str">
        <f t="shared" si="29"/>
        <v>03</v>
      </c>
      <c r="N1682" s="2" t="s">
        <v>1237</v>
      </c>
      <c r="O1682" s="2" t="s">
        <v>4373</v>
      </c>
      <c r="P1682" s="2" t="s">
        <v>4380</v>
      </c>
    </row>
    <row r="1683" spans="1:16">
      <c r="A1683" s="4">
        <v>46247.733356481483</v>
      </c>
      <c r="B1683" s="2" t="s">
        <v>393</v>
      </c>
      <c r="C1683" s="2" t="s">
        <v>3441</v>
      </c>
      <c r="D1683" s="2" t="s">
        <v>3513</v>
      </c>
      <c r="E1683" s="2">
        <v>12</v>
      </c>
      <c r="F1683" s="2"/>
      <c r="G1683" s="2">
        <v>12</v>
      </c>
      <c r="H1683" s="2" t="s">
        <v>2046</v>
      </c>
      <c r="I1683" s="2" t="s">
        <v>695</v>
      </c>
      <c r="J1683" s="2" t="s">
        <v>2537</v>
      </c>
      <c r="K1683" s="2" t="s">
        <v>1855</v>
      </c>
      <c r="L1683" s="2" t="s">
        <v>3493</v>
      </c>
      <c r="M1683" s="2" t="str">
        <f t="shared" si="29"/>
        <v>03</v>
      </c>
      <c r="N1683" s="2" t="s">
        <v>751</v>
      </c>
      <c r="O1683" s="2" t="s">
        <v>4373</v>
      </c>
      <c r="P1683" s="2" t="s">
        <v>4380</v>
      </c>
    </row>
    <row r="1684" spans="1:16">
      <c r="A1684" s="4">
        <v>46247.733310185184</v>
      </c>
      <c r="B1684" s="2" t="s">
        <v>1562</v>
      </c>
      <c r="C1684" s="2" t="s">
        <v>3441</v>
      </c>
      <c r="D1684" s="2" t="s">
        <v>3513</v>
      </c>
      <c r="E1684" s="2">
        <v>12</v>
      </c>
      <c r="F1684" s="2"/>
      <c r="G1684" s="2">
        <v>12</v>
      </c>
      <c r="H1684" s="2" t="s">
        <v>2046</v>
      </c>
      <c r="I1684" s="2" t="s">
        <v>695</v>
      </c>
      <c r="J1684" s="2" t="s">
        <v>2537</v>
      </c>
      <c r="K1684" s="2" t="s">
        <v>1855</v>
      </c>
      <c r="L1684" s="2" t="s">
        <v>3493</v>
      </c>
      <c r="M1684" s="2" t="str">
        <f t="shared" si="29"/>
        <v>03</v>
      </c>
      <c r="N1684" s="2" t="s">
        <v>1996</v>
      </c>
      <c r="O1684" s="2" t="s">
        <v>4373</v>
      </c>
      <c r="P1684" s="2" t="s">
        <v>4380</v>
      </c>
    </row>
    <row r="1685" spans="1:16">
      <c r="A1685" s="4">
        <v>46247.732349537036</v>
      </c>
      <c r="B1685" s="2" t="s">
        <v>2338</v>
      </c>
      <c r="C1685" s="2" t="s">
        <v>3441</v>
      </c>
      <c r="D1685" s="2" t="s">
        <v>3513</v>
      </c>
      <c r="E1685" s="2">
        <v>12</v>
      </c>
      <c r="F1685" s="2"/>
      <c r="G1685" s="2">
        <v>12</v>
      </c>
      <c r="H1685" s="2" t="s">
        <v>2046</v>
      </c>
      <c r="I1685" s="2" t="s">
        <v>695</v>
      </c>
      <c r="J1685" s="2" t="s">
        <v>2537</v>
      </c>
      <c r="K1685" s="2" t="s">
        <v>1855</v>
      </c>
      <c r="L1685" s="2" t="s">
        <v>3493</v>
      </c>
      <c r="M1685" s="2" t="str">
        <f t="shared" si="29"/>
        <v>03</v>
      </c>
      <c r="N1685" s="2" t="s">
        <v>4143</v>
      </c>
      <c r="O1685" s="2" t="s">
        <v>4373</v>
      </c>
      <c r="P1685" s="2" t="s">
        <v>4380</v>
      </c>
    </row>
    <row r="1686" spans="1:16">
      <c r="A1686" s="4">
        <v>46247.73201388889</v>
      </c>
      <c r="B1686" s="2" t="s">
        <v>1693</v>
      </c>
      <c r="C1686" s="2" t="s">
        <v>3441</v>
      </c>
      <c r="D1686" s="2" t="s">
        <v>3513</v>
      </c>
      <c r="E1686" s="2">
        <v>12</v>
      </c>
      <c r="F1686" s="2"/>
      <c r="G1686" s="2">
        <v>12</v>
      </c>
      <c r="H1686" s="2" t="s">
        <v>2046</v>
      </c>
      <c r="I1686" s="2" t="s">
        <v>695</v>
      </c>
      <c r="J1686" s="2" t="s">
        <v>2537</v>
      </c>
      <c r="K1686" s="2" t="s">
        <v>1855</v>
      </c>
      <c r="L1686" s="2" t="s">
        <v>3493</v>
      </c>
      <c r="M1686" s="2" t="str">
        <f t="shared" si="29"/>
        <v>03</v>
      </c>
      <c r="N1686" s="2" t="s">
        <v>644</v>
      </c>
      <c r="O1686" s="2" t="s">
        <v>4373</v>
      </c>
      <c r="P1686" s="2" t="s">
        <v>4380</v>
      </c>
    </row>
    <row r="1687" spans="1:16">
      <c r="A1687" s="4">
        <v>46247.731342592589</v>
      </c>
      <c r="B1687" s="2" t="s">
        <v>1257</v>
      </c>
      <c r="C1687" s="2" t="s">
        <v>3441</v>
      </c>
      <c r="D1687" s="2" t="s">
        <v>3513</v>
      </c>
      <c r="E1687" s="2">
        <v>12</v>
      </c>
      <c r="F1687" s="2"/>
      <c r="G1687" s="2">
        <v>12</v>
      </c>
      <c r="H1687" s="2" t="s">
        <v>2046</v>
      </c>
      <c r="I1687" s="2" t="s">
        <v>695</v>
      </c>
      <c r="J1687" s="2" t="s">
        <v>2537</v>
      </c>
      <c r="K1687" s="2" t="s">
        <v>1855</v>
      </c>
      <c r="L1687" s="2" t="s">
        <v>3493</v>
      </c>
      <c r="M1687" s="2" t="str">
        <f t="shared" si="29"/>
        <v>03</v>
      </c>
      <c r="N1687" s="2" t="s">
        <v>3616</v>
      </c>
      <c r="O1687" s="2" t="s">
        <v>4373</v>
      </c>
      <c r="P1687" s="2" t="s">
        <v>4380</v>
      </c>
    </row>
    <row r="1688" spans="1:16">
      <c r="A1688" s="4">
        <v>46247.73097222222</v>
      </c>
      <c r="B1688" s="2" t="s">
        <v>2512</v>
      </c>
      <c r="C1688" s="2" t="s">
        <v>3441</v>
      </c>
      <c r="D1688" s="2" t="s">
        <v>3513</v>
      </c>
      <c r="E1688" s="2">
        <v>12</v>
      </c>
      <c r="F1688" s="2"/>
      <c r="G1688" s="2">
        <v>12</v>
      </c>
      <c r="H1688" s="2" t="s">
        <v>2046</v>
      </c>
      <c r="I1688" s="2" t="s">
        <v>695</v>
      </c>
      <c r="J1688" s="2" t="s">
        <v>2537</v>
      </c>
      <c r="K1688" s="2" t="s">
        <v>1855</v>
      </c>
      <c r="L1688" s="2" t="s">
        <v>3493</v>
      </c>
      <c r="M1688" s="2" t="str">
        <f t="shared" si="29"/>
        <v>03</v>
      </c>
      <c r="N1688" s="2" t="s">
        <v>2833</v>
      </c>
      <c r="O1688" s="2" t="s">
        <v>4373</v>
      </c>
      <c r="P1688" s="2" t="s">
        <v>4380</v>
      </c>
    </row>
    <row r="1689" spans="1:16">
      <c r="A1689" s="4">
        <v>46247.729884259257</v>
      </c>
      <c r="B1689" s="2" t="s">
        <v>1483</v>
      </c>
      <c r="C1689" s="2" t="s">
        <v>3441</v>
      </c>
      <c r="D1689" s="2" t="s">
        <v>3513</v>
      </c>
      <c r="E1689" s="2">
        <v>12</v>
      </c>
      <c r="F1689" s="2"/>
      <c r="G1689" s="2">
        <v>12</v>
      </c>
      <c r="H1689" s="2" t="s">
        <v>2046</v>
      </c>
      <c r="I1689" s="2" t="s">
        <v>695</v>
      </c>
      <c r="J1689" s="2" t="s">
        <v>2537</v>
      </c>
      <c r="K1689" s="2" t="s">
        <v>1855</v>
      </c>
      <c r="L1689" s="2" t="s">
        <v>3493</v>
      </c>
      <c r="M1689" s="2" t="str">
        <f t="shared" si="29"/>
        <v>03</v>
      </c>
      <c r="N1689" s="2" t="s">
        <v>3789</v>
      </c>
      <c r="O1689" s="2" t="s">
        <v>4373</v>
      </c>
      <c r="P1689" s="2" t="s">
        <v>4380</v>
      </c>
    </row>
    <row r="1690" spans="1:16">
      <c r="A1690" s="4">
        <v>46247.729791666665</v>
      </c>
      <c r="B1690" s="2" t="s">
        <v>778</v>
      </c>
      <c r="C1690" s="2" t="s">
        <v>3441</v>
      </c>
      <c r="D1690" s="2" t="s">
        <v>3513</v>
      </c>
      <c r="E1690" s="2">
        <v>12</v>
      </c>
      <c r="F1690" s="2"/>
      <c r="G1690" s="2">
        <v>12</v>
      </c>
      <c r="H1690" s="2" t="s">
        <v>2046</v>
      </c>
      <c r="I1690" s="2" t="s">
        <v>695</v>
      </c>
      <c r="J1690" s="2" t="s">
        <v>2537</v>
      </c>
      <c r="K1690" s="2" t="s">
        <v>1855</v>
      </c>
      <c r="L1690" s="2" t="s">
        <v>3493</v>
      </c>
      <c r="M1690" s="2" t="str">
        <f t="shared" si="29"/>
        <v>03</v>
      </c>
      <c r="N1690" s="2" t="s">
        <v>738</v>
      </c>
      <c r="O1690" s="2" t="s">
        <v>4373</v>
      </c>
      <c r="P1690" s="2" t="s">
        <v>4380</v>
      </c>
    </row>
    <row r="1691" spans="1:16">
      <c r="A1691" s="4">
        <v>46247.728692129633</v>
      </c>
      <c r="B1691" s="2" t="s">
        <v>756</v>
      </c>
      <c r="C1691" s="2" t="s">
        <v>3441</v>
      </c>
      <c r="D1691" s="2" t="s">
        <v>3513</v>
      </c>
      <c r="E1691" s="2">
        <v>12</v>
      </c>
      <c r="F1691" s="2"/>
      <c r="G1691" s="2">
        <v>12</v>
      </c>
      <c r="H1691" s="2" t="s">
        <v>2046</v>
      </c>
      <c r="I1691" s="2" t="s">
        <v>695</v>
      </c>
      <c r="J1691" s="2" t="s">
        <v>2537</v>
      </c>
      <c r="K1691" s="2" t="s">
        <v>1855</v>
      </c>
      <c r="L1691" s="2" t="s">
        <v>3493</v>
      </c>
      <c r="M1691" s="2" t="str">
        <f t="shared" si="29"/>
        <v>03</v>
      </c>
      <c r="N1691" s="2" t="s">
        <v>1892</v>
      </c>
      <c r="O1691" s="2" t="s">
        <v>4373</v>
      </c>
      <c r="P1691" s="2" t="s">
        <v>4380</v>
      </c>
    </row>
    <row r="1692" spans="1:16">
      <c r="A1692" s="4">
        <v>46247.728576388887</v>
      </c>
      <c r="B1692" s="2" t="s">
        <v>1968</v>
      </c>
      <c r="C1692" s="2" t="s">
        <v>3441</v>
      </c>
      <c r="D1692" s="2" t="s">
        <v>3513</v>
      </c>
      <c r="E1692" s="2">
        <v>12</v>
      </c>
      <c r="F1692" s="2"/>
      <c r="G1692" s="2">
        <v>12</v>
      </c>
      <c r="H1692" s="2" t="s">
        <v>2046</v>
      </c>
      <c r="I1692" s="2" t="s">
        <v>695</v>
      </c>
      <c r="J1692" s="2" t="s">
        <v>2537</v>
      </c>
      <c r="K1692" s="2" t="s">
        <v>1855</v>
      </c>
      <c r="L1692" s="2" t="s">
        <v>3493</v>
      </c>
      <c r="M1692" s="2" t="str">
        <f t="shared" si="29"/>
        <v>03</v>
      </c>
      <c r="N1692" s="2" t="s">
        <v>3573</v>
      </c>
      <c r="O1692" s="2" t="s">
        <v>4373</v>
      </c>
      <c r="P1692" s="2" t="s">
        <v>4380</v>
      </c>
    </row>
    <row r="1693" spans="1:16">
      <c r="A1693" s="4">
        <v>46247.727754629632</v>
      </c>
      <c r="B1693" s="2" t="s">
        <v>2181</v>
      </c>
      <c r="C1693" s="2" t="s">
        <v>3441</v>
      </c>
      <c r="D1693" s="2" t="s">
        <v>3513</v>
      </c>
      <c r="E1693" s="2">
        <v>12</v>
      </c>
      <c r="F1693" s="2"/>
      <c r="G1693" s="2">
        <v>12</v>
      </c>
      <c r="H1693" s="2" t="s">
        <v>2046</v>
      </c>
      <c r="I1693" s="2" t="s">
        <v>695</v>
      </c>
      <c r="J1693" s="2" t="s">
        <v>2537</v>
      </c>
      <c r="K1693" s="2" t="s">
        <v>1855</v>
      </c>
      <c r="L1693" s="2" t="s">
        <v>3493</v>
      </c>
      <c r="M1693" s="2" t="str">
        <f t="shared" si="29"/>
        <v>03</v>
      </c>
      <c r="N1693" s="2" t="s">
        <v>1591</v>
      </c>
      <c r="O1693" s="2" t="s">
        <v>4373</v>
      </c>
      <c r="P1693" s="2" t="s">
        <v>4380</v>
      </c>
    </row>
    <row r="1694" spans="1:16">
      <c r="A1694" s="4">
        <v>46247.727395833332</v>
      </c>
      <c r="B1694" s="2" t="s">
        <v>4115</v>
      </c>
      <c r="C1694" s="2" t="s">
        <v>3441</v>
      </c>
      <c r="D1694" s="2" t="s">
        <v>3513</v>
      </c>
      <c r="E1694" s="2">
        <v>12</v>
      </c>
      <c r="F1694" s="2"/>
      <c r="G1694" s="2">
        <v>12</v>
      </c>
      <c r="H1694" s="2" t="s">
        <v>2046</v>
      </c>
      <c r="I1694" s="2" t="s">
        <v>695</v>
      </c>
      <c r="J1694" s="2" t="s">
        <v>2537</v>
      </c>
      <c r="K1694" s="2" t="s">
        <v>1855</v>
      </c>
      <c r="L1694" s="2" t="s">
        <v>3493</v>
      </c>
      <c r="M1694" s="2" t="str">
        <f t="shared" si="29"/>
        <v>03</v>
      </c>
      <c r="N1694" s="2" t="s">
        <v>2120</v>
      </c>
      <c r="O1694" s="2" t="s">
        <v>4373</v>
      </c>
      <c r="P1694" s="2" t="s">
        <v>4380</v>
      </c>
    </row>
    <row r="1695" spans="1:16">
      <c r="A1695" s="4">
        <v>46247.726331018515</v>
      </c>
      <c r="B1695" s="2" t="s">
        <v>447</v>
      </c>
      <c r="C1695" s="2" t="s">
        <v>3441</v>
      </c>
      <c r="D1695" s="2" t="s">
        <v>3513</v>
      </c>
      <c r="E1695" s="2">
        <v>12</v>
      </c>
      <c r="F1695" s="2"/>
      <c r="G1695" s="2">
        <v>12</v>
      </c>
      <c r="H1695" s="2" t="s">
        <v>2046</v>
      </c>
      <c r="I1695" s="2" t="s">
        <v>695</v>
      </c>
      <c r="J1695" s="2" t="s">
        <v>2537</v>
      </c>
      <c r="K1695" s="2" t="s">
        <v>1855</v>
      </c>
      <c r="L1695" s="2" t="s">
        <v>3493</v>
      </c>
      <c r="M1695" s="2" t="str">
        <f t="shared" si="29"/>
        <v>03</v>
      </c>
      <c r="N1695" s="2" t="s">
        <v>1745</v>
      </c>
      <c r="O1695" s="2" t="s">
        <v>4373</v>
      </c>
      <c r="P1695" s="2" t="s">
        <v>4380</v>
      </c>
    </row>
    <row r="1696" spans="1:16">
      <c r="A1696" s="4">
        <v>46247.726284722223</v>
      </c>
      <c r="B1696" s="2" t="s">
        <v>424</v>
      </c>
      <c r="C1696" s="2" t="s">
        <v>3441</v>
      </c>
      <c r="D1696" s="2" t="s">
        <v>3513</v>
      </c>
      <c r="E1696" s="2">
        <v>12</v>
      </c>
      <c r="F1696" s="2"/>
      <c r="G1696" s="2">
        <v>12</v>
      </c>
      <c r="H1696" s="2" t="s">
        <v>2046</v>
      </c>
      <c r="I1696" s="2" t="s">
        <v>695</v>
      </c>
      <c r="J1696" s="2" t="s">
        <v>2537</v>
      </c>
      <c r="K1696" s="2" t="s">
        <v>1855</v>
      </c>
      <c r="L1696" s="2" t="s">
        <v>3493</v>
      </c>
      <c r="M1696" s="2" t="str">
        <f t="shared" si="29"/>
        <v>03</v>
      </c>
      <c r="N1696" s="2" t="s">
        <v>3906</v>
      </c>
      <c r="O1696" s="2" t="s">
        <v>4373</v>
      </c>
      <c r="P1696" s="2" t="s">
        <v>4380</v>
      </c>
    </row>
    <row r="1697" spans="1:16">
      <c r="A1697" s="4">
        <v>46247.725474537037</v>
      </c>
      <c r="B1697" s="2" t="s">
        <v>826</v>
      </c>
      <c r="C1697" s="2" t="s">
        <v>3441</v>
      </c>
      <c r="D1697" s="2" t="s">
        <v>3513</v>
      </c>
      <c r="E1697" s="2">
        <v>12</v>
      </c>
      <c r="F1697" s="2"/>
      <c r="G1697" s="2">
        <v>12</v>
      </c>
      <c r="H1697" s="2" t="s">
        <v>2046</v>
      </c>
      <c r="I1697" s="2" t="s">
        <v>695</v>
      </c>
      <c r="J1697" s="2" t="s">
        <v>2537</v>
      </c>
      <c r="K1697" s="2" t="s">
        <v>1855</v>
      </c>
      <c r="L1697" s="2" t="s">
        <v>3493</v>
      </c>
      <c r="M1697" s="2" t="str">
        <f t="shared" si="29"/>
        <v>03</v>
      </c>
      <c r="N1697" s="2" t="s">
        <v>3154</v>
      </c>
      <c r="O1697" s="2" t="s">
        <v>4373</v>
      </c>
      <c r="P1697" s="2" t="s">
        <v>4380</v>
      </c>
    </row>
    <row r="1698" spans="1:16">
      <c r="A1698" s="4">
        <v>46247.725451388891</v>
      </c>
      <c r="B1698" s="2" t="s">
        <v>1354</v>
      </c>
      <c r="C1698" s="2" t="s">
        <v>3441</v>
      </c>
      <c r="D1698" s="2" t="s">
        <v>3513</v>
      </c>
      <c r="E1698" s="2">
        <v>12</v>
      </c>
      <c r="F1698" s="2"/>
      <c r="G1698" s="2">
        <v>12</v>
      </c>
      <c r="H1698" s="2" t="s">
        <v>2046</v>
      </c>
      <c r="I1698" s="2" t="s">
        <v>695</v>
      </c>
      <c r="J1698" s="2" t="s">
        <v>2537</v>
      </c>
      <c r="K1698" s="2" t="s">
        <v>1855</v>
      </c>
      <c r="L1698" s="2" t="s">
        <v>3493</v>
      </c>
      <c r="M1698" s="2" t="str">
        <f t="shared" si="29"/>
        <v>03</v>
      </c>
      <c r="N1698" s="2" t="s">
        <v>1274</v>
      </c>
      <c r="O1698" s="2" t="s">
        <v>4373</v>
      </c>
      <c r="P1698" s="2" t="s">
        <v>4380</v>
      </c>
    </row>
    <row r="1699" spans="1:16">
      <c r="A1699" s="4">
        <v>46247.705439814818</v>
      </c>
      <c r="B1699" s="2" t="s">
        <v>1024</v>
      </c>
      <c r="C1699" s="2" t="s">
        <v>3441</v>
      </c>
      <c r="D1699" s="2" t="s">
        <v>3513</v>
      </c>
      <c r="E1699" s="2">
        <v>12</v>
      </c>
      <c r="F1699" s="2"/>
      <c r="G1699" s="2">
        <v>12</v>
      </c>
      <c r="H1699" s="2" t="s">
        <v>2046</v>
      </c>
      <c r="I1699" s="2" t="s">
        <v>695</v>
      </c>
      <c r="J1699" s="2" t="s">
        <v>2537</v>
      </c>
      <c r="K1699" s="2" t="s">
        <v>1855</v>
      </c>
      <c r="L1699" s="2" t="s">
        <v>3493</v>
      </c>
      <c r="M1699" s="2" t="str">
        <f t="shared" si="29"/>
        <v>03</v>
      </c>
      <c r="N1699" s="2" t="s">
        <v>2523</v>
      </c>
      <c r="O1699" s="2" t="s">
        <v>4373</v>
      </c>
      <c r="P1699" s="2" t="s">
        <v>4380</v>
      </c>
    </row>
    <row r="1700" spans="1:16">
      <c r="A1700" s="4">
        <v>46247.705324074072</v>
      </c>
      <c r="B1700" s="2" t="s">
        <v>1707</v>
      </c>
      <c r="C1700" s="2" t="s">
        <v>3441</v>
      </c>
      <c r="D1700" s="2" t="s">
        <v>3513</v>
      </c>
      <c r="E1700" s="2">
        <v>12</v>
      </c>
      <c r="F1700" s="2"/>
      <c r="G1700" s="2">
        <v>12</v>
      </c>
      <c r="H1700" s="2" t="s">
        <v>2046</v>
      </c>
      <c r="I1700" s="2" t="s">
        <v>695</v>
      </c>
      <c r="J1700" s="2" t="s">
        <v>2537</v>
      </c>
      <c r="K1700" s="2" t="s">
        <v>1855</v>
      </c>
      <c r="L1700" s="2" t="s">
        <v>3493</v>
      </c>
      <c r="M1700" s="2" t="str">
        <f t="shared" si="29"/>
        <v>03</v>
      </c>
      <c r="N1700" s="2" t="s">
        <v>378</v>
      </c>
      <c r="O1700" s="2" t="s">
        <v>4373</v>
      </c>
      <c r="P1700" s="2" t="s">
        <v>4380</v>
      </c>
    </row>
    <row r="1701" spans="1:16">
      <c r="A1701" s="4">
        <v>46247.704224537039</v>
      </c>
      <c r="B1701" s="2" t="s">
        <v>1689</v>
      </c>
      <c r="C1701" s="2" t="s">
        <v>3441</v>
      </c>
      <c r="D1701" s="2" t="s">
        <v>3513</v>
      </c>
      <c r="E1701" s="2">
        <v>12</v>
      </c>
      <c r="F1701" s="2"/>
      <c r="G1701" s="2">
        <v>12</v>
      </c>
      <c r="H1701" s="2" t="s">
        <v>2046</v>
      </c>
      <c r="I1701" s="2" t="s">
        <v>695</v>
      </c>
      <c r="J1701" s="2" t="s">
        <v>2537</v>
      </c>
      <c r="K1701" s="2" t="s">
        <v>1855</v>
      </c>
      <c r="L1701" s="2" t="s">
        <v>3493</v>
      </c>
      <c r="M1701" s="2" t="str">
        <f t="shared" si="29"/>
        <v>03</v>
      </c>
      <c r="N1701" s="2" t="s">
        <v>805</v>
      </c>
      <c r="O1701" s="2" t="s">
        <v>4373</v>
      </c>
      <c r="P1701" s="2" t="s">
        <v>4380</v>
      </c>
    </row>
    <row r="1702" spans="1:16">
      <c r="A1702" s="4">
        <v>46247.703750000001</v>
      </c>
      <c r="B1702" s="2" t="s">
        <v>464</v>
      </c>
      <c r="C1702" s="2" t="s">
        <v>3441</v>
      </c>
      <c r="D1702" s="2" t="s">
        <v>3513</v>
      </c>
      <c r="E1702" s="2">
        <v>12</v>
      </c>
      <c r="F1702" s="2"/>
      <c r="G1702" s="2">
        <v>12</v>
      </c>
      <c r="H1702" s="2" t="s">
        <v>2046</v>
      </c>
      <c r="I1702" s="2" t="s">
        <v>695</v>
      </c>
      <c r="J1702" s="2" t="s">
        <v>2537</v>
      </c>
      <c r="K1702" s="2" t="s">
        <v>1855</v>
      </c>
      <c r="L1702" s="2" t="s">
        <v>3493</v>
      </c>
      <c r="M1702" s="2" t="str">
        <f t="shared" si="29"/>
        <v>03</v>
      </c>
      <c r="N1702" s="2" t="s">
        <v>3902</v>
      </c>
      <c r="O1702" s="2" t="s">
        <v>4373</v>
      </c>
      <c r="P1702" s="2" t="s">
        <v>4380</v>
      </c>
    </row>
    <row r="1703" spans="1:16">
      <c r="A1703" s="4">
        <v>46247.702708333331</v>
      </c>
      <c r="B1703" s="2" t="s">
        <v>206</v>
      </c>
      <c r="C1703" s="2" t="s">
        <v>3441</v>
      </c>
      <c r="D1703" s="2" t="s">
        <v>3513</v>
      </c>
      <c r="E1703" s="2">
        <v>12</v>
      </c>
      <c r="F1703" s="2"/>
      <c r="G1703" s="2">
        <v>12</v>
      </c>
      <c r="H1703" s="2" t="s">
        <v>2046</v>
      </c>
      <c r="I1703" s="2" t="s">
        <v>695</v>
      </c>
      <c r="J1703" s="2" t="s">
        <v>2537</v>
      </c>
      <c r="K1703" s="2" t="s">
        <v>1855</v>
      </c>
      <c r="L1703" s="2" t="s">
        <v>3493</v>
      </c>
      <c r="M1703" s="2" t="str">
        <f t="shared" si="29"/>
        <v>03</v>
      </c>
      <c r="N1703" s="2" t="s">
        <v>2679</v>
      </c>
      <c r="O1703" s="2" t="s">
        <v>4373</v>
      </c>
      <c r="P1703" s="2" t="s">
        <v>4380</v>
      </c>
    </row>
    <row r="1704" spans="1:16">
      <c r="A1704" s="4">
        <v>46247.702581018515</v>
      </c>
      <c r="B1704" s="2" t="s">
        <v>1699</v>
      </c>
      <c r="C1704" s="2" t="s">
        <v>3441</v>
      </c>
      <c r="D1704" s="2" t="s">
        <v>3513</v>
      </c>
      <c r="E1704" s="2">
        <v>12</v>
      </c>
      <c r="F1704" s="2"/>
      <c r="G1704" s="2">
        <v>12</v>
      </c>
      <c r="H1704" s="2" t="s">
        <v>2046</v>
      </c>
      <c r="I1704" s="2" t="s">
        <v>695</v>
      </c>
      <c r="J1704" s="2" t="s">
        <v>2537</v>
      </c>
      <c r="K1704" s="2" t="s">
        <v>1855</v>
      </c>
      <c r="L1704" s="2" t="s">
        <v>3493</v>
      </c>
      <c r="M1704" s="2" t="str">
        <f t="shared" si="29"/>
        <v>03</v>
      </c>
      <c r="N1704" s="2" t="s">
        <v>1259</v>
      </c>
      <c r="O1704" s="2" t="s">
        <v>4373</v>
      </c>
      <c r="P1704" s="2" t="s">
        <v>4380</v>
      </c>
    </row>
    <row r="1705" spans="1:16">
      <c r="A1705" s="4">
        <v>46247.701319444444</v>
      </c>
      <c r="B1705" s="2" t="s">
        <v>2535</v>
      </c>
      <c r="C1705" s="2" t="s">
        <v>3441</v>
      </c>
      <c r="D1705" s="2" t="s">
        <v>3513</v>
      </c>
      <c r="E1705" s="2">
        <v>12</v>
      </c>
      <c r="F1705" s="2"/>
      <c r="G1705" s="2">
        <v>12</v>
      </c>
      <c r="H1705" s="2" t="s">
        <v>2046</v>
      </c>
      <c r="I1705" s="2" t="s">
        <v>695</v>
      </c>
      <c r="J1705" s="2" t="s">
        <v>2537</v>
      </c>
      <c r="K1705" s="2" t="s">
        <v>1855</v>
      </c>
      <c r="L1705" s="2" t="s">
        <v>3493</v>
      </c>
      <c r="M1705" s="2" t="str">
        <f t="shared" si="29"/>
        <v>03</v>
      </c>
      <c r="N1705" s="2" t="s">
        <v>4028</v>
      </c>
      <c r="O1705" s="2" t="s">
        <v>4373</v>
      </c>
      <c r="P1705" s="2" t="s">
        <v>4380</v>
      </c>
    </row>
    <row r="1706" spans="1:16">
      <c r="A1706" s="4">
        <v>46247.701238425929</v>
      </c>
      <c r="B1706" s="2" t="s">
        <v>2620</v>
      </c>
      <c r="C1706" s="2" t="s">
        <v>3441</v>
      </c>
      <c r="D1706" s="2" t="s">
        <v>3513</v>
      </c>
      <c r="E1706" s="2">
        <v>12</v>
      </c>
      <c r="F1706" s="2"/>
      <c r="G1706" s="2">
        <v>12</v>
      </c>
      <c r="H1706" s="2" t="s">
        <v>2046</v>
      </c>
      <c r="I1706" s="2" t="s">
        <v>695</v>
      </c>
      <c r="J1706" s="2" t="s">
        <v>2537</v>
      </c>
      <c r="K1706" s="2" t="s">
        <v>1855</v>
      </c>
      <c r="L1706" s="2" t="s">
        <v>3493</v>
      </c>
      <c r="M1706" s="2" t="str">
        <f t="shared" si="29"/>
        <v>03</v>
      </c>
      <c r="N1706" s="2" t="s">
        <v>1</v>
      </c>
      <c r="O1706" s="2" t="s">
        <v>4373</v>
      </c>
      <c r="P1706" s="2" t="s">
        <v>4380</v>
      </c>
    </row>
    <row r="1707" spans="1:16">
      <c r="A1707" s="4">
        <v>46247.700358796297</v>
      </c>
      <c r="B1707" s="2" t="s">
        <v>515</v>
      </c>
      <c r="C1707" s="2" t="s">
        <v>3441</v>
      </c>
      <c r="D1707" s="2" t="s">
        <v>3513</v>
      </c>
      <c r="E1707" s="2">
        <v>12</v>
      </c>
      <c r="F1707" s="2"/>
      <c r="G1707" s="2">
        <v>12</v>
      </c>
      <c r="H1707" s="2" t="s">
        <v>2046</v>
      </c>
      <c r="I1707" s="2" t="s">
        <v>695</v>
      </c>
      <c r="J1707" s="2" t="s">
        <v>2537</v>
      </c>
      <c r="K1707" s="2" t="s">
        <v>1855</v>
      </c>
      <c r="L1707" s="2" t="s">
        <v>3493</v>
      </c>
      <c r="M1707" s="2" t="str">
        <f t="shared" si="29"/>
        <v>03</v>
      </c>
      <c r="N1707" s="2" t="s">
        <v>335</v>
      </c>
      <c r="O1707" s="2" t="s">
        <v>4373</v>
      </c>
      <c r="P1707" s="2" t="s">
        <v>4380</v>
      </c>
    </row>
    <row r="1708" spans="1:16">
      <c r="A1708" s="4">
        <v>46247.700324074074</v>
      </c>
      <c r="B1708" s="2" t="s">
        <v>61</v>
      </c>
      <c r="C1708" s="2" t="s">
        <v>3441</v>
      </c>
      <c r="D1708" s="2" t="s">
        <v>3513</v>
      </c>
      <c r="E1708" s="2">
        <v>12</v>
      </c>
      <c r="F1708" s="2"/>
      <c r="G1708" s="2">
        <v>12</v>
      </c>
      <c r="H1708" s="2" t="s">
        <v>2046</v>
      </c>
      <c r="I1708" s="2" t="s">
        <v>695</v>
      </c>
      <c r="J1708" s="2" t="s">
        <v>2537</v>
      </c>
      <c r="K1708" s="2" t="s">
        <v>1855</v>
      </c>
      <c r="L1708" s="2" t="s">
        <v>3493</v>
      </c>
      <c r="M1708" s="2" t="str">
        <f t="shared" si="29"/>
        <v>03</v>
      </c>
      <c r="N1708" s="2" t="s">
        <v>2281</v>
      </c>
      <c r="O1708" s="2" t="s">
        <v>4373</v>
      </c>
      <c r="P1708" s="2" t="s">
        <v>4380</v>
      </c>
    </row>
    <row r="1709" spans="1:16">
      <c r="A1709" s="4">
        <v>46247.699733796297</v>
      </c>
      <c r="B1709" s="2" t="s">
        <v>2759</v>
      </c>
      <c r="C1709" s="2" t="s">
        <v>3441</v>
      </c>
      <c r="D1709" s="2" t="s">
        <v>3513</v>
      </c>
      <c r="E1709" s="2">
        <v>12</v>
      </c>
      <c r="F1709" s="2"/>
      <c r="G1709" s="2">
        <v>12</v>
      </c>
      <c r="H1709" s="2" t="s">
        <v>2046</v>
      </c>
      <c r="I1709" s="2" t="s">
        <v>695</v>
      </c>
      <c r="J1709" s="2" t="s">
        <v>2537</v>
      </c>
      <c r="K1709" s="2" t="s">
        <v>1855</v>
      </c>
      <c r="L1709" s="2" t="s">
        <v>3493</v>
      </c>
      <c r="M1709" s="2" t="str">
        <f t="shared" si="29"/>
        <v>03</v>
      </c>
      <c r="N1709" s="2" t="s">
        <v>1471</v>
      </c>
      <c r="O1709" s="2" t="s">
        <v>4373</v>
      </c>
      <c r="P1709" s="2" t="s">
        <v>4380</v>
      </c>
    </row>
    <row r="1710" spans="1:16">
      <c r="A1710" s="4">
        <v>46247.699560185189</v>
      </c>
      <c r="B1710" s="2" t="s">
        <v>1978</v>
      </c>
      <c r="C1710" s="2" t="s">
        <v>3441</v>
      </c>
      <c r="D1710" s="2" t="s">
        <v>3513</v>
      </c>
      <c r="E1710" s="2">
        <v>12</v>
      </c>
      <c r="F1710" s="2"/>
      <c r="G1710" s="2">
        <v>12</v>
      </c>
      <c r="H1710" s="2" t="s">
        <v>2046</v>
      </c>
      <c r="I1710" s="2" t="s">
        <v>695</v>
      </c>
      <c r="J1710" s="2" t="s">
        <v>2537</v>
      </c>
      <c r="K1710" s="2" t="s">
        <v>1855</v>
      </c>
      <c r="L1710" s="2" t="s">
        <v>3493</v>
      </c>
      <c r="M1710" s="2" t="str">
        <f t="shared" si="29"/>
        <v>03</v>
      </c>
      <c r="N1710" s="2" t="s">
        <v>449</v>
      </c>
      <c r="O1710" s="2" t="s">
        <v>4373</v>
      </c>
      <c r="P1710" s="2" t="s">
        <v>4380</v>
      </c>
    </row>
    <row r="1711" spans="1:16">
      <c r="A1711" s="4">
        <v>46247.69809027778</v>
      </c>
      <c r="B1711" s="2" t="s">
        <v>137</v>
      </c>
      <c r="C1711" s="2" t="s">
        <v>3441</v>
      </c>
      <c r="D1711" s="2" t="s">
        <v>3513</v>
      </c>
      <c r="E1711" s="2">
        <v>12</v>
      </c>
      <c r="F1711" s="2"/>
      <c r="G1711" s="2">
        <v>12</v>
      </c>
      <c r="H1711" s="2" t="s">
        <v>2046</v>
      </c>
      <c r="I1711" s="2" t="s">
        <v>695</v>
      </c>
      <c r="J1711" s="2" t="s">
        <v>2537</v>
      </c>
      <c r="K1711" s="2" t="s">
        <v>1855</v>
      </c>
      <c r="L1711" s="2" t="s">
        <v>3493</v>
      </c>
      <c r="M1711" s="2" t="str">
        <f t="shared" si="29"/>
        <v>03</v>
      </c>
      <c r="N1711" s="2" t="s">
        <v>3506</v>
      </c>
      <c r="O1711" s="2" t="s">
        <v>4373</v>
      </c>
      <c r="P1711" s="2" t="s">
        <v>4380</v>
      </c>
    </row>
    <row r="1712" spans="1:16">
      <c r="A1712" s="4">
        <v>46247.697974537034</v>
      </c>
      <c r="B1712" s="2" t="s">
        <v>332</v>
      </c>
      <c r="C1712" s="2" t="s">
        <v>3441</v>
      </c>
      <c r="D1712" s="2" t="s">
        <v>3513</v>
      </c>
      <c r="E1712" s="2">
        <v>12</v>
      </c>
      <c r="F1712" s="2"/>
      <c r="G1712" s="2">
        <v>12</v>
      </c>
      <c r="H1712" s="2" t="s">
        <v>2046</v>
      </c>
      <c r="I1712" s="2" t="s">
        <v>695</v>
      </c>
      <c r="J1712" s="2" t="s">
        <v>2537</v>
      </c>
      <c r="K1712" s="2" t="s">
        <v>1855</v>
      </c>
      <c r="L1712" s="2" t="s">
        <v>3493</v>
      </c>
      <c r="M1712" s="2" t="str">
        <f t="shared" si="29"/>
        <v>03</v>
      </c>
      <c r="N1712" s="2" t="s">
        <v>566</v>
      </c>
      <c r="O1712" s="2" t="s">
        <v>4373</v>
      </c>
      <c r="P1712" s="2" t="s">
        <v>4380</v>
      </c>
    </row>
    <row r="1713" spans="1:16">
      <c r="A1713" s="4">
        <v>46247.696701388886</v>
      </c>
      <c r="B1713" s="2" t="s">
        <v>646</v>
      </c>
      <c r="C1713" s="2" t="s">
        <v>3441</v>
      </c>
      <c r="D1713" s="2" t="s">
        <v>3513</v>
      </c>
      <c r="E1713" s="2">
        <v>12</v>
      </c>
      <c r="F1713" s="2"/>
      <c r="G1713" s="2">
        <v>12</v>
      </c>
      <c r="H1713" s="2" t="s">
        <v>2046</v>
      </c>
      <c r="I1713" s="2" t="s">
        <v>695</v>
      </c>
      <c r="J1713" s="2" t="s">
        <v>2537</v>
      </c>
      <c r="K1713" s="2" t="s">
        <v>1855</v>
      </c>
      <c r="L1713" s="2" t="s">
        <v>3493</v>
      </c>
      <c r="M1713" s="2" t="str">
        <f t="shared" si="29"/>
        <v>03</v>
      </c>
      <c r="N1713" s="2" t="s">
        <v>1503</v>
      </c>
      <c r="O1713" s="2" t="s">
        <v>4373</v>
      </c>
      <c r="P1713" s="2" t="s">
        <v>4380</v>
      </c>
    </row>
    <row r="1714" spans="1:16">
      <c r="A1714" s="4">
        <v>46247.696261574078</v>
      </c>
      <c r="B1714" s="2" t="s">
        <v>2372</v>
      </c>
      <c r="C1714" s="2" t="s">
        <v>3441</v>
      </c>
      <c r="D1714" s="2" t="s">
        <v>3513</v>
      </c>
      <c r="E1714" s="2">
        <v>12</v>
      </c>
      <c r="F1714" s="2"/>
      <c r="G1714" s="2">
        <v>12</v>
      </c>
      <c r="H1714" s="2" t="s">
        <v>2046</v>
      </c>
      <c r="I1714" s="2" t="s">
        <v>695</v>
      </c>
      <c r="J1714" s="2" t="s">
        <v>2537</v>
      </c>
      <c r="K1714" s="2" t="s">
        <v>1855</v>
      </c>
      <c r="L1714" s="2" t="s">
        <v>3493</v>
      </c>
      <c r="M1714" s="2" t="str">
        <f t="shared" si="29"/>
        <v>03</v>
      </c>
      <c r="N1714" s="2" t="s">
        <v>2912</v>
      </c>
      <c r="O1714" s="2" t="s">
        <v>4373</v>
      </c>
      <c r="P1714" s="2" t="s">
        <v>4380</v>
      </c>
    </row>
    <row r="1715" spans="1:16">
      <c r="A1715" s="4">
        <v>46247.695011574076</v>
      </c>
      <c r="B1715" s="2" t="s">
        <v>396</v>
      </c>
      <c r="C1715" s="2" t="s">
        <v>3441</v>
      </c>
      <c r="D1715" s="2" t="s">
        <v>3513</v>
      </c>
      <c r="E1715" s="2">
        <v>12</v>
      </c>
      <c r="F1715" s="2"/>
      <c r="G1715" s="2">
        <v>12</v>
      </c>
      <c r="H1715" s="2" t="s">
        <v>2046</v>
      </c>
      <c r="I1715" s="2" t="s">
        <v>695</v>
      </c>
      <c r="J1715" s="2" t="s">
        <v>2537</v>
      </c>
      <c r="K1715" s="2" t="s">
        <v>1855</v>
      </c>
      <c r="L1715" s="2" t="s">
        <v>3493</v>
      </c>
      <c r="M1715" s="2" t="str">
        <f t="shared" si="29"/>
        <v>03</v>
      </c>
      <c r="N1715" s="2" t="s">
        <v>1887</v>
      </c>
      <c r="O1715" s="2" t="s">
        <v>4373</v>
      </c>
      <c r="P1715" s="2" t="s">
        <v>4380</v>
      </c>
    </row>
    <row r="1716" spans="1:16">
      <c r="A1716" s="4">
        <v>46247.694814814815</v>
      </c>
      <c r="B1716" s="2" t="s">
        <v>4354</v>
      </c>
      <c r="C1716" s="2" t="s">
        <v>3441</v>
      </c>
      <c r="D1716" s="2" t="s">
        <v>3513</v>
      </c>
      <c r="E1716" s="2">
        <v>12</v>
      </c>
      <c r="F1716" s="2"/>
      <c r="G1716" s="2">
        <v>12</v>
      </c>
      <c r="H1716" s="2" t="s">
        <v>2046</v>
      </c>
      <c r="I1716" s="2" t="s">
        <v>695</v>
      </c>
      <c r="J1716" s="2" t="s">
        <v>2537</v>
      </c>
      <c r="K1716" s="2" t="s">
        <v>1855</v>
      </c>
      <c r="L1716" s="2" t="s">
        <v>3493</v>
      </c>
      <c r="M1716" s="2" t="str">
        <f t="shared" si="29"/>
        <v>03</v>
      </c>
      <c r="N1716" s="2" t="s">
        <v>806</v>
      </c>
      <c r="O1716" s="2" t="s">
        <v>4373</v>
      </c>
      <c r="P1716" s="2" t="s">
        <v>4380</v>
      </c>
    </row>
    <row r="1717" spans="1:16">
      <c r="A1717" s="4">
        <v>46247.693888888891</v>
      </c>
      <c r="B1717" s="2" t="s">
        <v>3328</v>
      </c>
      <c r="C1717" s="2" t="s">
        <v>3441</v>
      </c>
      <c r="D1717" s="2" t="s">
        <v>3513</v>
      </c>
      <c r="E1717" s="2">
        <v>12</v>
      </c>
      <c r="F1717" s="2"/>
      <c r="G1717" s="2">
        <v>12</v>
      </c>
      <c r="H1717" s="2" t="s">
        <v>2046</v>
      </c>
      <c r="I1717" s="2" t="s">
        <v>695</v>
      </c>
      <c r="J1717" s="2" t="s">
        <v>2537</v>
      </c>
      <c r="K1717" s="2" t="s">
        <v>1855</v>
      </c>
      <c r="L1717" s="2" t="s">
        <v>3493</v>
      </c>
      <c r="M1717" s="2" t="str">
        <f t="shared" si="29"/>
        <v>03</v>
      </c>
      <c r="N1717" s="2" t="s">
        <v>2419</v>
      </c>
      <c r="O1717" s="2" t="s">
        <v>4373</v>
      </c>
      <c r="P1717" s="2" t="s">
        <v>4380</v>
      </c>
    </row>
    <row r="1718" spans="1:16">
      <c r="A1718" s="4">
        <v>46247.693842592591</v>
      </c>
      <c r="B1718" s="2" t="s">
        <v>3193</v>
      </c>
      <c r="C1718" s="2" t="s">
        <v>3441</v>
      </c>
      <c r="D1718" s="2" t="s">
        <v>3513</v>
      </c>
      <c r="E1718" s="2">
        <v>12</v>
      </c>
      <c r="F1718" s="2"/>
      <c r="G1718" s="2">
        <v>12</v>
      </c>
      <c r="H1718" s="2" t="s">
        <v>2046</v>
      </c>
      <c r="I1718" s="2" t="s">
        <v>695</v>
      </c>
      <c r="J1718" s="2" t="s">
        <v>2537</v>
      </c>
      <c r="K1718" s="2" t="s">
        <v>1855</v>
      </c>
      <c r="L1718" s="2" t="s">
        <v>3493</v>
      </c>
      <c r="M1718" s="2" t="str">
        <f t="shared" si="29"/>
        <v>03</v>
      </c>
      <c r="N1718" s="2" t="s">
        <v>1170</v>
      </c>
      <c r="O1718" s="2" t="s">
        <v>4373</v>
      </c>
      <c r="P1718" s="2" t="s">
        <v>4380</v>
      </c>
    </row>
    <row r="1719" spans="1:16">
      <c r="A1719" s="4">
        <v>46247.693252314813</v>
      </c>
      <c r="B1719" s="2" t="s">
        <v>303</v>
      </c>
      <c r="C1719" s="2" t="s">
        <v>3441</v>
      </c>
      <c r="D1719" s="2" t="s">
        <v>3513</v>
      </c>
      <c r="E1719" s="2">
        <v>12</v>
      </c>
      <c r="F1719" s="2"/>
      <c r="G1719" s="2">
        <v>12</v>
      </c>
      <c r="H1719" s="2" t="s">
        <v>2046</v>
      </c>
      <c r="I1719" s="2" t="s">
        <v>695</v>
      </c>
      <c r="J1719" s="2" t="s">
        <v>2537</v>
      </c>
      <c r="K1719" s="2" t="s">
        <v>1855</v>
      </c>
      <c r="L1719" s="2" t="s">
        <v>3493</v>
      </c>
      <c r="M1719" s="2" t="str">
        <f t="shared" si="29"/>
        <v>03</v>
      </c>
      <c r="N1719" s="2" t="s">
        <v>573</v>
      </c>
      <c r="O1719" s="2" t="s">
        <v>4373</v>
      </c>
      <c r="P1719" s="2" t="s">
        <v>4380</v>
      </c>
    </row>
    <row r="1720" spans="1:16">
      <c r="A1720" s="4">
        <v>46247.692708333336</v>
      </c>
      <c r="B1720" s="2" t="s">
        <v>1432</v>
      </c>
      <c r="C1720" s="2" t="s">
        <v>3441</v>
      </c>
      <c r="D1720" s="2" t="s">
        <v>3513</v>
      </c>
      <c r="E1720" s="2">
        <v>12</v>
      </c>
      <c r="F1720" s="2"/>
      <c r="G1720" s="2">
        <v>12</v>
      </c>
      <c r="H1720" s="2" t="s">
        <v>2046</v>
      </c>
      <c r="I1720" s="2" t="s">
        <v>695</v>
      </c>
      <c r="J1720" s="2" t="s">
        <v>2537</v>
      </c>
      <c r="K1720" s="2" t="s">
        <v>1855</v>
      </c>
      <c r="L1720" s="2" t="s">
        <v>3493</v>
      </c>
      <c r="M1720" s="2" t="str">
        <f t="shared" si="29"/>
        <v>03</v>
      </c>
      <c r="N1720" s="2" t="s">
        <v>479</v>
      </c>
      <c r="O1720" s="2" t="s">
        <v>4373</v>
      </c>
      <c r="P1720" s="2" t="s">
        <v>4380</v>
      </c>
    </row>
    <row r="1721" spans="1:16">
      <c r="A1721" s="4">
        <v>46247.690625000003</v>
      </c>
      <c r="B1721" s="2" t="s">
        <v>4112</v>
      </c>
      <c r="C1721" s="2" t="s">
        <v>3441</v>
      </c>
      <c r="D1721" s="2" t="s">
        <v>3513</v>
      </c>
      <c r="E1721" s="2">
        <v>12</v>
      </c>
      <c r="F1721" s="2"/>
      <c r="G1721" s="2">
        <v>12</v>
      </c>
      <c r="H1721" s="2" t="s">
        <v>2046</v>
      </c>
      <c r="I1721" s="2" t="s">
        <v>695</v>
      </c>
      <c r="J1721" s="2" t="s">
        <v>2537</v>
      </c>
      <c r="K1721" s="2" t="s">
        <v>1855</v>
      </c>
      <c r="L1721" s="2" t="s">
        <v>3493</v>
      </c>
      <c r="M1721" s="2" t="str">
        <f t="shared" si="29"/>
        <v>03</v>
      </c>
      <c r="N1721" s="2" t="s">
        <v>4076</v>
      </c>
      <c r="O1721" s="2" t="s">
        <v>4373</v>
      </c>
      <c r="P1721" s="2" t="s">
        <v>4380</v>
      </c>
    </row>
    <row r="1722" spans="1:16">
      <c r="A1722" s="4">
        <v>46247.690625000003</v>
      </c>
      <c r="B1722" s="2" t="s">
        <v>2767</v>
      </c>
      <c r="C1722" s="2" t="s">
        <v>3441</v>
      </c>
      <c r="D1722" s="2" t="s">
        <v>3513</v>
      </c>
      <c r="E1722" s="2">
        <v>12</v>
      </c>
      <c r="F1722" s="2"/>
      <c r="G1722" s="2">
        <v>12</v>
      </c>
      <c r="H1722" s="2" t="s">
        <v>2046</v>
      </c>
      <c r="I1722" s="2" t="s">
        <v>695</v>
      </c>
      <c r="J1722" s="2" t="s">
        <v>2537</v>
      </c>
      <c r="K1722" s="2" t="s">
        <v>1855</v>
      </c>
      <c r="L1722" s="2" t="s">
        <v>3493</v>
      </c>
      <c r="M1722" s="2" t="str">
        <f t="shared" si="29"/>
        <v>03</v>
      </c>
      <c r="N1722" s="2" t="s">
        <v>2717</v>
      </c>
      <c r="O1722" s="2" t="s">
        <v>4373</v>
      </c>
      <c r="P1722" s="2" t="s">
        <v>4380</v>
      </c>
    </row>
    <row r="1723" spans="1:16">
      <c r="A1723" s="4">
        <v>46247.689340277779</v>
      </c>
      <c r="B1723" s="2" t="s">
        <v>3618</v>
      </c>
      <c r="C1723" s="2" t="s">
        <v>3441</v>
      </c>
      <c r="D1723" s="2" t="s">
        <v>3513</v>
      </c>
      <c r="E1723" s="2">
        <v>12</v>
      </c>
      <c r="F1723" s="2"/>
      <c r="G1723" s="2">
        <v>12</v>
      </c>
      <c r="H1723" s="2" t="s">
        <v>2046</v>
      </c>
      <c r="I1723" s="2" t="s">
        <v>695</v>
      </c>
      <c r="J1723" s="2" t="s">
        <v>2537</v>
      </c>
      <c r="K1723" s="2" t="s">
        <v>1855</v>
      </c>
      <c r="L1723" s="2" t="s">
        <v>3493</v>
      </c>
      <c r="M1723" s="2" t="str">
        <f t="shared" si="29"/>
        <v>03</v>
      </c>
      <c r="N1723" s="2" t="s">
        <v>1510</v>
      </c>
      <c r="O1723" s="2" t="s">
        <v>4373</v>
      </c>
      <c r="P1723" s="2" t="s">
        <v>4380</v>
      </c>
    </row>
    <row r="1724" spans="1:16">
      <c r="A1724" s="4">
        <v>46247.689293981479</v>
      </c>
      <c r="B1724" s="2" t="s">
        <v>2418</v>
      </c>
      <c r="C1724" s="2" t="s">
        <v>3441</v>
      </c>
      <c r="D1724" s="2" t="s">
        <v>3513</v>
      </c>
      <c r="E1724" s="2">
        <v>12</v>
      </c>
      <c r="F1724" s="2"/>
      <c r="G1724" s="2">
        <v>12</v>
      </c>
      <c r="H1724" s="2" t="s">
        <v>2046</v>
      </c>
      <c r="I1724" s="2" t="s">
        <v>695</v>
      </c>
      <c r="J1724" s="2" t="s">
        <v>2537</v>
      </c>
      <c r="K1724" s="2" t="s">
        <v>1855</v>
      </c>
      <c r="L1724" s="2" t="s">
        <v>3493</v>
      </c>
      <c r="M1724" s="2" t="str">
        <f t="shared" si="29"/>
        <v>03</v>
      </c>
      <c r="N1724" s="2" t="s">
        <v>2543</v>
      </c>
      <c r="O1724" s="2" t="s">
        <v>4373</v>
      </c>
      <c r="P1724" s="2" t="s">
        <v>4380</v>
      </c>
    </row>
    <row r="1725" spans="1:16">
      <c r="A1725" s="4">
        <v>46247.688298611109</v>
      </c>
      <c r="B1725" s="2" t="s">
        <v>4051</v>
      </c>
      <c r="C1725" s="2" t="s">
        <v>3441</v>
      </c>
      <c r="D1725" s="2" t="s">
        <v>3513</v>
      </c>
      <c r="E1725" s="2">
        <v>12</v>
      </c>
      <c r="F1725" s="2"/>
      <c r="G1725" s="2">
        <v>12</v>
      </c>
      <c r="H1725" s="2" t="s">
        <v>2046</v>
      </c>
      <c r="I1725" s="2" t="s">
        <v>695</v>
      </c>
      <c r="J1725" s="2" t="s">
        <v>2537</v>
      </c>
      <c r="K1725" s="2" t="s">
        <v>1855</v>
      </c>
      <c r="L1725" s="2" t="s">
        <v>3493</v>
      </c>
      <c r="M1725" s="2" t="str">
        <f t="shared" si="29"/>
        <v>03</v>
      </c>
      <c r="N1725" s="2" t="s">
        <v>3410</v>
      </c>
      <c r="O1725" s="2" t="s">
        <v>4373</v>
      </c>
      <c r="P1725" s="2" t="s">
        <v>4380</v>
      </c>
    </row>
    <row r="1726" spans="1:16">
      <c r="A1726" s="4">
        <v>46247.688275462962</v>
      </c>
      <c r="B1726" s="2" t="s">
        <v>3681</v>
      </c>
      <c r="C1726" s="2" t="s">
        <v>3441</v>
      </c>
      <c r="D1726" s="2" t="s">
        <v>3513</v>
      </c>
      <c r="E1726" s="2">
        <v>12</v>
      </c>
      <c r="F1726" s="2"/>
      <c r="G1726" s="2">
        <v>12</v>
      </c>
      <c r="H1726" s="2" t="s">
        <v>2046</v>
      </c>
      <c r="I1726" s="2" t="s">
        <v>695</v>
      </c>
      <c r="J1726" s="2" t="s">
        <v>2537</v>
      </c>
      <c r="K1726" s="2" t="s">
        <v>1855</v>
      </c>
      <c r="L1726" s="2" t="s">
        <v>3493</v>
      </c>
      <c r="M1726" s="2" t="str">
        <f t="shared" si="29"/>
        <v>03</v>
      </c>
      <c r="N1726" s="2" t="s">
        <v>494</v>
      </c>
      <c r="O1726" s="2" t="s">
        <v>4373</v>
      </c>
      <c r="P1726" s="2" t="s">
        <v>4380</v>
      </c>
    </row>
    <row r="1727" spans="1:16">
      <c r="A1727" s="4">
        <v>46247.687314814815</v>
      </c>
      <c r="B1727" s="2" t="s">
        <v>4317</v>
      </c>
      <c r="C1727" s="2" t="s">
        <v>3441</v>
      </c>
      <c r="D1727" s="2" t="s">
        <v>3513</v>
      </c>
      <c r="E1727" s="2">
        <v>12</v>
      </c>
      <c r="F1727" s="2"/>
      <c r="G1727" s="2">
        <v>12</v>
      </c>
      <c r="H1727" s="2" t="s">
        <v>2046</v>
      </c>
      <c r="I1727" s="2" t="s">
        <v>695</v>
      </c>
      <c r="J1727" s="2" t="s">
        <v>2537</v>
      </c>
      <c r="K1727" s="2" t="s">
        <v>1855</v>
      </c>
      <c r="L1727" s="2" t="s">
        <v>3493</v>
      </c>
      <c r="M1727" s="2" t="str">
        <f t="shared" si="29"/>
        <v>03</v>
      </c>
      <c r="N1727" s="2" t="s">
        <v>2736</v>
      </c>
      <c r="O1727" s="2" t="s">
        <v>4373</v>
      </c>
      <c r="P1727" s="2" t="s">
        <v>4380</v>
      </c>
    </row>
    <row r="1728" spans="1:16">
      <c r="A1728" s="4">
        <v>46247.686898148146</v>
      </c>
      <c r="B1728" s="2" t="s">
        <v>2234</v>
      </c>
      <c r="C1728" s="2" t="s">
        <v>3441</v>
      </c>
      <c r="D1728" s="2" t="s">
        <v>3513</v>
      </c>
      <c r="E1728" s="2">
        <v>12</v>
      </c>
      <c r="F1728" s="2"/>
      <c r="G1728" s="2">
        <v>12</v>
      </c>
      <c r="H1728" s="2" t="s">
        <v>2046</v>
      </c>
      <c r="I1728" s="2" t="s">
        <v>695</v>
      </c>
      <c r="J1728" s="2" t="s">
        <v>2537</v>
      </c>
      <c r="K1728" s="2" t="s">
        <v>1855</v>
      </c>
      <c r="L1728" s="2" t="s">
        <v>3493</v>
      </c>
      <c r="M1728" s="2" t="str">
        <f t="shared" si="29"/>
        <v>03</v>
      </c>
      <c r="N1728" s="2" t="s">
        <v>789</v>
      </c>
      <c r="O1728" s="2" t="s">
        <v>4373</v>
      </c>
      <c r="P1728" s="2" t="s">
        <v>4380</v>
      </c>
    </row>
    <row r="1729" spans="1:16">
      <c r="A1729" s="4">
        <v>46246.682858796295</v>
      </c>
      <c r="B1729" s="2" t="s">
        <v>4208</v>
      </c>
      <c r="C1729" s="2" t="s">
        <v>3441</v>
      </c>
      <c r="D1729" s="2" t="s">
        <v>3513</v>
      </c>
      <c r="E1729" s="2">
        <v>12</v>
      </c>
      <c r="F1729" s="2"/>
      <c r="G1729" s="2">
        <v>12</v>
      </c>
      <c r="H1729" s="2" t="s">
        <v>2046</v>
      </c>
      <c r="I1729" s="2" t="s">
        <v>695</v>
      </c>
      <c r="J1729" s="2" t="s">
        <v>2537</v>
      </c>
      <c r="K1729" s="2" t="s">
        <v>1855</v>
      </c>
      <c r="L1729" s="2" t="s">
        <v>1847</v>
      </c>
      <c r="M1729" s="2" t="str">
        <f t="shared" si="29"/>
        <v>14</v>
      </c>
      <c r="N1729" s="2" t="s">
        <v>3447</v>
      </c>
      <c r="O1729" s="2" t="s">
        <v>4373</v>
      </c>
      <c r="P1729" s="2" t="s">
        <v>4381</v>
      </c>
    </row>
    <row r="1730" spans="1:16">
      <c r="A1730" s="4">
        <v>46246.657002314816</v>
      </c>
      <c r="B1730" s="2" t="s">
        <v>305</v>
      </c>
      <c r="C1730" s="2" t="s">
        <v>3441</v>
      </c>
      <c r="D1730" s="2" t="s">
        <v>3513</v>
      </c>
      <c r="E1730" s="2">
        <v>12</v>
      </c>
      <c r="F1730" s="2"/>
      <c r="G1730" s="2">
        <v>12</v>
      </c>
      <c r="H1730" s="2" t="s">
        <v>2046</v>
      </c>
      <c r="I1730" s="2" t="s">
        <v>695</v>
      </c>
      <c r="J1730" s="2" t="s">
        <v>2537</v>
      </c>
      <c r="K1730" s="2" t="s">
        <v>1855</v>
      </c>
      <c r="L1730" s="2" t="s">
        <v>1847</v>
      </c>
      <c r="M1730" s="2" t="str">
        <f t="shared" ref="M1730:M1793" si="30">RIGHT(L1730,2)</f>
        <v>14</v>
      </c>
      <c r="N1730" s="2" t="s">
        <v>3118</v>
      </c>
      <c r="O1730" s="2" t="s">
        <v>4373</v>
      </c>
      <c r="P1730" s="2" t="s">
        <v>4381</v>
      </c>
    </row>
    <row r="1731" spans="1:16">
      <c r="A1731" s="4">
        <v>46246.656724537039</v>
      </c>
      <c r="B1731" s="2" t="s">
        <v>199</v>
      </c>
      <c r="C1731" s="2" t="s">
        <v>3441</v>
      </c>
      <c r="D1731" s="2" t="s">
        <v>3513</v>
      </c>
      <c r="E1731" s="2">
        <v>12</v>
      </c>
      <c r="F1731" s="2"/>
      <c r="G1731" s="2">
        <v>12</v>
      </c>
      <c r="H1731" s="2" t="s">
        <v>2046</v>
      </c>
      <c r="I1731" s="2" t="s">
        <v>695</v>
      </c>
      <c r="J1731" s="2" t="s">
        <v>2537</v>
      </c>
      <c r="K1731" s="2" t="s">
        <v>1855</v>
      </c>
      <c r="L1731" s="2" t="s">
        <v>1847</v>
      </c>
      <c r="M1731" s="2" t="str">
        <f t="shared" si="30"/>
        <v>14</v>
      </c>
      <c r="N1731" s="2" t="s">
        <v>3342</v>
      </c>
      <c r="O1731" s="2" t="s">
        <v>4373</v>
      </c>
      <c r="P1731" s="2" t="s">
        <v>4381</v>
      </c>
    </row>
    <row r="1732" spans="1:16">
      <c r="A1732" s="4">
        <v>46246.655173611114</v>
      </c>
      <c r="B1732" s="2" t="s">
        <v>2478</v>
      </c>
      <c r="C1732" s="2" t="s">
        <v>3441</v>
      </c>
      <c r="D1732" s="2" t="s">
        <v>3513</v>
      </c>
      <c r="E1732" s="2">
        <v>12</v>
      </c>
      <c r="F1732" s="2"/>
      <c r="G1732" s="2">
        <v>12</v>
      </c>
      <c r="H1732" s="2" t="s">
        <v>2046</v>
      </c>
      <c r="I1732" s="2" t="s">
        <v>695</v>
      </c>
      <c r="J1732" s="2" t="s">
        <v>2537</v>
      </c>
      <c r="K1732" s="2" t="s">
        <v>1855</v>
      </c>
      <c r="L1732" s="2" t="s">
        <v>1847</v>
      </c>
      <c r="M1732" s="2" t="str">
        <f t="shared" si="30"/>
        <v>14</v>
      </c>
      <c r="N1732" s="2" t="s">
        <v>3433</v>
      </c>
      <c r="O1732" s="2" t="s">
        <v>4373</v>
      </c>
      <c r="P1732" s="2" t="s">
        <v>4381</v>
      </c>
    </row>
    <row r="1733" spans="1:16">
      <c r="A1733" s="4">
        <v>46246.654930555553</v>
      </c>
      <c r="B1733" s="2" t="s">
        <v>3568</v>
      </c>
      <c r="C1733" s="2" t="s">
        <v>3441</v>
      </c>
      <c r="D1733" s="2" t="s">
        <v>3513</v>
      </c>
      <c r="E1733" s="2">
        <v>12</v>
      </c>
      <c r="F1733" s="2"/>
      <c r="G1733" s="2">
        <v>12</v>
      </c>
      <c r="H1733" s="2" t="s">
        <v>2046</v>
      </c>
      <c r="I1733" s="2" t="s">
        <v>695</v>
      </c>
      <c r="J1733" s="2" t="s">
        <v>2537</v>
      </c>
      <c r="K1733" s="2" t="s">
        <v>1855</v>
      </c>
      <c r="L1733" s="2" t="s">
        <v>1847</v>
      </c>
      <c r="M1733" s="2" t="str">
        <f t="shared" si="30"/>
        <v>14</v>
      </c>
      <c r="N1733" s="2" t="s">
        <v>4180</v>
      </c>
      <c r="O1733" s="2" t="s">
        <v>4373</v>
      </c>
      <c r="P1733" s="2" t="s">
        <v>4381</v>
      </c>
    </row>
    <row r="1734" spans="1:16">
      <c r="A1734" s="4">
        <v>46246.654282407406</v>
      </c>
      <c r="B1734" s="2" t="s">
        <v>2074</v>
      </c>
      <c r="C1734" s="2" t="s">
        <v>3441</v>
      </c>
      <c r="D1734" s="2" t="s">
        <v>3513</v>
      </c>
      <c r="E1734" s="2">
        <v>12</v>
      </c>
      <c r="F1734" s="2"/>
      <c r="G1734" s="2">
        <v>12</v>
      </c>
      <c r="H1734" s="2" t="s">
        <v>2046</v>
      </c>
      <c r="I1734" s="2" t="s">
        <v>695</v>
      </c>
      <c r="J1734" s="2" t="s">
        <v>2537</v>
      </c>
      <c r="K1734" s="2" t="s">
        <v>1855</v>
      </c>
      <c r="L1734" s="2" t="s">
        <v>1847</v>
      </c>
      <c r="M1734" s="2" t="str">
        <f t="shared" si="30"/>
        <v>14</v>
      </c>
      <c r="N1734" s="2" t="s">
        <v>4132</v>
      </c>
      <c r="O1734" s="2" t="s">
        <v>4373</v>
      </c>
      <c r="P1734" s="2" t="s">
        <v>4381</v>
      </c>
    </row>
    <row r="1735" spans="1:16">
      <c r="A1735" s="4">
        <v>46246.654270833336</v>
      </c>
      <c r="B1735" s="2" t="s">
        <v>3746</v>
      </c>
      <c r="C1735" s="2" t="s">
        <v>3441</v>
      </c>
      <c r="D1735" s="2" t="s">
        <v>3513</v>
      </c>
      <c r="E1735" s="2">
        <v>12</v>
      </c>
      <c r="F1735" s="2"/>
      <c r="G1735" s="2">
        <v>12</v>
      </c>
      <c r="H1735" s="2" t="s">
        <v>2046</v>
      </c>
      <c r="I1735" s="2" t="s">
        <v>695</v>
      </c>
      <c r="J1735" s="2" t="s">
        <v>2537</v>
      </c>
      <c r="K1735" s="2" t="s">
        <v>1855</v>
      </c>
      <c r="L1735" s="2" t="s">
        <v>1847</v>
      </c>
      <c r="M1735" s="2" t="str">
        <f t="shared" si="30"/>
        <v>14</v>
      </c>
      <c r="N1735" s="2" t="s">
        <v>3904</v>
      </c>
      <c r="O1735" s="2" t="s">
        <v>4373</v>
      </c>
      <c r="P1735" s="2" t="s">
        <v>4381</v>
      </c>
    </row>
    <row r="1736" spans="1:16">
      <c r="A1736" s="4">
        <v>46246.653773148151</v>
      </c>
      <c r="B1736" s="2" t="s">
        <v>3430</v>
      </c>
      <c r="C1736" s="2" t="s">
        <v>3441</v>
      </c>
      <c r="D1736" s="2" t="s">
        <v>3513</v>
      </c>
      <c r="E1736" s="2">
        <v>12</v>
      </c>
      <c r="F1736" s="2"/>
      <c r="G1736" s="2">
        <v>12</v>
      </c>
      <c r="H1736" s="2" t="s">
        <v>2046</v>
      </c>
      <c r="I1736" s="2" t="s">
        <v>695</v>
      </c>
      <c r="J1736" s="2" t="s">
        <v>2537</v>
      </c>
      <c r="K1736" s="2" t="s">
        <v>1855</v>
      </c>
      <c r="L1736" s="2" t="s">
        <v>1847</v>
      </c>
      <c r="M1736" s="2" t="str">
        <f t="shared" si="30"/>
        <v>14</v>
      </c>
      <c r="N1736" s="2" t="s">
        <v>681</v>
      </c>
      <c r="O1736" s="2" t="s">
        <v>4373</v>
      </c>
      <c r="P1736" s="2" t="s">
        <v>4381</v>
      </c>
    </row>
    <row r="1737" spans="1:16">
      <c r="A1737" s="4">
        <v>46246.653738425928</v>
      </c>
      <c r="B1737" s="2" t="s">
        <v>4254</v>
      </c>
      <c r="C1737" s="2" t="s">
        <v>3441</v>
      </c>
      <c r="D1737" s="2" t="s">
        <v>3513</v>
      </c>
      <c r="E1737" s="2">
        <v>12</v>
      </c>
      <c r="F1737" s="2"/>
      <c r="G1737" s="2">
        <v>12</v>
      </c>
      <c r="H1737" s="2" t="s">
        <v>2046</v>
      </c>
      <c r="I1737" s="2" t="s">
        <v>695</v>
      </c>
      <c r="J1737" s="2" t="s">
        <v>2537</v>
      </c>
      <c r="K1737" s="2" t="s">
        <v>1855</v>
      </c>
      <c r="L1737" s="2" t="s">
        <v>1847</v>
      </c>
      <c r="M1737" s="2" t="str">
        <f t="shared" si="30"/>
        <v>14</v>
      </c>
      <c r="N1737" s="2" t="s">
        <v>2349</v>
      </c>
      <c r="O1737" s="2" t="s">
        <v>4373</v>
      </c>
      <c r="P1737" s="2" t="s">
        <v>4381</v>
      </c>
    </row>
    <row r="1738" spans="1:16">
      <c r="A1738" s="4">
        <v>46246.652604166666</v>
      </c>
      <c r="B1738" s="2" t="s">
        <v>1850</v>
      </c>
      <c r="C1738" s="2" t="s">
        <v>3441</v>
      </c>
      <c r="D1738" s="2" t="s">
        <v>3513</v>
      </c>
      <c r="E1738" s="2">
        <v>12</v>
      </c>
      <c r="F1738" s="2"/>
      <c r="G1738" s="2">
        <v>12</v>
      </c>
      <c r="H1738" s="2" t="s">
        <v>2046</v>
      </c>
      <c r="I1738" s="2" t="s">
        <v>695</v>
      </c>
      <c r="J1738" s="2" t="s">
        <v>2537</v>
      </c>
      <c r="K1738" s="2" t="s">
        <v>1855</v>
      </c>
      <c r="L1738" s="2" t="s">
        <v>1847</v>
      </c>
      <c r="M1738" s="2" t="str">
        <f t="shared" si="30"/>
        <v>14</v>
      </c>
      <c r="N1738" s="2" t="s">
        <v>1467</v>
      </c>
      <c r="O1738" s="2" t="s">
        <v>4373</v>
      </c>
      <c r="P1738" s="2" t="s">
        <v>4381</v>
      </c>
    </row>
    <row r="1739" spans="1:16">
      <c r="A1739" s="4">
        <v>46246.652268518519</v>
      </c>
      <c r="B1739" s="2" t="s">
        <v>3717</v>
      </c>
      <c r="C1739" s="2" t="s">
        <v>3441</v>
      </c>
      <c r="D1739" s="2" t="s">
        <v>3513</v>
      </c>
      <c r="E1739" s="2">
        <v>12</v>
      </c>
      <c r="F1739" s="2"/>
      <c r="G1739" s="2">
        <v>12</v>
      </c>
      <c r="H1739" s="2" t="s">
        <v>2046</v>
      </c>
      <c r="I1739" s="2" t="s">
        <v>695</v>
      </c>
      <c r="J1739" s="2" t="s">
        <v>2537</v>
      </c>
      <c r="K1739" s="2" t="s">
        <v>1855</v>
      </c>
      <c r="L1739" s="2" t="s">
        <v>1847</v>
      </c>
      <c r="M1739" s="2" t="str">
        <f t="shared" si="30"/>
        <v>14</v>
      </c>
      <c r="N1739" s="2" t="s">
        <v>2211</v>
      </c>
      <c r="O1739" s="2" t="s">
        <v>4373</v>
      </c>
      <c r="P1739" s="2" t="s">
        <v>4381</v>
      </c>
    </row>
    <row r="1740" spans="1:16">
      <c r="A1740" s="4">
        <v>46246.651412037034</v>
      </c>
      <c r="B1740" s="2" t="s">
        <v>3457</v>
      </c>
      <c r="C1740" s="2" t="s">
        <v>3441</v>
      </c>
      <c r="D1740" s="2" t="s">
        <v>3513</v>
      </c>
      <c r="E1740" s="2">
        <v>12</v>
      </c>
      <c r="F1740" s="2"/>
      <c r="G1740" s="2">
        <v>12</v>
      </c>
      <c r="H1740" s="2" t="s">
        <v>2046</v>
      </c>
      <c r="I1740" s="2" t="s">
        <v>695</v>
      </c>
      <c r="J1740" s="2" t="s">
        <v>2537</v>
      </c>
      <c r="K1740" s="2" t="s">
        <v>1855</v>
      </c>
      <c r="L1740" s="2" t="s">
        <v>1847</v>
      </c>
      <c r="M1740" s="2" t="str">
        <f t="shared" si="30"/>
        <v>14</v>
      </c>
      <c r="N1740" s="2" t="s">
        <v>800</v>
      </c>
      <c r="O1740" s="2" t="s">
        <v>4373</v>
      </c>
      <c r="P1740" s="2" t="s">
        <v>4381</v>
      </c>
    </row>
    <row r="1741" spans="1:16">
      <c r="A1741" s="4">
        <v>46246.651400462964</v>
      </c>
      <c r="B1741" s="2" t="s">
        <v>4352</v>
      </c>
      <c r="C1741" s="2" t="s">
        <v>3441</v>
      </c>
      <c r="D1741" s="2" t="s">
        <v>3513</v>
      </c>
      <c r="E1741" s="2">
        <v>12</v>
      </c>
      <c r="F1741" s="2"/>
      <c r="G1741" s="2">
        <v>12</v>
      </c>
      <c r="H1741" s="2" t="s">
        <v>2046</v>
      </c>
      <c r="I1741" s="2" t="s">
        <v>695</v>
      </c>
      <c r="J1741" s="2" t="s">
        <v>2537</v>
      </c>
      <c r="K1741" s="2" t="s">
        <v>1855</v>
      </c>
      <c r="L1741" s="2" t="s">
        <v>1847</v>
      </c>
      <c r="M1741" s="2" t="str">
        <f t="shared" si="30"/>
        <v>14</v>
      </c>
      <c r="N1741" s="2" t="s">
        <v>2783</v>
      </c>
      <c r="O1741" s="2" t="s">
        <v>4373</v>
      </c>
      <c r="P1741" s="2" t="s">
        <v>4381</v>
      </c>
    </row>
    <row r="1742" spans="1:16">
      <c r="A1742" s="4">
        <v>46246.650543981479</v>
      </c>
      <c r="B1742" s="2" t="s">
        <v>284</v>
      </c>
      <c r="C1742" s="2" t="s">
        <v>3441</v>
      </c>
      <c r="D1742" s="2" t="s">
        <v>3513</v>
      </c>
      <c r="E1742" s="2">
        <v>6</v>
      </c>
      <c r="F1742" s="2"/>
      <c r="G1742" s="2">
        <v>6</v>
      </c>
      <c r="H1742" s="2" t="s">
        <v>2046</v>
      </c>
      <c r="I1742" s="2" t="s">
        <v>695</v>
      </c>
      <c r="J1742" s="2" t="s">
        <v>2537</v>
      </c>
      <c r="K1742" s="2" t="s">
        <v>1855</v>
      </c>
      <c r="L1742" s="2" t="s">
        <v>1847</v>
      </c>
      <c r="M1742" s="2" t="str">
        <f t="shared" si="30"/>
        <v>14</v>
      </c>
      <c r="N1742" s="2" t="s">
        <v>1041</v>
      </c>
      <c r="O1742" s="2" t="s">
        <v>4373</v>
      </c>
      <c r="P1742" s="2" t="s">
        <v>4381</v>
      </c>
    </row>
    <row r="1743" spans="1:16">
      <c r="A1743" s="4">
        <v>46246.650069444448</v>
      </c>
      <c r="B1743" s="2" t="s">
        <v>2420</v>
      </c>
      <c r="C1743" s="2" t="s">
        <v>3441</v>
      </c>
      <c r="D1743" s="2" t="s">
        <v>3513</v>
      </c>
      <c r="E1743" s="2">
        <v>12</v>
      </c>
      <c r="F1743" s="2"/>
      <c r="G1743" s="2">
        <v>12</v>
      </c>
      <c r="H1743" s="2" t="s">
        <v>2046</v>
      </c>
      <c r="I1743" s="2" t="s">
        <v>695</v>
      </c>
      <c r="J1743" s="2" t="s">
        <v>2537</v>
      </c>
      <c r="K1743" s="2" t="s">
        <v>1855</v>
      </c>
      <c r="L1743" s="2" t="s">
        <v>1847</v>
      </c>
      <c r="M1743" s="2" t="str">
        <f t="shared" si="30"/>
        <v>14</v>
      </c>
      <c r="N1743" s="2" t="s">
        <v>2412</v>
      </c>
      <c r="O1743" s="2" t="s">
        <v>4373</v>
      </c>
      <c r="P1743" s="2" t="s">
        <v>4381</v>
      </c>
    </row>
    <row r="1744" spans="1:16">
      <c r="A1744" s="4">
        <v>46246.650069444448</v>
      </c>
      <c r="B1744" s="2" t="s">
        <v>1218</v>
      </c>
      <c r="C1744" s="2" t="s">
        <v>3441</v>
      </c>
      <c r="D1744" s="2" t="s">
        <v>3513</v>
      </c>
      <c r="E1744" s="2">
        <v>12</v>
      </c>
      <c r="F1744" s="2"/>
      <c r="G1744" s="2">
        <v>12</v>
      </c>
      <c r="H1744" s="2" t="s">
        <v>2046</v>
      </c>
      <c r="I1744" s="2" t="s">
        <v>695</v>
      </c>
      <c r="J1744" s="2" t="s">
        <v>2537</v>
      </c>
      <c r="K1744" s="2" t="s">
        <v>1855</v>
      </c>
      <c r="L1744" s="2" t="s">
        <v>1847</v>
      </c>
      <c r="M1744" s="2" t="str">
        <f t="shared" si="30"/>
        <v>14</v>
      </c>
      <c r="N1744" s="2" t="s">
        <v>620</v>
      </c>
      <c r="O1744" s="2" t="s">
        <v>4373</v>
      </c>
      <c r="P1744" s="2" t="s">
        <v>4381</v>
      </c>
    </row>
    <row r="1745" spans="1:16">
      <c r="A1745" s="4">
        <v>46246.650057870371</v>
      </c>
      <c r="B1745" s="2" t="s">
        <v>1888</v>
      </c>
      <c r="C1745" s="2" t="s">
        <v>3441</v>
      </c>
      <c r="D1745" s="2" t="s">
        <v>3513</v>
      </c>
      <c r="E1745" s="2">
        <v>12</v>
      </c>
      <c r="F1745" s="2"/>
      <c r="G1745" s="2">
        <v>12</v>
      </c>
      <c r="H1745" s="2" t="s">
        <v>2046</v>
      </c>
      <c r="I1745" s="2" t="s">
        <v>695</v>
      </c>
      <c r="J1745" s="2" t="s">
        <v>2537</v>
      </c>
      <c r="K1745" s="2" t="s">
        <v>1855</v>
      </c>
      <c r="L1745" s="2" t="s">
        <v>1847</v>
      </c>
      <c r="M1745" s="2" t="str">
        <f t="shared" si="30"/>
        <v>14</v>
      </c>
      <c r="N1745" s="2" t="s">
        <v>1367</v>
      </c>
      <c r="O1745" s="2" t="s">
        <v>4373</v>
      </c>
      <c r="P1745" s="2" t="s">
        <v>4381</v>
      </c>
    </row>
    <row r="1746" spans="1:16">
      <c r="A1746" s="4">
        <v>46246.64912037037</v>
      </c>
      <c r="B1746" s="2" t="s">
        <v>3327</v>
      </c>
      <c r="C1746" s="2" t="s">
        <v>3441</v>
      </c>
      <c r="D1746" s="2" t="s">
        <v>3513</v>
      </c>
      <c r="E1746" s="2">
        <v>12</v>
      </c>
      <c r="F1746" s="2"/>
      <c r="G1746" s="2">
        <v>12</v>
      </c>
      <c r="H1746" s="2" t="s">
        <v>2046</v>
      </c>
      <c r="I1746" s="2" t="s">
        <v>695</v>
      </c>
      <c r="J1746" s="2" t="s">
        <v>2537</v>
      </c>
      <c r="K1746" s="2" t="s">
        <v>1855</v>
      </c>
      <c r="L1746" s="2" t="s">
        <v>1847</v>
      </c>
      <c r="M1746" s="2" t="str">
        <f t="shared" si="30"/>
        <v>14</v>
      </c>
      <c r="N1746" s="2" t="s">
        <v>2599</v>
      </c>
      <c r="O1746" s="2" t="s">
        <v>4373</v>
      </c>
      <c r="P1746" s="2" t="s">
        <v>4381</v>
      </c>
    </row>
    <row r="1747" spans="1:16">
      <c r="A1747" s="4">
        <v>46246.302106481482</v>
      </c>
      <c r="B1747" s="2" t="s">
        <v>2472</v>
      </c>
      <c r="C1747" s="2" t="s">
        <v>3441</v>
      </c>
      <c r="D1747" s="2" t="s">
        <v>3513</v>
      </c>
      <c r="E1747" s="2">
        <v>12</v>
      </c>
      <c r="F1747" s="2"/>
      <c r="G1747" s="2">
        <v>12</v>
      </c>
      <c r="H1747" s="2" t="s">
        <v>693</v>
      </c>
      <c r="I1747" s="2" t="s">
        <v>695</v>
      </c>
      <c r="J1747" s="2" t="s">
        <v>2537</v>
      </c>
      <c r="K1747" s="2" t="s">
        <v>1855</v>
      </c>
      <c r="L1747" s="2" t="s">
        <v>338</v>
      </c>
      <c r="M1747" s="2" t="str">
        <f t="shared" si="30"/>
        <v>11</v>
      </c>
      <c r="N1747" s="2" t="s">
        <v>2458</v>
      </c>
      <c r="O1747" s="2" t="s">
        <v>4373</v>
      </c>
      <c r="P1747" s="2" t="s">
        <v>4381</v>
      </c>
    </row>
    <row r="1748" spans="1:16">
      <c r="A1748" s="4">
        <v>46246.301493055558</v>
      </c>
      <c r="B1748" s="2" t="s">
        <v>2817</v>
      </c>
      <c r="C1748" s="2" t="s">
        <v>3441</v>
      </c>
      <c r="D1748" s="2" t="s">
        <v>3513</v>
      </c>
      <c r="E1748" s="2">
        <v>12</v>
      </c>
      <c r="F1748" s="2"/>
      <c r="G1748" s="2">
        <v>12</v>
      </c>
      <c r="H1748" s="2" t="s">
        <v>693</v>
      </c>
      <c r="I1748" s="2" t="s">
        <v>695</v>
      </c>
      <c r="J1748" s="2" t="s">
        <v>2537</v>
      </c>
      <c r="K1748" s="2" t="s">
        <v>1855</v>
      </c>
      <c r="L1748" s="2" t="s">
        <v>338</v>
      </c>
      <c r="M1748" s="2" t="str">
        <f t="shared" si="30"/>
        <v>11</v>
      </c>
      <c r="N1748" s="2" t="s">
        <v>779</v>
      </c>
      <c r="O1748" s="2" t="s">
        <v>4373</v>
      </c>
      <c r="P1748" s="2" t="s">
        <v>4381</v>
      </c>
    </row>
    <row r="1749" spans="1:16">
      <c r="A1749" s="4">
        <v>46246.301157407404</v>
      </c>
      <c r="B1749" s="2" t="s">
        <v>2373</v>
      </c>
      <c r="C1749" s="2" t="s">
        <v>3441</v>
      </c>
      <c r="D1749" s="2" t="s">
        <v>3513</v>
      </c>
      <c r="E1749" s="2">
        <v>12</v>
      </c>
      <c r="F1749" s="2"/>
      <c r="G1749" s="2">
        <v>12</v>
      </c>
      <c r="H1749" s="2" t="s">
        <v>693</v>
      </c>
      <c r="I1749" s="2" t="s">
        <v>695</v>
      </c>
      <c r="J1749" s="2" t="s">
        <v>2537</v>
      </c>
      <c r="K1749" s="2" t="s">
        <v>1855</v>
      </c>
      <c r="L1749" s="2" t="s">
        <v>338</v>
      </c>
      <c r="M1749" s="2" t="str">
        <f t="shared" si="30"/>
        <v>11</v>
      </c>
      <c r="N1749" s="2" t="s">
        <v>2150</v>
      </c>
      <c r="O1749" s="2" t="s">
        <v>4373</v>
      </c>
      <c r="P1749" s="2" t="s">
        <v>4381</v>
      </c>
    </row>
    <row r="1750" spans="1:16">
      <c r="A1750" s="4">
        <v>46246.299027777779</v>
      </c>
      <c r="B1750" s="2" t="s">
        <v>2391</v>
      </c>
      <c r="C1750" s="2" t="s">
        <v>3441</v>
      </c>
      <c r="D1750" s="2" t="s">
        <v>3513</v>
      </c>
      <c r="E1750" s="2">
        <v>12</v>
      </c>
      <c r="F1750" s="2"/>
      <c r="G1750" s="2">
        <v>12</v>
      </c>
      <c r="H1750" s="2" t="s">
        <v>693</v>
      </c>
      <c r="I1750" s="2" t="s">
        <v>695</v>
      </c>
      <c r="J1750" s="2" t="s">
        <v>2537</v>
      </c>
      <c r="K1750" s="2" t="s">
        <v>1855</v>
      </c>
      <c r="L1750" s="2" t="s">
        <v>338</v>
      </c>
      <c r="M1750" s="2" t="str">
        <f t="shared" si="30"/>
        <v>11</v>
      </c>
      <c r="N1750" s="2" t="s">
        <v>3112</v>
      </c>
      <c r="O1750" s="2" t="s">
        <v>4373</v>
      </c>
      <c r="P1750" s="2" t="s">
        <v>4381</v>
      </c>
    </row>
    <row r="1751" spans="1:16">
      <c r="A1751" s="4">
        <v>46246.298761574071</v>
      </c>
      <c r="B1751" s="2" t="s">
        <v>1971</v>
      </c>
      <c r="C1751" s="2" t="s">
        <v>3441</v>
      </c>
      <c r="D1751" s="2" t="s">
        <v>3513</v>
      </c>
      <c r="E1751" s="2">
        <v>12</v>
      </c>
      <c r="F1751" s="2"/>
      <c r="G1751" s="2">
        <v>12</v>
      </c>
      <c r="H1751" s="2" t="s">
        <v>693</v>
      </c>
      <c r="I1751" s="2" t="s">
        <v>695</v>
      </c>
      <c r="J1751" s="2" t="s">
        <v>2537</v>
      </c>
      <c r="K1751" s="2" t="s">
        <v>1855</v>
      </c>
      <c r="L1751" s="2" t="s">
        <v>338</v>
      </c>
      <c r="M1751" s="2" t="str">
        <f t="shared" si="30"/>
        <v>11</v>
      </c>
      <c r="N1751" s="2" t="s">
        <v>2538</v>
      </c>
      <c r="O1751" s="2" t="s">
        <v>4373</v>
      </c>
      <c r="P1751" s="2" t="s">
        <v>4381</v>
      </c>
    </row>
    <row r="1752" spans="1:16">
      <c r="A1752" s="4">
        <v>46246.298402777778</v>
      </c>
      <c r="B1752" s="2" t="s">
        <v>579</v>
      </c>
      <c r="C1752" s="2" t="s">
        <v>3441</v>
      </c>
      <c r="D1752" s="2" t="s">
        <v>3513</v>
      </c>
      <c r="E1752" s="2">
        <v>12</v>
      </c>
      <c r="F1752" s="2"/>
      <c r="G1752" s="2">
        <v>12</v>
      </c>
      <c r="H1752" s="2" t="s">
        <v>693</v>
      </c>
      <c r="I1752" s="2" t="s">
        <v>695</v>
      </c>
      <c r="J1752" s="2" t="s">
        <v>2537</v>
      </c>
      <c r="K1752" s="2" t="s">
        <v>1855</v>
      </c>
      <c r="L1752" s="2" t="s">
        <v>338</v>
      </c>
      <c r="M1752" s="2" t="str">
        <f t="shared" si="30"/>
        <v>11</v>
      </c>
      <c r="N1752" s="2" t="s">
        <v>745</v>
      </c>
      <c r="O1752" s="2" t="s">
        <v>4373</v>
      </c>
      <c r="P1752" s="2" t="s">
        <v>4381</v>
      </c>
    </row>
    <row r="1753" spans="1:16">
      <c r="A1753" s="4">
        <v>46246.297442129631</v>
      </c>
      <c r="B1753" s="2" t="s">
        <v>307</v>
      </c>
      <c r="C1753" s="2" t="s">
        <v>3441</v>
      </c>
      <c r="D1753" s="2" t="s">
        <v>3513</v>
      </c>
      <c r="E1753" s="2">
        <v>12</v>
      </c>
      <c r="F1753" s="2"/>
      <c r="G1753" s="2">
        <v>12</v>
      </c>
      <c r="H1753" s="2" t="s">
        <v>693</v>
      </c>
      <c r="I1753" s="2" t="s">
        <v>695</v>
      </c>
      <c r="J1753" s="2" t="s">
        <v>2537</v>
      </c>
      <c r="K1753" s="2" t="s">
        <v>1855</v>
      </c>
      <c r="L1753" s="2" t="s">
        <v>338</v>
      </c>
      <c r="M1753" s="2" t="str">
        <f t="shared" si="30"/>
        <v>11</v>
      </c>
      <c r="N1753" s="2" t="s">
        <v>2976</v>
      </c>
      <c r="O1753" s="2" t="s">
        <v>4373</v>
      </c>
      <c r="P1753" s="2" t="s">
        <v>4381</v>
      </c>
    </row>
    <row r="1754" spans="1:16">
      <c r="A1754" s="4">
        <v>46246.297222222223</v>
      </c>
      <c r="B1754" s="2" t="s">
        <v>2714</v>
      </c>
      <c r="C1754" s="2" t="s">
        <v>3441</v>
      </c>
      <c r="D1754" s="2" t="s">
        <v>3513</v>
      </c>
      <c r="E1754" s="2">
        <v>12</v>
      </c>
      <c r="F1754" s="2"/>
      <c r="G1754" s="2">
        <v>12</v>
      </c>
      <c r="H1754" s="2" t="s">
        <v>693</v>
      </c>
      <c r="I1754" s="2" t="s">
        <v>695</v>
      </c>
      <c r="J1754" s="2" t="s">
        <v>2537</v>
      </c>
      <c r="K1754" s="2" t="s">
        <v>1855</v>
      </c>
      <c r="L1754" s="2" t="s">
        <v>338</v>
      </c>
      <c r="M1754" s="2" t="str">
        <f t="shared" si="30"/>
        <v>11</v>
      </c>
      <c r="N1754" s="2" t="s">
        <v>1193</v>
      </c>
      <c r="O1754" s="2" t="s">
        <v>4373</v>
      </c>
      <c r="P1754" s="2" t="s">
        <v>4381</v>
      </c>
    </row>
    <row r="1755" spans="1:16">
      <c r="A1755" s="4">
        <v>46246.297210648147</v>
      </c>
      <c r="B1755" s="2" t="s">
        <v>975</v>
      </c>
      <c r="C1755" s="2" t="s">
        <v>3441</v>
      </c>
      <c r="D1755" s="2" t="s">
        <v>3513</v>
      </c>
      <c r="E1755" s="2">
        <v>12</v>
      </c>
      <c r="F1755" s="2"/>
      <c r="G1755" s="2">
        <v>12</v>
      </c>
      <c r="H1755" s="2" t="s">
        <v>693</v>
      </c>
      <c r="I1755" s="2" t="s">
        <v>695</v>
      </c>
      <c r="J1755" s="2" t="s">
        <v>2537</v>
      </c>
      <c r="K1755" s="2" t="s">
        <v>1855</v>
      </c>
      <c r="L1755" s="2" t="s">
        <v>338</v>
      </c>
      <c r="M1755" s="2" t="str">
        <f t="shared" si="30"/>
        <v>11</v>
      </c>
      <c r="N1755" s="2" t="s">
        <v>852</v>
      </c>
      <c r="O1755" s="2" t="s">
        <v>4373</v>
      </c>
      <c r="P1755" s="2" t="s">
        <v>4381</v>
      </c>
    </row>
    <row r="1756" spans="1:16">
      <c r="A1756" s="4">
        <v>46246.296041666668</v>
      </c>
      <c r="B1756" s="2" t="s">
        <v>2426</v>
      </c>
      <c r="C1756" s="2" t="s">
        <v>3441</v>
      </c>
      <c r="D1756" s="2" t="s">
        <v>3513</v>
      </c>
      <c r="E1756" s="2">
        <v>12</v>
      </c>
      <c r="F1756" s="2"/>
      <c r="G1756" s="2">
        <v>12</v>
      </c>
      <c r="H1756" s="2" t="s">
        <v>693</v>
      </c>
      <c r="I1756" s="2" t="s">
        <v>695</v>
      </c>
      <c r="J1756" s="2" t="s">
        <v>2537</v>
      </c>
      <c r="K1756" s="2" t="s">
        <v>1855</v>
      </c>
      <c r="L1756" s="2" t="s">
        <v>338</v>
      </c>
      <c r="M1756" s="2" t="str">
        <f t="shared" si="30"/>
        <v>11</v>
      </c>
      <c r="N1756" s="2" t="s">
        <v>1901</v>
      </c>
      <c r="O1756" s="2" t="s">
        <v>4373</v>
      </c>
      <c r="P1756" s="2" t="s">
        <v>4381</v>
      </c>
    </row>
    <row r="1757" spans="1:16">
      <c r="A1757" s="4">
        <v>46246.295868055553</v>
      </c>
      <c r="B1757" s="2" t="s">
        <v>1173</v>
      </c>
      <c r="C1757" s="2" t="s">
        <v>3441</v>
      </c>
      <c r="D1757" s="2" t="s">
        <v>3513</v>
      </c>
      <c r="E1757" s="2">
        <v>12</v>
      </c>
      <c r="F1757" s="2"/>
      <c r="G1757" s="2">
        <v>12</v>
      </c>
      <c r="H1757" s="2" t="s">
        <v>693</v>
      </c>
      <c r="I1757" s="2" t="s">
        <v>695</v>
      </c>
      <c r="J1757" s="2" t="s">
        <v>2537</v>
      </c>
      <c r="K1757" s="2" t="s">
        <v>1855</v>
      </c>
      <c r="L1757" s="2" t="s">
        <v>338</v>
      </c>
      <c r="M1757" s="2" t="str">
        <f t="shared" si="30"/>
        <v>11</v>
      </c>
      <c r="N1757" s="2" t="s">
        <v>1100</v>
      </c>
      <c r="O1757" s="2" t="s">
        <v>4373</v>
      </c>
      <c r="P1757" s="2" t="s">
        <v>4381</v>
      </c>
    </row>
    <row r="1758" spans="1:16">
      <c r="A1758" s="4">
        <v>46246.295671296299</v>
      </c>
      <c r="B1758" s="2" t="s">
        <v>1640</v>
      </c>
      <c r="C1758" s="2" t="s">
        <v>3441</v>
      </c>
      <c r="D1758" s="2" t="s">
        <v>3513</v>
      </c>
      <c r="E1758" s="2">
        <v>12</v>
      </c>
      <c r="F1758" s="2"/>
      <c r="G1758" s="2">
        <v>12</v>
      </c>
      <c r="H1758" s="2" t="s">
        <v>693</v>
      </c>
      <c r="I1758" s="2" t="s">
        <v>695</v>
      </c>
      <c r="J1758" s="2" t="s">
        <v>2537</v>
      </c>
      <c r="K1758" s="2" t="s">
        <v>1855</v>
      </c>
      <c r="L1758" s="2" t="s">
        <v>338</v>
      </c>
      <c r="M1758" s="2" t="str">
        <f t="shared" si="30"/>
        <v>11</v>
      </c>
      <c r="N1758" s="2" t="s">
        <v>2366</v>
      </c>
      <c r="O1758" s="2" t="s">
        <v>4373</v>
      </c>
      <c r="P1758" s="2" t="s">
        <v>4381</v>
      </c>
    </row>
    <row r="1759" spans="1:16">
      <c r="A1759" s="4">
        <v>46246.294363425928</v>
      </c>
      <c r="B1759" s="2" t="s">
        <v>1167</v>
      </c>
      <c r="C1759" s="2" t="s">
        <v>3441</v>
      </c>
      <c r="D1759" s="2" t="s">
        <v>3513</v>
      </c>
      <c r="E1759" s="2">
        <v>12</v>
      </c>
      <c r="F1759" s="2"/>
      <c r="G1759" s="2">
        <v>12</v>
      </c>
      <c r="H1759" s="2" t="s">
        <v>693</v>
      </c>
      <c r="I1759" s="2" t="s">
        <v>695</v>
      </c>
      <c r="J1759" s="2" t="s">
        <v>2537</v>
      </c>
      <c r="K1759" s="2" t="s">
        <v>1855</v>
      </c>
      <c r="L1759" s="2" t="s">
        <v>338</v>
      </c>
      <c r="M1759" s="2" t="str">
        <f t="shared" si="30"/>
        <v>11</v>
      </c>
      <c r="N1759" s="2" t="s">
        <v>1264</v>
      </c>
      <c r="O1759" s="2" t="s">
        <v>4373</v>
      </c>
      <c r="P1759" s="2" t="s">
        <v>4381</v>
      </c>
    </row>
    <row r="1760" spans="1:16">
      <c r="A1760" s="4">
        <v>46246.294259259259</v>
      </c>
      <c r="B1760" s="2" t="s">
        <v>2867</v>
      </c>
      <c r="C1760" s="2" t="s">
        <v>3441</v>
      </c>
      <c r="D1760" s="2" t="s">
        <v>3513</v>
      </c>
      <c r="E1760" s="2">
        <v>12</v>
      </c>
      <c r="F1760" s="2"/>
      <c r="G1760" s="2">
        <v>12</v>
      </c>
      <c r="H1760" s="2" t="s">
        <v>693</v>
      </c>
      <c r="I1760" s="2" t="s">
        <v>695</v>
      </c>
      <c r="J1760" s="2" t="s">
        <v>2537</v>
      </c>
      <c r="K1760" s="2" t="s">
        <v>1855</v>
      </c>
      <c r="L1760" s="2" t="s">
        <v>338</v>
      </c>
      <c r="M1760" s="2" t="str">
        <f t="shared" si="30"/>
        <v>11</v>
      </c>
      <c r="N1760" s="2" t="s">
        <v>3885</v>
      </c>
      <c r="O1760" s="2" t="s">
        <v>4373</v>
      </c>
      <c r="P1760" s="2" t="s">
        <v>4381</v>
      </c>
    </row>
    <row r="1761" spans="1:16">
      <c r="A1761" s="4">
        <v>46246.294189814813</v>
      </c>
      <c r="B1761" s="2" t="s">
        <v>4109</v>
      </c>
      <c r="C1761" s="2" t="s">
        <v>3441</v>
      </c>
      <c r="D1761" s="2" t="s">
        <v>3513</v>
      </c>
      <c r="E1761" s="2">
        <v>12</v>
      </c>
      <c r="F1761" s="2"/>
      <c r="G1761" s="2">
        <v>12</v>
      </c>
      <c r="H1761" s="2" t="s">
        <v>693</v>
      </c>
      <c r="I1761" s="2" t="s">
        <v>695</v>
      </c>
      <c r="J1761" s="2" t="s">
        <v>2537</v>
      </c>
      <c r="K1761" s="2" t="s">
        <v>1855</v>
      </c>
      <c r="L1761" s="2" t="s">
        <v>338</v>
      </c>
      <c r="M1761" s="2" t="str">
        <f t="shared" si="30"/>
        <v>11</v>
      </c>
      <c r="N1761" s="2" t="s">
        <v>3208</v>
      </c>
      <c r="O1761" s="2" t="s">
        <v>4373</v>
      </c>
      <c r="P1761" s="2" t="s">
        <v>4381</v>
      </c>
    </row>
    <row r="1762" spans="1:16">
      <c r="A1762" s="4">
        <v>46246.292581018519</v>
      </c>
      <c r="B1762" s="2" t="s">
        <v>2025</v>
      </c>
      <c r="C1762" s="2" t="s">
        <v>3441</v>
      </c>
      <c r="D1762" s="2" t="s">
        <v>3513</v>
      </c>
      <c r="E1762" s="2">
        <v>12</v>
      </c>
      <c r="F1762" s="2"/>
      <c r="G1762" s="2">
        <v>12</v>
      </c>
      <c r="H1762" s="2" t="s">
        <v>693</v>
      </c>
      <c r="I1762" s="2" t="s">
        <v>695</v>
      </c>
      <c r="J1762" s="2" t="s">
        <v>2537</v>
      </c>
      <c r="K1762" s="2" t="s">
        <v>1855</v>
      </c>
      <c r="L1762" s="2" t="s">
        <v>338</v>
      </c>
      <c r="M1762" s="2" t="str">
        <f t="shared" si="30"/>
        <v>11</v>
      </c>
      <c r="N1762" s="2" t="s">
        <v>1020</v>
      </c>
      <c r="O1762" s="2" t="s">
        <v>4373</v>
      </c>
      <c r="P1762" s="2" t="s">
        <v>4381</v>
      </c>
    </row>
    <row r="1763" spans="1:16">
      <c r="A1763" s="4">
        <v>46246.292349537034</v>
      </c>
      <c r="B1763" s="2" t="s">
        <v>151</v>
      </c>
      <c r="C1763" s="2" t="s">
        <v>3441</v>
      </c>
      <c r="D1763" s="2" t="s">
        <v>3513</v>
      </c>
      <c r="E1763" s="2">
        <v>12</v>
      </c>
      <c r="F1763" s="2"/>
      <c r="G1763" s="2">
        <v>12</v>
      </c>
      <c r="H1763" s="2" t="s">
        <v>693</v>
      </c>
      <c r="I1763" s="2" t="s">
        <v>695</v>
      </c>
      <c r="J1763" s="2" t="s">
        <v>2537</v>
      </c>
      <c r="K1763" s="2" t="s">
        <v>1855</v>
      </c>
      <c r="L1763" s="2" t="s">
        <v>338</v>
      </c>
      <c r="M1763" s="2" t="str">
        <f t="shared" si="30"/>
        <v>11</v>
      </c>
      <c r="N1763" s="2" t="s">
        <v>4089</v>
      </c>
      <c r="O1763" s="2" t="s">
        <v>4373</v>
      </c>
      <c r="P1763" s="2" t="s">
        <v>4381</v>
      </c>
    </row>
    <row r="1764" spans="1:16">
      <c r="A1764" s="4">
        <v>46246.292268518519</v>
      </c>
      <c r="B1764" s="2" t="s">
        <v>3545</v>
      </c>
      <c r="C1764" s="2" t="s">
        <v>3441</v>
      </c>
      <c r="D1764" s="2" t="s">
        <v>3513</v>
      </c>
      <c r="E1764" s="2">
        <v>12</v>
      </c>
      <c r="F1764" s="2"/>
      <c r="G1764" s="2">
        <v>12</v>
      </c>
      <c r="H1764" s="2" t="s">
        <v>693</v>
      </c>
      <c r="I1764" s="2" t="s">
        <v>695</v>
      </c>
      <c r="J1764" s="2" t="s">
        <v>2537</v>
      </c>
      <c r="K1764" s="2" t="s">
        <v>1855</v>
      </c>
      <c r="L1764" s="2" t="s">
        <v>338</v>
      </c>
      <c r="M1764" s="2" t="str">
        <f t="shared" si="30"/>
        <v>11</v>
      </c>
      <c r="N1764" s="2" t="s">
        <v>799</v>
      </c>
      <c r="O1764" s="2" t="s">
        <v>4373</v>
      </c>
      <c r="P1764" s="2" t="s">
        <v>4381</v>
      </c>
    </row>
    <row r="1765" spans="1:16">
      <c r="A1765" s="4">
        <v>46246.291122685187</v>
      </c>
      <c r="B1765" s="2" t="s">
        <v>2465</v>
      </c>
      <c r="C1765" s="2" t="s">
        <v>3441</v>
      </c>
      <c r="D1765" s="2" t="s">
        <v>3513</v>
      </c>
      <c r="E1765" s="2">
        <v>12</v>
      </c>
      <c r="F1765" s="2"/>
      <c r="G1765" s="2">
        <v>12</v>
      </c>
      <c r="H1765" s="2" t="s">
        <v>693</v>
      </c>
      <c r="I1765" s="2" t="s">
        <v>695</v>
      </c>
      <c r="J1765" s="2" t="s">
        <v>2537</v>
      </c>
      <c r="K1765" s="2" t="s">
        <v>1855</v>
      </c>
      <c r="L1765" s="2" t="s">
        <v>338</v>
      </c>
      <c r="M1765" s="2" t="str">
        <f t="shared" si="30"/>
        <v>11</v>
      </c>
      <c r="N1765" s="2" t="s">
        <v>3353</v>
      </c>
      <c r="O1765" s="2" t="s">
        <v>4373</v>
      </c>
      <c r="P1765" s="2" t="s">
        <v>4381</v>
      </c>
    </row>
    <row r="1766" spans="1:16">
      <c r="A1766" s="4">
        <v>46246.290960648148</v>
      </c>
      <c r="B1766" s="2" t="s">
        <v>3281</v>
      </c>
      <c r="C1766" s="2" t="s">
        <v>3441</v>
      </c>
      <c r="D1766" s="2" t="s">
        <v>3513</v>
      </c>
      <c r="E1766" s="2">
        <v>12</v>
      </c>
      <c r="F1766" s="2"/>
      <c r="G1766" s="2">
        <v>12</v>
      </c>
      <c r="H1766" s="2" t="s">
        <v>693</v>
      </c>
      <c r="I1766" s="2" t="s">
        <v>695</v>
      </c>
      <c r="J1766" s="2" t="s">
        <v>2537</v>
      </c>
      <c r="K1766" s="2" t="s">
        <v>1855</v>
      </c>
      <c r="L1766" s="2" t="s">
        <v>338</v>
      </c>
      <c r="M1766" s="2" t="str">
        <f t="shared" si="30"/>
        <v>11</v>
      </c>
      <c r="N1766" s="2" t="s">
        <v>2868</v>
      </c>
      <c r="O1766" s="2" t="s">
        <v>4373</v>
      </c>
      <c r="P1766" s="2" t="s">
        <v>4381</v>
      </c>
    </row>
    <row r="1767" spans="1:16">
      <c r="A1767" s="4">
        <v>46246.290914351855</v>
      </c>
      <c r="B1767" s="2" t="s">
        <v>4279</v>
      </c>
      <c r="C1767" s="2" t="s">
        <v>3441</v>
      </c>
      <c r="D1767" s="2" t="s">
        <v>3513</v>
      </c>
      <c r="E1767" s="2">
        <v>12</v>
      </c>
      <c r="F1767" s="2"/>
      <c r="G1767" s="2">
        <v>12</v>
      </c>
      <c r="H1767" s="2" t="s">
        <v>693</v>
      </c>
      <c r="I1767" s="2" t="s">
        <v>695</v>
      </c>
      <c r="J1767" s="2" t="s">
        <v>2537</v>
      </c>
      <c r="K1767" s="2" t="s">
        <v>1855</v>
      </c>
      <c r="L1767" s="2" t="s">
        <v>338</v>
      </c>
      <c r="M1767" s="2" t="str">
        <f t="shared" si="30"/>
        <v>11</v>
      </c>
      <c r="N1767" s="2" t="s">
        <v>3722</v>
      </c>
      <c r="O1767" s="2" t="s">
        <v>4373</v>
      </c>
      <c r="P1767" s="2" t="s">
        <v>4381</v>
      </c>
    </row>
    <row r="1768" spans="1:16">
      <c r="A1768" s="4">
        <v>46246.289351851854</v>
      </c>
      <c r="B1768" s="2" t="s">
        <v>643</v>
      </c>
      <c r="C1768" s="2" t="s">
        <v>3441</v>
      </c>
      <c r="D1768" s="2" t="s">
        <v>3513</v>
      </c>
      <c r="E1768" s="2">
        <v>12</v>
      </c>
      <c r="F1768" s="2"/>
      <c r="G1768" s="2">
        <v>12</v>
      </c>
      <c r="H1768" s="2" t="s">
        <v>693</v>
      </c>
      <c r="I1768" s="2" t="s">
        <v>695</v>
      </c>
      <c r="J1768" s="2" t="s">
        <v>2537</v>
      </c>
      <c r="K1768" s="2" t="s">
        <v>1855</v>
      </c>
      <c r="L1768" s="2" t="s">
        <v>338</v>
      </c>
      <c r="M1768" s="2" t="str">
        <f t="shared" si="30"/>
        <v>11</v>
      </c>
      <c r="N1768" s="2" t="s">
        <v>2376</v>
      </c>
      <c r="O1768" s="2" t="s">
        <v>4373</v>
      </c>
      <c r="P1768" s="2" t="s">
        <v>4381</v>
      </c>
    </row>
    <row r="1769" spans="1:16">
      <c r="A1769" s="4">
        <v>46246.289317129631</v>
      </c>
      <c r="B1769" s="2" t="s">
        <v>708</v>
      </c>
      <c r="C1769" s="2" t="s">
        <v>3441</v>
      </c>
      <c r="D1769" s="2" t="s">
        <v>3513</v>
      </c>
      <c r="E1769" s="2">
        <v>12</v>
      </c>
      <c r="F1769" s="2"/>
      <c r="G1769" s="2">
        <v>12</v>
      </c>
      <c r="H1769" s="2" t="s">
        <v>693</v>
      </c>
      <c r="I1769" s="2" t="s">
        <v>695</v>
      </c>
      <c r="J1769" s="2" t="s">
        <v>2537</v>
      </c>
      <c r="K1769" s="2" t="s">
        <v>1855</v>
      </c>
      <c r="L1769" s="2" t="s">
        <v>338</v>
      </c>
      <c r="M1769" s="2" t="str">
        <f t="shared" si="30"/>
        <v>11</v>
      </c>
      <c r="N1769" s="2" t="s">
        <v>1500</v>
      </c>
      <c r="O1769" s="2" t="s">
        <v>4373</v>
      </c>
      <c r="P1769" s="2" t="s">
        <v>4381</v>
      </c>
    </row>
    <row r="1770" spans="1:16">
      <c r="A1770" s="4">
        <v>46246.289097222223</v>
      </c>
      <c r="B1770" s="2" t="s">
        <v>2949</v>
      </c>
      <c r="C1770" s="2" t="s">
        <v>3441</v>
      </c>
      <c r="D1770" s="2" t="s">
        <v>3513</v>
      </c>
      <c r="E1770" s="2">
        <v>12</v>
      </c>
      <c r="F1770" s="2"/>
      <c r="G1770" s="2">
        <v>12</v>
      </c>
      <c r="H1770" s="2" t="s">
        <v>693</v>
      </c>
      <c r="I1770" s="2" t="s">
        <v>695</v>
      </c>
      <c r="J1770" s="2" t="s">
        <v>2537</v>
      </c>
      <c r="K1770" s="2" t="s">
        <v>1855</v>
      </c>
      <c r="L1770" s="2" t="s">
        <v>338</v>
      </c>
      <c r="M1770" s="2" t="str">
        <f t="shared" si="30"/>
        <v>11</v>
      </c>
      <c r="N1770" s="2" t="s">
        <v>1052</v>
      </c>
      <c r="O1770" s="2" t="s">
        <v>4373</v>
      </c>
      <c r="P1770" s="2" t="s">
        <v>4381</v>
      </c>
    </row>
    <row r="1771" spans="1:16">
      <c r="A1771" s="4">
        <v>46246.288101851853</v>
      </c>
      <c r="B1771" s="2" t="s">
        <v>3983</v>
      </c>
      <c r="C1771" s="2" t="s">
        <v>3441</v>
      </c>
      <c r="D1771" s="2" t="s">
        <v>3513</v>
      </c>
      <c r="E1771" s="2">
        <v>12</v>
      </c>
      <c r="F1771" s="2"/>
      <c r="G1771" s="2">
        <v>12</v>
      </c>
      <c r="H1771" s="2" t="s">
        <v>693</v>
      </c>
      <c r="I1771" s="2" t="s">
        <v>695</v>
      </c>
      <c r="J1771" s="2" t="s">
        <v>2537</v>
      </c>
      <c r="K1771" s="2" t="s">
        <v>1855</v>
      </c>
      <c r="L1771" s="2" t="s">
        <v>338</v>
      </c>
      <c r="M1771" s="2" t="str">
        <f t="shared" si="30"/>
        <v>11</v>
      </c>
      <c r="N1771" s="2" t="s">
        <v>1898</v>
      </c>
      <c r="O1771" s="2" t="s">
        <v>4373</v>
      </c>
      <c r="P1771" s="2" t="s">
        <v>4381</v>
      </c>
    </row>
    <row r="1772" spans="1:16">
      <c r="A1772" s="4">
        <v>46246.287858796299</v>
      </c>
      <c r="B1772" s="2" t="s">
        <v>2637</v>
      </c>
      <c r="C1772" s="2" t="s">
        <v>3441</v>
      </c>
      <c r="D1772" s="2" t="s">
        <v>3513</v>
      </c>
      <c r="E1772" s="2">
        <v>12</v>
      </c>
      <c r="F1772" s="2"/>
      <c r="G1772" s="2">
        <v>12</v>
      </c>
      <c r="H1772" s="2" t="s">
        <v>693</v>
      </c>
      <c r="I1772" s="2" t="s">
        <v>695</v>
      </c>
      <c r="J1772" s="2" t="s">
        <v>2537</v>
      </c>
      <c r="K1772" s="2" t="s">
        <v>1855</v>
      </c>
      <c r="L1772" s="2" t="s">
        <v>338</v>
      </c>
      <c r="M1772" s="2" t="str">
        <f t="shared" si="30"/>
        <v>11</v>
      </c>
      <c r="N1772" s="2" t="s">
        <v>1074</v>
      </c>
      <c r="O1772" s="2" t="s">
        <v>4373</v>
      </c>
      <c r="P1772" s="2" t="s">
        <v>4381</v>
      </c>
    </row>
    <row r="1773" spans="1:16">
      <c r="A1773" s="4">
        <v>46246.287824074076</v>
      </c>
      <c r="B1773" s="2" t="s">
        <v>1295</v>
      </c>
      <c r="C1773" s="2" t="s">
        <v>3441</v>
      </c>
      <c r="D1773" s="2" t="s">
        <v>3513</v>
      </c>
      <c r="E1773" s="2">
        <v>12</v>
      </c>
      <c r="F1773" s="2"/>
      <c r="G1773" s="2">
        <v>12</v>
      </c>
      <c r="H1773" s="2" t="s">
        <v>693</v>
      </c>
      <c r="I1773" s="2" t="s">
        <v>695</v>
      </c>
      <c r="J1773" s="2" t="s">
        <v>2537</v>
      </c>
      <c r="K1773" s="2" t="s">
        <v>1855</v>
      </c>
      <c r="L1773" s="2" t="s">
        <v>338</v>
      </c>
      <c r="M1773" s="2" t="str">
        <f t="shared" si="30"/>
        <v>11</v>
      </c>
      <c r="N1773" s="2" t="s">
        <v>203</v>
      </c>
      <c r="O1773" s="2" t="s">
        <v>4373</v>
      </c>
      <c r="P1773" s="2" t="s">
        <v>4381</v>
      </c>
    </row>
    <row r="1774" spans="1:16">
      <c r="A1774" s="4">
        <v>46246.286840277775</v>
      </c>
      <c r="B1774" s="2" t="s">
        <v>3142</v>
      </c>
      <c r="C1774" s="2" t="s">
        <v>3441</v>
      </c>
      <c r="D1774" s="2" t="s">
        <v>3513</v>
      </c>
      <c r="E1774" s="2">
        <v>12</v>
      </c>
      <c r="F1774" s="2"/>
      <c r="G1774" s="2">
        <v>12</v>
      </c>
      <c r="H1774" s="2" t="s">
        <v>693</v>
      </c>
      <c r="I1774" s="2" t="s">
        <v>695</v>
      </c>
      <c r="J1774" s="2" t="s">
        <v>2537</v>
      </c>
      <c r="K1774" s="2" t="s">
        <v>1855</v>
      </c>
      <c r="L1774" s="2" t="s">
        <v>338</v>
      </c>
      <c r="M1774" s="2" t="str">
        <f t="shared" si="30"/>
        <v>11</v>
      </c>
      <c r="N1774" s="2" t="s">
        <v>1451</v>
      </c>
      <c r="O1774" s="2" t="s">
        <v>4373</v>
      </c>
      <c r="P1774" s="2" t="s">
        <v>4381</v>
      </c>
    </row>
    <row r="1775" spans="1:16">
      <c r="A1775" s="4">
        <v>46246.286527777775</v>
      </c>
      <c r="B1775" s="2" t="s">
        <v>3063</v>
      </c>
      <c r="C1775" s="2" t="s">
        <v>3441</v>
      </c>
      <c r="D1775" s="2" t="s">
        <v>3513</v>
      </c>
      <c r="E1775" s="2">
        <v>12</v>
      </c>
      <c r="F1775" s="2"/>
      <c r="G1775" s="2">
        <v>12</v>
      </c>
      <c r="H1775" s="2" t="s">
        <v>693</v>
      </c>
      <c r="I1775" s="2" t="s">
        <v>695</v>
      </c>
      <c r="J1775" s="2" t="s">
        <v>2537</v>
      </c>
      <c r="K1775" s="2" t="s">
        <v>1855</v>
      </c>
      <c r="L1775" s="2" t="s">
        <v>338</v>
      </c>
      <c r="M1775" s="2" t="str">
        <f t="shared" si="30"/>
        <v>11</v>
      </c>
      <c r="N1775" s="2" t="s">
        <v>1390</v>
      </c>
      <c r="O1775" s="2" t="s">
        <v>4373</v>
      </c>
      <c r="P1775" s="2" t="s">
        <v>4381</v>
      </c>
    </row>
    <row r="1776" spans="1:16">
      <c r="A1776" s="4">
        <v>46246.286493055559</v>
      </c>
      <c r="B1776" s="2" t="s">
        <v>4006</v>
      </c>
      <c r="C1776" s="2" t="s">
        <v>3441</v>
      </c>
      <c r="D1776" s="2" t="s">
        <v>3513</v>
      </c>
      <c r="E1776" s="2">
        <v>12</v>
      </c>
      <c r="F1776" s="2"/>
      <c r="G1776" s="2">
        <v>12</v>
      </c>
      <c r="H1776" s="2" t="s">
        <v>693</v>
      </c>
      <c r="I1776" s="2" t="s">
        <v>695</v>
      </c>
      <c r="J1776" s="2" t="s">
        <v>2537</v>
      </c>
      <c r="K1776" s="2" t="s">
        <v>1855</v>
      </c>
      <c r="L1776" s="2" t="s">
        <v>338</v>
      </c>
      <c r="M1776" s="2" t="str">
        <f t="shared" si="30"/>
        <v>11</v>
      </c>
      <c r="N1776" s="2" t="s">
        <v>2955</v>
      </c>
      <c r="O1776" s="2" t="s">
        <v>4373</v>
      </c>
      <c r="P1776" s="2" t="s">
        <v>4381</v>
      </c>
    </row>
    <row r="1777" spans="1:16">
      <c r="A1777" s="4">
        <v>46246.285300925927</v>
      </c>
      <c r="B1777" s="2" t="s">
        <v>1397</v>
      </c>
      <c r="C1777" s="2" t="s">
        <v>3441</v>
      </c>
      <c r="D1777" s="2" t="s">
        <v>3513</v>
      </c>
      <c r="E1777" s="2">
        <v>12</v>
      </c>
      <c r="F1777" s="2"/>
      <c r="G1777" s="2">
        <v>12</v>
      </c>
      <c r="H1777" s="2" t="s">
        <v>693</v>
      </c>
      <c r="I1777" s="2" t="s">
        <v>695</v>
      </c>
      <c r="J1777" s="2" t="s">
        <v>2537</v>
      </c>
      <c r="K1777" s="2" t="s">
        <v>1855</v>
      </c>
      <c r="L1777" s="2" t="s">
        <v>338</v>
      </c>
      <c r="M1777" s="2" t="str">
        <f t="shared" si="30"/>
        <v>11</v>
      </c>
      <c r="N1777" s="2" t="s">
        <v>1830</v>
      </c>
      <c r="O1777" s="2" t="s">
        <v>4373</v>
      </c>
      <c r="P1777" s="2" t="s">
        <v>4381</v>
      </c>
    </row>
    <row r="1778" spans="1:16">
      <c r="A1778" s="4">
        <v>46246.285162037035</v>
      </c>
      <c r="B1778" s="2" t="s">
        <v>1083</v>
      </c>
      <c r="C1778" s="2" t="s">
        <v>3441</v>
      </c>
      <c r="D1778" s="2" t="s">
        <v>3513</v>
      </c>
      <c r="E1778" s="2">
        <v>12</v>
      </c>
      <c r="F1778" s="2"/>
      <c r="G1778" s="2">
        <v>12</v>
      </c>
      <c r="H1778" s="2" t="s">
        <v>693</v>
      </c>
      <c r="I1778" s="2" t="s">
        <v>695</v>
      </c>
      <c r="J1778" s="2" t="s">
        <v>2537</v>
      </c>
      <c r="K1778" s="2" t="s">
        <v>1855</v>
      </c>
      <c r="L1778" s="2" t="s">
        <v>338</v>
      </c>
      <c r="M1778" s="2" t="str">
        <f t="shared" si="30"/>
        <v>11</v>
      </c>
      <c r="N1778" s="2" t="s">
        <v>2314</v>
      </c>
      <c r="O1778" s="2" t="s">
        <v>4373</v>
      </c>
      <c r="P1778" s="2" t="s">
        <v>4381</v>
      </c>
    </row>
    <row r="1779" spans="1:16">
      <c r="A1779" s="4">
        <v>46246.285046296296</v>
      </c>
      <c r="B1779" s="2" t="s">
        <v>2862</v>
      </c>
      <c r="C1779" s="2" t="s">
        <v>3441</v>
      </c>
      <c r="D1779" s="2" t="s">
        <v>3513</v>
      </c>
      <c r="E1779" s="2">
        <v>12</v>
      </c>
      <c r="F1779" s="2"/>
      <c r="G1779" s="2">
        <v>12</v>
      </c>
      <c r="H1779" s="2" t="s">
        <v>693</v>
      </c>
      <c r="I1779" s="2" t="s">
        <v>695</v>
      </c>
      <c r="J1779" s="2" t="s">
        <v>2537</v>
      </c>
      <c r="K1779" s="2" t="s">
        <v>1855</v>
      </c>
      <c r="L1779" s="2" t="s">
        <v>338</v>
      </c>
      <c r="M1779" s="2" t="str">
        <f t="shared" si="30"/>
        <v>11</v>
      </c>
      <c r="N1779" s="2" t="s">
        <v>1856</v>
      </c>
      <c r="O1779" s="2" t="s">
        <v>4373</v>
      </c>
      <c r="P1779" s="2" t="s">
        <v>4381</v>
      </c>
    </row>
    <row r="1780" spans="1:16">
      <c r="A1780" s="4">
        <v>46246.28402777778</v>
      </c>
      <c r="B1780" s="2" t="s">
        <v>119</v>
      </c>
      <c r="C1780" s="2" t="s">
        <v>3441</v>
      </c>
      <c r="D1780" s="2" t="s">
        <v>3513</v>
      </c>
      <c r="E1780" s="2">
        <v>12</v>
      </c>
      <c r="F1780" s="2"/>
      <c r="G1780" s="2">
        <v>12</v>
      </c>
      <c r="H1780" s="2" t="s">
        <v>693</v>
      </c>
      <c r="I1780" s="2" t="s">
        <v>695</v>
      </c>
      <c r="J1780" s="2" t="s">
        <v>2537</v>
      </c>
      <c r="K1780" s="2" t="s">
        <v>1855</v>
      </c>
      <c r="L1780" s="2" t="s">
        <v>338</v>
      </c>
      <c r="M1780" s="2" t="str">
        <f t="shared" si="30"/>
        <v>11</v>
      </c>
      <c r="N1780" s="2" t="s">
        <v>209</v>
      </c>
      <c r="O1780" s="2" t="s">
        <v>4373</v>
      </c>
      <c r="P1780" s="2" t="s">
        <v>4381</v>
      </c>
    </row>
    <row r="1781" spans="1:16">
      <c r="A1781" s="4">
        <v>46246.283912037034</v>
      </c>
      <c r="B1781" s="2" t="s">
        <v>4039</v>
      </c>
      <c r="C1781" s="2" t="s">
        <v>3441</v>
      </c>
      <c r="D1781" s="2" t="s">
        <v>3513</v>
      </c>
      <c r="E1781" s="2">
        <v>12</v>
      </c>
      <c r="F1781" s="2"/>
      <c r="G1781" s="2">
        <v>12</v>
      </c>
      <c r="H1781" s="2" t="s">
        <v>693</v>
      </c>
      <c r="I1781" s="2" t="s">
        <v>695</v>
      </c>
      <c r="J1781" s="2" t="s">
        <v>2537</v>
      </c>
      <c r="K1781" s="2" t="s">
        <v>1855</v>
      </c>
      <c r="L1781" s="2" t="s">
        <v>338</v>
      </c>
      <c r="M1781" s="2" t="str">
        <f t="shared" si="30"/>
        <v>11</v>
      </c>
      <c r="N1781" s="2" t="s">
        <v>4323</v>
      </c>
      <c r="O1781" s="2" t="s">
        <v>4373</v>
      </c>
      <c r="P1781" s="2" t="s">
        <v>4381</v>
      </c>
    </row>
    <row r="1782" spans="1:16">
      <c r="A1782" s="4">
        <v>46246.283773148149</v>
      </c>
      <c r="B1782" s="2" t="s">
        <v>3922</v>
      </c>
      <c r="C1782" s="2" t="s">
        <v>3441</v>
      </c>
      <c r="D1782" s="2" t="s">
        <v>3513</v>
      </c>
      <c r="E1782" s="2">
        <v>12</v>
      </c>
      <c r="F1782" s="2"/>
      <c r="G1782" s="2">
        <v>12</v>
      </c>
      <c r="H1782" s="2" t="s">
        <v>693</v>
      </c>
      <c r="I1782" s="2" t="s">
        <v>695</v>
      </c>
      <c r="J1782" s="2" t="s">
        <v>2537</v>
      </c>
      <c r="K1782" s="2" t="s">
        <v>1855</v>
      </c>
      <c r="L1782" s="2" t="s">
        <v>338</v>
      </c>
      <c r="M1782" s="2" t="str">
        <f t="shared" si="30"/>
        <v>11</v>
      </c>
      <c r="N1782" s="2" t="s">
        <v>3035</v>
      </c>
      <c r="O1782" s="2" t="s">
        <v>4373</v>
      </c>
      <c r="P1782" s="2" t="s">
        <v>4381</v>
      </c>
    </row>
    <row r="1783" spans="1:16">
      <c r="A1783" s="4">
        <v>46246.282696759263</v>
      </c>
      <c r="B1783" s="2" t="s">
        <v>3591</v>
      </c>
      <c r="C1783" s="2" t="s">
        <v>3441</v>
      </c>
      <c r="D1783" s="2" t="s">
        <v>3513</v>
      </c>
      <c r="E1783" s="2">
        <v>12</v>
      </c>
      <c r="F1783" s="2"/>
      <c r="G1783" s="2">
        <v>12</v>
      </c>
      <c r="H1783" s="2" t="s">
        <v>693</v>
      </c>
      <c r="I1783" s="2" t="s">
        <v>695</v>
      </c>
      <c r="J1783" s="2" t="s">
        <v>2537</v>
      </c>
      <c r="K1783" s="2" t="s">
        <v>1855</v>
      </c>
      <c r="L1783" s="2" t="s">
        <v>338</v>
      </c>
      <c r="M1783" s="2" t="str">
        <f t="shared" si="30"/>
        <v>11</v>
      </c>
      <c r="N1783" s="2" t="s">
        <v>3024</v>
      </c>
      <c r="O1783" s="2" t="s">
        <v>4373</v>
      </c>
      <c r="P1783" s="2" t="s">
        <v>4381</v>
      </c>
    </row>
    <row r="1784" spans="1:16">
      <c r="A1784" s="4">
        <v>46246.282407407409</v>
      </c>
      <c r="B1784" s="2" t="s">
        <v>2102</v>
      </c>
      <c r="C1784" s="2" t="s">
        <v>3441</v>
      </c>
      <c r="D1784" s="2" t="s">
        <v>3513</v>
      </c>
      <c r="E1784" s="2">
        <v>12</v>
      </c>
      <c r="F1784" s="2"/>
      <c r="G1784" s="2">
        <v>12</v>
      </c>
      <c r="H1784" s="2" t="s">
        <v>693</v>
      </c>
      <c r="I1784" s="2" t="s">
        <v>695</v>
      </c>
      <c r="J1784" s="2" t="s">
        <v>2537</v>
      </c>
      <c r="K1784" s="2" t="s">
        <v>1855</v>
      </c>
      <c r="L1784" s="2" t="s">
        <v>338</v>
      </c>
      <c r="M1784" s="2" t="str">
        <f t="shared" si="30"/>
        <v>11</v>
      </c>
      <c r="N1784" s="2" t="s">
        <v>3990</v>
      </c>
      <c r="O1784" s="2" t="s">
        <v>4373</v>
      </c>
      <c r="P1784" s="2" t="s">
        <v>4381</v>
      </c>
    </row>
    <row r="1785" spans="1:16">
      <c r="A1785" s="4">
        <v>46246.282395833332</v>
      </c>
      <c r="B1785" s="2" t="s">
        <v>2973</v>
      </c>
      <c r="C1785" s="2" t="s">
        <v>3441</v>
      </c>
      <c r="D1785" s="2" t="s">
        <v>3513</v>
      </c>
      <c r="E1785" s="2">
        <v>12</v>
      </c>
      <c r="F1785" s="2"/>
      <c r="G1785" s="2">
        <v>12</v>
      </c>
      <c r="H1785" s="2" t="s">
        <v>693</v>
      </c>
      <c r="I1785" s="2" t="s">
        <v>695</v>
      </c>
      <c r="J1785" s="2" t="s">
        <v>2537</v>
      </c>
      <c r="K1785" s="2" t="s">
        <v>1855</v>
      </c>
      <c r="L1785" s="2" t="s">
        <v>338</v>
      </c>
      <c r="M1785" s="2" t="str">
        <f t="shared" si="30"/>
        <v>11</v>
      </c>
      <c r="N1785" s="2" t="s">
        <v>1746</v>
      </c>
      <c r="O1785" s="2" t="s">
        <v>4373</v>
      </c>
      <c r="P1785" s="2" t="s">
        <v>4381</v>
      </c>
    </row>
    <row r="1786" spans="1:16">
      <c r="A1786" s="4">
        <v>46246.281377314815</v>
      </c>
      <c r="B1786" s="2" t="s">
        <v>1861</v>
      </c>
      <c r="C1786" s="2" t="s">
        <v>3441</v>
      </c>
      <c r="D1786" s="2" t="s">
        <v>3513</v>
      </c>
      <c r="E1786" s="2">
        <v>12</v>
      </c>
      <c r="F1786" s="2"/>
      <c r="G1786" s="2">
        <v>12</v>
      </c>
      <c r="H1786" s="2" t="s">
        <v>693</v>
      </c>
      <c r="I1786" s="2" t="s">
        <v>695</v>
      </c>
      <c r="J1786" s="2" t="s">
        <v>2537</v>
      </c>
      <c r="K1786" s="2" t="s">
        <v>1855</v>
      </c>
      <c r="L1786" s="2" t="s">
        <v>338</v>
      </c>
      <c r="M1786" s="2" t="str">
        <f t="shared" si="30"/>
        <v>11</v>
      </c>
      <c r="N1786" s="2" t="s">
        <v>3346</v>
      </c>
      <c r="O1786" s="2" t="s">
        <v>4373</v>
      </c>
      <c r="P1786" s="2" t="s">
        <v>4381</v>
      </c>
    </row>
    <row r="1787" spans="1:16">
      <c r="A1787" s="4">
        <v>46246.281354166669</v>
      </c>
      <c r="B1787" s="2" t="s">
        <v>4153</v>
      </c>
      <c r="C1787" s="2" t="s">
        <v>3441</v>
      </c>
      <c r="D1787" s="2" t="s">
        <v>3513</v>
      </c>
      <c r="E1787" s="2">
        <v>12</v>
      </c>
      <c r="F1787" s="2"/>
      <c r="G1787" s="2">
        <v>12</v>
      </c>
      <c r="H1787" s="2" t="s">
        <v>693</v>
      </c>
      <c r="I1787" s="2" t="s">
        <v>695</v>
      </c>
      <c r="J1787" s="2" t="s">
        <v>2537</v>
      </c>
      <c r="K1787" s="2" t="s">
        <v>1855</v>
      </c>
      <c r="L1787" s="2" t="s">
        <v>338</v>
      </c>
      <c r="M1787" s="2" t="str">
        <f t="shared" si="30"/>
        <v>11</v>
      </c>
      <c r="N1787" s="2" t="s">
        <v>2927</v>
      </c>
      <c r="O1787" s="2" t="s">
        <v>4373</v>
      </c>
      <c r="P1787" s="2" t="s">
        <v>4381</v>
      </c>
    </row>
    <row r="1788" spans="1:16">
      <c r="A1788" s="4">
        <v>46246.281192129631</v>
      </c>
      <c r="B1788" s="2" t="s">
        <v>1380</v>
      </c>
      <c r="C1788" s="2" t="s">
        <v>3441</v>
      </c>
      <c r="D1788" s="2" t="s">
        <v>3513</v>
      </c>
      <c r="E1788" s="2">
        <v>12</v>
      </c>
      <c r="F1788" s="2"/>
      <c r="G1788" s="2">
        <v>12</v>
      </c>
      <c r="H1788" s="2" t="s">
        <v>693</v>
      </c>
      <c r="I1788" s="2" t="s">
        <v>695</v>
      </c>
      <c r="J1788" s="2" t="s">
        <v>2537</v>
      </c>
      <c r="K1788" s="2" t="s">
        <v>1855</v>
      </c>
      <c r="L1788" s="2" t="s">
        <v>338</v>
      </c>
      <c r="M1788" s="2" t="str">
        <f t="shared" si="30"/>
        <v>11</v>
      </c>
      <c r="N1788" s="2" t="s">
        <v>1362</v>
      </c>
      <c r="O1788" s="2" t="s">
        <v>4373</v>
      </c>
      <c r="P1788" s="2" t="s">
        <v>4381</v>
      </c>
    </row>
    <row r="1789" spans="1:16">
      <c r="A1789" s="4">
        <v>46246.279953703706</v>
      </c>
      <c r="B1789" s="2" t="s">
        <v>1096</v>
      </c>
      <c r="C1789" s="2" t="s">
        <v>3441</v>
      </c>
      <c r="D1789" s="2" t="s">
        <v>3513</v>
      </c>
      <c r="E1789" s="2">
        <v>12</v>
      </c>
      <c r="F1789" s="2"/>
      <c r="G1789" s="2">
        <v>12</v>
      </c>
      <c r="H1789" s="2" t="s">
        <v>693</v>
      </c>
      <c r="I1789" s="2" t="s">
        <v>695</v>
      </c>
      <c r="J1789" s="2" t="s">
        <v>2537</v>
      </c>
      <c r="K1789" s="2" t="s">
        <v>1855</v>
      </c>
      <c r="L1789" s="2" t="s">
        <v>338</v>
      </c>
      <c r="M1789" s="2" t="str">
        <f t="shared" si="30"/>
        <v>11</v>
      </c>
      <c r="N1789" s="2" t="s">
        <v>2539</v>
      </c>
      <c r="O1789" s="2" t="s">
        <v>4373</v>
      </c>
      <c r="P1789" s="2" t="s">
        <v>4381</v>
      </c>
    </row>
    <row r="1790" spans="1:16">
      <c r="A1790" s="4">
        <v>46246.279756944445</v>
      </c>
      <c r="B1790" s="2" t="s">
        <v>2840</v>
      </c>
      <c r="C1790" s="2" t="s">
        <v>3441</v>
      </c>
      <c r="D1790" s="2" t="s">
        <v>3513</v>
      </c>
      <c r="E1790" s="2">
        <v>12</v>
      </c>
      <c r="F1790" s="2"/>
      <c r="G1790" s="2">
        <v>12</v>
      </c>
      <c r="H1790" s="2" t="s">
        <v>693</v>
      </c>
      <c r="I1790" s="2" t="s">
        <v>695</v>
      </c>
      <c r="J1790" s="2" t="s">
        <v>2537</v>
      </c>
      <c r="K1790" s="2" t="s">
        <v>1855</v>
      </c>
      <c r="L1790" s="2" t="s">
        <v>338</v>
      </c>
      <c r="M1790" s="2" t="str">
        <f t="shared" si="30"/>
        <v>11</v>
      </c>
      <c r="N1790" s="2" t="s">
        <v>4090</v>
      </c>
      <c r="O1790" s="2" t="s">
        <v>4373</v>
      </c>
      <c r="P1790" s="2" t="s">
        <v>4381</v>
      </c>
    </row>
    <row r="1791" spans="1:16">
      <c r="A1791" s="4">
        <v>46246.279664351852</v>
      </c>
      <c r="B1791" s="2" t="s">
        <v>1291</v>
      </c>
      <c r="C1791" s="2" t="s">
        <v>3441</v>
      </c>
      <c r="D1791" s="2" t="s">
        <v>3513</v>
      </c>
      <c r="E1791" s="2">
        <v>12</v>
      </c>
      <c r="F1791" s="2"/>
      <c r="G1791" s="2">
        <v>12</v>
      </c>
      <c r="H1791" s="2" t="s">
        <v>693</v>
      </c>
      <c r="I1791" s="2" t="s">
        <v>695</v>
      </c>
      <c r="J1791" s="2" t="s">
        <v>2537</v>
      </c>
      <c r="K1791" s="2" t="s">
        <v>1855</v>
      </c>
      <c r="L1791" s="2" t="s">
        <v>338</v>
      </c>
      <c r="M1791" s="2" t="str">
        <f t="shared" si="30"/>
        <v>11</v>
      </c>
      <c r="N1791" s="2" t="s">
        <v>3000</v>
      </c>
      <c r="O1791" s="2" t="s">
        <v>4373</v>
      </c>
      <c r="P1791" s="2" t="s">
        <v>4381</v>
      </c>
    </row>
    <row r="1792" spans="1:16">
      <c r="A1792" s="4">
        <v>46246.278773148151</v>
      </c>
      <c r="B1792" s="2" t="s">
        <v>3316</v>
      </c>
      <c r="C1792" s="2" t="s">
        <v>3441</v>
      </c>
      <c r="D1792" s="2" t="s">
        <v>3513</v>
      </c>
      <c r="E1792" s="2">
        <v>12</v>
      </c>
      <c r="F1792" s="2"/>
      <c r="G1792" s="2">
        <v>12</v>
      </c>
      <c r="H1792" s="2" t="s">
        <v>693</v>
      </c>
      <c r="I1792" s="2" t="s">
        <v>695</v>
      </c>
      <c r="J1792" s="2" t="s">
        <v>2537</v>
      </c>
      <c r="K1792" s="2" t="s">
        <v>1855</v>
      </c>
      <c r="L1792" s="2" t="s">
        <v>338</v>
      </c>
      <c r="M1792" s="2" t="str">
        <f t="shared" si="30"/>
        <v>11</v>
      </c>
      <c r="N1792" s="2" t="s">
        <v>238</v>
      </c>
      <c r="O1792" s="2" t="s">
        <v>4373</v>
      </c>
      <c r="P1792" s="2" t="s">
        <v>4381</v>
      </c>
    </row>
    <row r="1793" spans="1:16">
      <c r="A1793" s="4">
        <v>46246.278611111113</v>
      </c>
      <c r="B1793" s="2" t="s">
        <v>358</v>
      </c>
      <c r="C1793" s="2" t="s">
        <v>3441</v>
      </c>
      <c r="D1793" s="2" t="s">
        <v>3513</v>
      </c>
      <c r="E1793" s="2">
        <v>12</v>
      </c>
      <c r="F1793" s="2"/>
      <c r="G1793" s="2">
        <v>12</v>
      </c>
      <c r="H1793" s="2" t="s">
        <v>693</v>
      </c>
      <c r="I1793" s="2" t="s">
        <v>695</v>
      </c>
      <c r="J1793" s="2" t="s">
        <v>2537</v>
      </c>
      <c r="K1793" s="2" t="s">
        <v>1855</v>
      </c>
      <c r="L1793" s="2" t="s">
        <v>338</v>
      </c>
      <c r="M1793" s="2" t="str">
        <f t="shared" si="30"/>
        <v>11</v>
      </c>
      <c r="N1793" s="2" t="s">
        <v>3992</v>
      </c>
      <c r="O1793" s="2" t="s">
        <v>4373</v>
      </c>
      <c r="P1793" s="2" t="s">
        <v>4381</v>
      </c>
    </row>
    <row r="1794" spans="1:16">
      <c r="A1794" s="4">
        <v>46246.27851851852</v>
      </c>
      <c r="B1794" s="2" t="s">
        <v>2574</v>
      </c>
      <c r="C1794" s="2" t="s">
        <v>3441</v>
      </c>
      <c r="D1794" s="2" t="s">
        <v>3513</v>
      </c>
      <c r="E1794" s="2">
        <v>12</v>
      </c>
      <c r="F1794" s="2"/>
      <c r="G1794" s="2">
        <v>12</v>
      </c>
      <c r="H1794" s="2" t="s">
        <v>693</v>
      </c>
      <c r="I1794" s="2" t="s">
        <v>695</v>
      </c>
      <c r="J1794" s="2" t="s">
        <v>2537</v>
      </c>
      <c r="K1794" s="2" t="s">
        <v>1855</v>
      </c>
      <c r="L1794" s="2" t="s">
        <v>338</v>
      </c>
      <c r="M1794" s="2" t="str">
        <f t="shared" ref="M1794:M1857" si="31">RIGHT(L1794,2)</f>
        <v>11</v>
      </c>
      <c r="N1794" s="2" t="s">
        <v>1629</v>
      </c>
      <c r="O1794" s="2" t="s">
        <v>4373</v>
      </c>
      <c r="P1794" s="2" t="s">
        <v>4381</v>
      </c>
    </row>
    <row r="1795" spans="1:16">
      <c r="A1795" s="4">
        <v>46244.409409722219</v>
      </c>
      <c r="B1795" s="2" t="s">
        <v>3301</v>
      </c>
      <c r="C1795" s="2" t="s">
        <v>3441</v>
      </c>
      <c r="D1795" s="2" t="s">
        <v>3513</v>
      </c>
      <c r="E1795" s="2">
        <v>12</v>
      </c>
      <c r="F1795" s="2"/>
      <c r="G1795" s="2">
        <v>12</v>
      </c>
      <c r="H1795" s="2" t="s">
        <v>4325</v>
      </c>
      <c r="I1795" s="2" t="s">
        <v>695</v>
      </c>
      <c r="J1795" s="2" t="s">
        <v>2537</v>
      </c>
      <c r="K1795" s="2" t="s">
        <v>1855</v>
      </c>
      <c r="L1795" s="2" t="s">
        <v>844</v>
      </c>
      <c r="M1795" s="2" t="str">
        <f t="shared" si="31"/>
        <v>01</v>
      </c>
      <c r="N1795" s="2" t="s">
        <v>1450</v>
      </c>
      <c r="O1795" s="2" t="s">
        <v>4373</v>
      </c>
      <c r="P1795" s="2" t="s">
        <v>4375</v>
      </c>
    </row>
    <row r="1796" spans="1:16">
      <c r="A1796" s="4">
        <v>46244.408043981479</v>
      </c>
      <c r="B1796" s="2" t="s">
        <v>2352</v>
      </c>
      <c r="C1796" s="2" t="s">
        <v>3441</v>
      </c>
      <c r="D1796" s="2" t="s">
        <v>3513</v>
      </c>
      <c r="E1796" s="2">
        <v>12</v>
      </c>
      <c r="F1796" s="2"/>
      <c r="G1796" s="2">
        <v>12</v>
      </c>
      <c r="H1796" s="2" t="s">
        <v>4325</v>
      </c>
      <c r="I1796" s="2" t="s">
        <v>695</v>
      </c>
      <c r="J1796" s="2" t="s">
        <v>2537</v>
      </c>
      <c r="K1796" s="2" t="s">
        <v>2705</v>
      </c>
      <c r="L1796" s="2" t="s">
        <v>844</v>
      </c>
      <c r="M1796" s="2" t="str">
        <f t="shared" si="31"/>
        <v>01</v>
      </c>
      <c r="N1796" s="2" t="s">
        <v>677</v>
      </c>
      <c r="O1796" s="2" t="s">
        <v>4373</v>
      </c>
      <c r="P1796" s="2" t="s">
        <v>4375</v>
      </c>
    </row>
    <row r="1797" spans="1:16">
      <c r="A1797" s="4">
        <v>46244.40185185185</v>
      </c>
      <c r="B1797" s="2" t="s">
        <v>144</v>
      </c>
      <c r="C1797" s="2" t="s">
        <v>3441</v>
      </c>
      <c r="D1797" s="2" t="s">
        <v>3513</v>
      </c>
      <c r="E1797" s="2">
        <v>6</v>
      </c>
      <c r="F1797" s="2"/>
      <c r="G1797" s="2">
        <v>6</v>
      </c>
      <c r="H1797" s="2" t="s">
        <v>4325</v>
      </c>
      <c r="I1797" s="2" t="s">
        <v>695</v>
      </c>
      <c r="J1797" s="2" t="s">
        <v>2537</v>
      </c>
      <c r="K1797" s="2" t="s">
        <v>1855</v>
      </c>
      <c r="L1797" s="2" t="s">
        <v>3386</v>
      </c>
      <c r="M1797" s="2" t="str">
        <f t="shared" si="31"/>
        <v>13</v>
      </c>
      <c r="N1797" s="2" t="s">
        <v>3158</v>
      </c>
      <c r="O1797" s="2" t="s">
        <v>4373</v>
      </c>
      <c r="P1797" s="2" t="s">
        <v>4375</v>
      </c>
    </row>
    <row r="1798" spans="1:16">
      <c r="A1798" s="4">
        <v>46244.401562500003</v>
      </c>
      <c r="B1798" s="2" t="s">
        <v>3348</v>
      </c>
      <c r="C1798" s="2" t="s">
        <v>3441</v>
      </c>
      <c r="D1798" s="2" t="s">
        <v>3513</v>
      </c>
      <c r="E1798" s="2">
        <v>12</v>
      </c>
      <c r="F1798" s="2"/>
      <c r="G1798" s="2">
        <v>12</v>
      </c>
      <c r="H1798" s="2" t="s">
        <v>4325</v>
      </c>
      <c r="I1798" s="2" t="s">
        <v>695</v>
      </c>
      <c r="J1798" s="2" t="s">
        <v>2537</v>
      </c>
      <c r="K1798" s="2" t="s">
        <v>1855</v>
      </c>
      <c r="L1798" s="2" t="s">
        <v>3386</v>
      </c>
      <c r="M1798" s="2" t="str">
        <f t="shared" si="31"/>
        <v>13</v>
      </c>
      <c r="N1798" s="2" t="s">
        <v>3706</v>
      </c>
      <c r="O1798" s="2" t="s">
        <v>4373</v>
      </c>
      <c r="P1798" s="2" t="s">
        <v>4375</v>
      </c>
    </row>
    <row r="1799" spans="1:16">
      <c r="A1799" s="4">
        <v>46244.401377314818</v>
      </c>
      <c r="B1799" s="2" t="s">
        <v>1301</v>
      </c>
      <c r="C1799" s="2" t="s">
        <v>3441</v>
      </c>
      <c r="D1799" s="2" t="s">
        <v>3513</v>
      </c>
      <c r="E1799" s="2">
        <v>12</v>
      </c>
      <c r="F1799" s="2"/>
      <c r="G1799" s="2">
        <v>12</v>
      </c>
      <c r="H1799" s="2" t="s">
        <v>4325</v>
      </c>
      <c r="I1799" s="2" t="s">
        <v>695</v>
      </c>
      <c r="J1799" s="2" t="s">
        <v>2537</v>
      </c>
      <c r="K1799" s="2" t="s">
        <v>1855</v>
      </c>
      <c r="L1799" s="2" t="s">
        <v>3386</v>
      </c>
      <c r="M1799" s="2" t="str">
        <f t="shared" si="31"/>
        <v>13</v>
      </c>
      <c r="N1799" s="2" t="s">
        <v>1851</v>
      </c>
      <c r="O1799" s="2" t="s">
        <v>4373</v>
      </c>
      <c r="P1799" s="2" t="s">
        <v>4375</v>
      </c>
    </row>
    <row r="1800" spans="1:16">
      <c r="A1800" s="4">
        <v>46244.400497685187</v>
      </c>
      <c r="B1800" s="2" t="s">
        <v>397</v>
      </c>
      <c r="C1800" s="2" t="s">
        <v>3441</v>
      </c>
      <c r="D1800" s="2" t="s">
        <v>3513</v>
      </c>
      <c r="E1800" s="2">
        <v>12</v>
      </c>
      <c r="F1800" s="2"/>
      <c r="G1800" s="2">
        <v>12</v>
      </c>
      <c r="H1800" s="2" t="s">
        <v>4325</v>
      </c>
      <c r="I1800" s="2" t="s">
        <v>695</v>
      </c>
      <c r="J1800" s="2" t="s">
        <v>2537</v>
      </c>
      <c r="K1800" s="2" t="s">
        <v>1855</v>
      </c>
      <c r="L1800" s="2" t="s">
        <v>3386</v>
      </c>
      <c r="M1800" s="2" t="str">
        <f t="shared" si="31"/>
        <v>13</v>
      </c>
      <c r="N1800" s="2" t="s">
        <v>1961</v>
      </c>
      <c r="O1800" s="2" t="s">
        <v>4373</v>
      </c>
      <c r="P1800" s="2" t="s">
        <v>4375</v>
      </c>
    </row>
    <row r="1801" spans="1:16">
      <c r="A1801" s="4">
        <v>46244.400243055556</v>
      </c>
      <c r="B1801" s="2" t="s">
        <v>2605</v>
      </c>
      <c r="C1801" s="2" t="s">
        <v>3441</v>
      </c>
      <c r="D1801" s="2" t="s">
        <v>3513</v>
      </c>
      <c r="E1801" s="2">
        <v>12</v>
      </c>
      <c r="F1801" s="2"/>
      <c r="G1801" s="2">
        <v>12</v>
      </c>
      <c r="H1801" s="2" t="s">
        <v>4325</v>
      </c>
      <c r="I1801" s="2" t="s">
        <v>695</v>
      </c>
      <c r="J1801" s="2" t="s">
        <v>2537</v>
      </c>
      <c r="K1801" s="2" t="s">
        <v>1855</v>
      </c>
      <c r="L1801" s="2" t="s">
        <v>3386</v>
      </c>
      <c r="M1801" s="2" t="str">
        <f t="shared" si="31"/>
        <v>13</v>
      </c>
      <c r="N1801" s="2" t="s">
        <v>1928</v>
      </c>
      <c r="O1801" s="2" t="s">
        <v>4373</v>
      </c>
      <c r="P1801" s="2" t="s">
        <v>4375</v>
      </c>
    </row>
    <row r="1802" spans="1:16">
      <c r="A1802" s="4">
        <v>46244.399513888886</v>
      </c>
      <c r="B1802" s="2" t="s">
        <v>2421</v>
      </c>
      <c r="C1802" s="2" t="s">
        <v>3441</v>
      </c>
      <c r="D1802" s="2" t="s">
        <v>3513</v>
      </c>
      <c r="E1802" s="2">
        <v>12</v>
      </c>
      <c r="F1802" s="2"/>
      <c r="G1802" s="2">
        <v>12</v>
      </c>
      <c r="H1802" s="2" t="s">
        <v>4325</v>
      </c>
      <c r="I1802" s="2" t="s">
        <v>695</v>
      </c>
      <c r="J1802" s="2" t="s">
        <v>2537</v>
      </c>
      <c r="K1802" s="2" t="s">
        <v>1855</v>
      </c>
      <c r="L1802" s="2" t="s">
        <v>3386</v>
      </c>
      <c r="M1802" s="2" t="str">
        <f t="shared" si="31"/>
        <v>13</v>
      </c>
      <c r="N1802" s="2" t="s">
        <v>294</v>
      </c>
      <c r="O1802" s="2" t="s">
        <v>4373</v>
      </c>
      <c r="P1802" s="2" t="s">
        <v>4375</v>
      </c>
    </row>
    <row r="1803" spans="1:16">
      <c r="A1803" s="4">
        <v>46244.399409722224</v>
      </c>
      <c r="B1803" s="2" t="s">
        <v>3972</v>
      </c>
      <c r="C1803" s="2" t="s">
        <v>3441</v>
      </c>
      <c r="D1803" s="2" t="s">
        <v>3513</v>
      </c>
      <c r="E1803" s="2">
        <v>12</v>
      </c>
      <c r="F1803" s="2"/>
      <c r="G1803" s="2">
        <v>12</v>
      </c>
      <c r="H1803" s="2" t="s">
        <v>4325</v>
      </c>
      <c r="I1803" s="2" t="s">
        <v>695</v>
      </c>
      <c r="J1803" s="2" t="s">
        <v>2537</v>
      </c>
      <c r="K1803" s="2" t="s">
        <v>1855</v>
      </c>
      <c r="L1803" s="2" t="s">
        <v>3386</v>
      </c>
      <c r="M1803" s="2" t="str">
        <f t="shared" si="31"/>
        <v>13</v>
      </c>
      <c r="N1803" s="2" t="s">
        <v>3937</v>
      </c>
      <c r="O1803" s="2" t="s">
        <v>4373</v>
      </c>
      <c r="P1803" s="2" t="s">
        <v>4375</v>
      </c>
    </row>
    <row r="1804" spans="1:16">
      <c r="A1804" s="4">
        <v>46244.3987037037</v>
      </c>
      <c r="B1804" s="2" t="s">
        <v>3392</v>
      </c>
      <c r="C1804" s="2" t="s">
        <v>3441</v>
      </c>
      <c r="D1804" s="2" t="s">
        <v>3513</v>
      </c>
      <c r="E1804" s="2">
        <v>12</v>
      </c>
      <c r="F1804" s="2"/>
      <c r="G1804" s="2">
        <v>12</v>
      </c>
      <c r="H1804" s="2" t="s">
        <v>4325</v>
      </c>
      <c r="I1804" s="2" t="s">
        <v>695</v>
      </c>
      <c r="J1804" s="2" t="s">
        <v>2537</v>
      </c>
      <c r="K1804" s="2" t="s">
        <v>1855</v>
      </c>
      <c r="L1804" s="2" t="s">
        <v>3386</v>
      </c>
      <c r="M1804" s="2" t="str">
        <f t="shared" si="31"/>
        <v>13</v>
      </c>
      <c r="N1804" s="2" t="s">
        <v>1881</v>
      </c>
      <c r="O1804" s="2" t="s">
        <v>4373</v>
      </c>
      <c r="P1804" s="2" t="s">
        <v>4375</v>
      </c>
    </row>
    <row r="1805" spans="1:16">
      <c r="A1805" s="4">
        <v>46244.398634259262</v>
      </c>
      <c r="B1805" s="2" t="s">
        <v>3485</v>
      </c>
      <c r="C1805" s="2" t="s">
        <v>3441</v>
      </c>
      <c r="D1805" s="2" t="s">
        <v>3513</v>
      </c>
      <c r="E1805" s="2">
        <v>12</v>
      </c>
      <c r="F1805" s="2"/>
      <c r="G1805" s="2">
        <v>12</v>
      </c>
      <c r="H1805" s="2" t="s">
        <v>4325</v>
      </c>
      <c r="I1805" s="2" t="s">
        <v>695</v>
      </c>
      <c r="J1805" s="2" t="s">
        <v>2537</v>
      </c>
      <c r="K1805" s="2" t="s">
        <v>1855</v>
      </c>
      <c r="L1805" s="2" t="s">
        <v>3386</v>
      </c>
      <c r="M1805" s="2" t="str">
        <f t="shared" si="31"/>
        <v>13</v>
      </c>
      <c r="N1805" s="2" t="s">
        <v>4021</v>
      </c>
      <c r="O1805" s="2" t="s">
        <v>4373</v>
      </c>
      <c r="P1805" s="2" t="s">
        <v>4375</v>
      </c>
    </row>
    <row r="1806" spans="1:16">
      <c r="A1806" s="4">
        <v>46244.398425925923</v>
      </c>
      <c r="B1806" s="2" t="s">
        <v>3261</v>
      </c>
      <c r="C1806" s="2" t="s">
        <v>3441</v>
      </c>
      <c r="D1806" s="2" t="s">
        <v>3513</v>
      </c>
      <c r="E1806" s="2">
        <v>12</v>
      </c>
      <c r="F1806" s="2"/>
      <c r="G1806" s="2">
        <v>12</v>
      </c>
      <c r="H1806" s="2" t="s">
        <v>4325</v>
      </c>
      <c r="I1806" s="2" t="s">
        <v>695</v>
      </c>
      <c r="J1806" s="2" t="s">
        <v>2537</v>
      </c>
      <c r="K1806" s="2" t="s">
        <v>1855</v>
      </c>
      <c r="L1806" s="2" t="s">
        <v>1188</v>
      </c>
      <c r="M1806" s="2" t="str">
        <f t="shared" si="31"/>
        <v>10</v>
      </c>
      <c r="N1806" s="2" t="s">
        <v>2139</v>
      </c>
      <c r="O1806" s="2" t="s">
        <v>4373</v>
      </c>
      <c r="P1806" s="2" t="s">
        <v>4375</v>
      </c>
    </row>
    <row r="1807" spans="1:16">
      <c r="A1807" s="4">
        <v>46244.398414351854</v>
      </c>
      <c r="B1807" s="2" t="s">
        <v>314</v>
      </c>
      <c r="C1807" s="2" t="s">
        <v>3441</v>
      </c>
      <c r="D1807" s="2" t="s">
        <v>3513</v>
      </c>
      <c r="E1807" s="2">
        <v>12</v>
      </c>
      <c r="F1807" s="2"/>
      <c r="G1807" s="2">
        <v>12</v>
      </c>
      <c r="H1807" s="2" t="s">
        <v>4325</v>
      </c>
      <c r="I1807" s="2" t="s">
        <v>695</v>
      </c>
      <c r="J1807" s="2" t="s">
        <v>2537</v>
      </c>
      <c r="K1807" s="2" t="s">
        <v>1855</v>
      </c>
      <c r="L1807" s="2" t="s">
        <v>3386</v>
      </c>
      <c r="M1807" s="2" t="str">
        <f t="shared" si="31"/>
        <v>13</v>
      </c>
      <c r="N1807" s="2" t="s">
        <v>3082</v>
      </c>
      <c r="O1807" s="2" t="s">
        <v>4373</v>
      </c>
      <c r="P1807" s="2" t="s">
        <v>4375</v>
      </c>
    </row>
    <row r="1808" spans="1:16">
      <c r="A1808" s="4">
        <v>46244.398344907408</v>
      </c>
      <c r="B1808" s="2" t="s">
        <v>1975</v>
      </c>
      <c r="C1808" s="2" t="s">
        <v>3441</v>
      </c>
      <c r="D1808" s="2" t="s">
        <v>3513</v>
      </c>
      <c r="E1808" s="2">
        <v>12</v>
      </c>
      <c r="F1808" s="2"/>
      <c r="G1808" s="2">
        <v>12</v>
      </c>
      <c r="H1808" s="2" t="s">
        <v>4325</v>
      </c>
      <c r="I1808" s="2" t="s">
        <v>695</v>
      </c>
      <c r="J1808" s="2" t="s">
        <v>2537</v>
      </c>
      <c r="K1808" s="2" t="s">
        <v>1855</v>
      </c>
      <c r="L1808" s="2" t="s">
        <v>1188</v>
      </c>
      <c r="M1808" s="2" t="str">
        <f t="shared" si="31"/>
        <v>10</v>
      </c>
      <c r="N1808" s="2" t="s">
        <v>1164</v>
      </c>
      <c r="O1808" s="2" t="s">
        <v>4373</v>
      </c>
      <c r="P1808" s="2" t="s">
        <v>4375</v>
      </c>
    </row>
    <row r="1809" spans="1:16">
      <c r="A1809" s="4">
        <v>46244.397569444445</v>
      </c>
      <c r="B1809" s="2" t="s">
        <v>1190</v>
      </c>
      <c r="C1809" s="2" t="s">
        <v>3441</v>
      </c>
      <c r="D1809" s="2" t="s">
        <v>3513</v>
      </c>
      <c r="E1809" s="2">
        <v>12</v>
      </c>
      <c r="F1809" s="2"/>
      <c r="G1809" s="2">
        <v>12</v>
      </c>
      <c r="H1809" s="2" t="s">
        <v>4325</v>
      </c>
      <c r="I1809" s="2" t="s">
        <v>695</v>
      </c>
      <c r="J1809" s="2" t="s">
        <v>2537</v>
      </c>
      <c r="K1809" s="2" t="s">
        <v>1855</v>
      </c>
      <c r="L1809" s="2" t="s">
        <v>3386</v>
      </c>
      <c r="M1809" s="2" t="str">
        <f t="shared" si="31"/>
        <v>13</v>
      </c>
      <c r="N1809" s="2" t="s">
        <v>2009</v>
      </c>
      <c r="O1809" s="2" t="s">
        <v>4373</v>
      </c>
      <c r="P1809" s="2" t="s">
        <v>4375</v>
      </c>
    </row>
    <row r="1810" spans="1:16">
      <c r="A1810" s="4">
        <v>46244.397291666668</v>
      </c>
      <c r="B1810" s="2" t="s">
        <v>2021</v>
      </c>
      <c r="C1810" s="2" t="s">
        <v>3441</v>
      </c>
      <c r="D1810" s="2" t="s">
        <v>3513</v>
      </c>
      <c r="E1810" s="2">
        <v>12</v>
      </c>
      <c r="F1810" s="2"/>
      <c r="G1810" s="2">
        <v>12</v>
      </c>
      <c r="H1810" s="2" t="s">
        <v>4325</v>
      </c>
      <c r="I1810" s="2" t="s">
        <v>695</v>
      </c>
      <c r="J1810" s="2" t="s">
        <v>2537</v>
      </c>
      <c r="K1810" s="2" t="s">
        <v>1855</v>
      </c>
      <c r="L1810" s="2" t="s">
        <v>1188</v>
      </c>
      <c r="M1810" s="2" t="str">
        <f t="shared" si="31"/>
        <v>10</v>
      </c>
      <c r="N1810" s="2" t="s">
        <v>1377</v>
      </c>
      <c r="O1810" s="2" t="s">
        <v>4373</v>
      </c>
      <c r="P1810" s="2" t="s">
        <v>4375</v>
      </c>
    </row>
    <row r="1811" spans="1:16">
      <c r="A1811" s="4">
        <v>46244.397013888891</v>
      </c>
      <c r="B1811" s="2" t="s">
        <v>2440</v>
      </c>
      <c r="C1811" s="2" t="s">
        <v>3441</v>
      </c>
      <c r="D1811" s="2" t="s">
        <v>3513</v>
      </c>
      <c r="E1811" s="2">
        <v>12</v>
      </c>
      <c r="F1811" s="2"/>
      <c r="G1811" s="2">
        <v>12</v>
      </c>
      <c r="H1811" s="2" t="s">
        <v>4325</v>
      </c>
      <c r="I1811" s="2" t="s">
        <v>695</v>
      </c>
      <c r="J1811" s="2" t="s">
        <v>2537</v>
      </c>
      <c r="K1811" s="2" t="s">
        <v>1855</v>
      </c>
      <c r="L1811" s="2" t="s">
        <v>1188</v>
      </c>
      <c r="M1811" s="2" t="str">
        <f t="shared" si="31"/>
        <v>10</v>
      </c>
      <c r="N1811" s="2" t="s">
        <v>1952</v>
      </c>
      <c r="O1811" s="2" t="s">
        <v>4373</v>
      </c>
      <c r="P1811" s="2" t="s">
        <v>4375</v>
      </c>
    </row>
    <row r="1812" spans="1:16">
      <c r="A1812" s="4">
        <v>46244.396643518521</v>
      </c>
      <c r="B1812" s="2" t="s">
        <v>2834</v>
      </c>
      <c r="C1812" s="2" t="s">
        <v>3441</v>
      </c>
      <c r="D1812" s="2" t="s">
        <v>3513</v>
      </c>
      <c r="E1812" s="2">
        <v>12</v>
      </c>
      <c r="F1812" s="2"/>
      <c r="G1812" s="2">
        <v>12</v>
      </c>
      <c r="H1812" s="2" t="s">
        <v>4325</v>
      </c>
      <c r="I1812" s="2" t="s">
        <v>695</v>
      </c>
      <c r="J1812" s="2" t="s">
        <v>2537</v>
      </c>
      <c r="K1812" s="2" t="s">
        <v>1855</v>
      </c>
      <c r="L1812" s="2" t="s">
        <v>3386</v>
      </c>
      <c r="M1812" s="2" t="str">
        <f t="shared" si="31"/>
        <v>13</v>
      </c>
      <c r="N1812" s="2" t="s">
        <v>4054</v>
      </c>
      <c r="O1812" s="2" t="s">
        <v>4373</v>
      </c>
      <c r="P1812" s="2" t="s">
        <v>4375</v>
      </c>
    </row>
    <row r="1813" spans="1:16">
      <c r="A1813" s="4">
        <v>46244.396550925929</v>
      </c>
      <c r="B1813" s="2" t="s">
        <v>3370</v>
      </c>
      <c r="C1813" s="2" t="s">
        <v>3441</v>
      </c>
      <c r="D1813" s="2" t="s">
        <v>3513</v>
      </c>
      <c r="E1813" s="2">
        <v>12</v>
      </c>
      <c r="F1813" s="2"/>
      <c r="G1813" s="2">
        <v>12</v>
      </c>
      <c r="H1813" s="2" t="s">
        <v>4325</v>
      </c>
      <c r="I1813" s="2" t="s">
        <v>695</v>
      </c>
      <c r="J1813" s="2" t="s">
        <v>2537</v>
      </c>
      <c r="K1813" s="2" t="s">
        <v>1855</v>
      </c>
      <c r="L1813" s="2" t="s">
        <v>3386</v>
      </c>
      <c r="M1813" s="2" t="str">
        <f t="shared" si="31"/>
        <v>13</v>
      </c>
      <c r="N1813" s="2" t="s">
        <v>3704</v>
      </c>
      <c r="O1813" s="2" t="s">
        <v>4373</v>
      </c>
      <c r="P1813" s="2" t="s">
        <v>4375</v>
      </c>
    </row>
    <row r="1814" spans="1:16">
      <c r="A1814" s="4">
        <v>46244.396203703705</v>
      </c>
      <c r="B1814" s="2" t="s">
        <v>2161</v>
      </c>
      <c r="C1814" s="2" t="s">
        <v>3441</v>
      </c>
      <c r="D1814" s="2" t="s">
        <v>3513</v>
      </c>
      <c r="E1814" s="2">
        <v>12</v>
      </c>
      <c r="F1814" s="2"/>
      <c r="G1814" s="2">
        <v>12</v>
      </c>
      <c r="H1814" s="2" t="s">
        <v>4325</v>
      </c>
      <c r="I1814" s="2" t="s">
        <v>695</v>
      </c>
      <c r="J1814" s="2" t="s">
        <v>2537</v>
      </c>
      <c r="K1814" s="2" t="s">
        <v>1855</v>
      </c>
      <c r="L1814" s="2" t="s">
        <v>3386</v>
      </c>
      <c r="M1814" s="2" t="str">
        <f t="shared" si="31"/>
        <v>13</v>
      </c>
      <c r="N1814" s="2" t="s">
        <v>1243</v>
      </c>
      <c r="O1814" s="2" t="s">
        <v>4373</v>
      </c>
      <c r="P1814" s="2" t="s">
        <v>4375</v>
      </c>
    </row>
    <row r="1815" spans="1:16">
      <c r="A1815" s="4">
        <v>46244.395300925928</v>
      </c>
      <c r="B1815" s="2" t="s">
        <v>883</v>
      </c>
      <c r="C1815" s="2" t="s">
        <v>3441</v>
      </c>
      <c r="D1815" s="2" t="s">
        <v>3513</v>
      </c>
      <c r="E1815" s="2">
        <v>12</v>
      </c>
      <c r="F1815" s="2"/>
      <c r="G1815" s="2">
        <v>12</v>
      </c>
      <c r="H1815" s="2" t="s">
        <v>4325</v>
      </c>
      <c r="I1815" s="2" t="s">
        <v>695</v>
      </c>
      <c r="J1815" s="2" t="s">
        <v>2537</v>
      </c>
      <c r="K1815" s="2" t="s">
        <v>1855</v>
      </c>
      <c r="L1815" s="2" t="s">
        <v>1188</v>
      </c>
      <c r="M1815" s="2" t="str">
        <f t="shared" si="31"/>
        <v>10</v>
      </c>
      <c r="N1815" s="2" t="s">
        <v>812</v>
      </c>
      <c r="O1815" s="2" t="s">
        <v>4373</v>
      </c>
      <c r="P1815" s="2" t="s">
        <v>4375</v>
      </c>
    </row>
    <row r="1816" spans="1:16">
      <c r="A1816" s="4">
        <v>46244.395289351851</v>
      </c>
      <c r="B1816" s="2" t="s">
        <v>1341</v>
      </c>
      <c r="C1816" s="2" t="s">
        <v>3441</v>
      </c>
      <c r="D1816" s="2" t="s">
        <v>3513</v>
      </c>
      <c r="E1816" s="2">
        <v>12</v>
      </c>
      <c r="F1816" s="2"/>
      <c r="G1816" s="2">
        <v>12</v>
      </c>
      <c r="H1816" s="2" t="s">
        <v>4325</v>
      </c>
      <c r="I1816" s="2" t="s">
        <v>695</v>
      </c>
      <c r="J1816" s="2" t="s">
        <v>2537</v>
      </c>
      <c r="K1816" s="2" t="s">
        <v>1855</v>
      </c>
      <c r="L1816" s="2" t="s">
        <v>1188</v>
      </c>
      <c r="M1816" s="2" t="str">
        <f t="shared" si="31"/>
        <v>10</v>
      </c>
      <c r="N1816" s="2" t="s">
        <v>2200</v>
      </c>
      <c r="O1816" s="2" t="s">
        <v>4373</v>
      </c>
      <c r="P1816" s="2" t="s">
        <v>4375</v>
      </c>
    </row>
    <row r="1817" spans="1:16">
      <c r="A1817" s="4">
        <v>46244.395219907405</v>
      </c>
      <c r="B1817" s="2" t="s">
        <v>615</v>
      </c>
      <c r="C1817" s="2" t="s">
        <v>3441</v>
      </c>
      <c r="D1817" s="2" t="s">
        <v>3513</v>
      </c>
      <c r="E1817" s="2">
        <v>12</v>
      </c>
      <c r="F1817" s="2"/>
      <c r="G1817" s="2">
        <v>12</v>
      </c>
      <c r="H1817" s="2" t="s">
        <v>4325</v>
      </c>
      <c r="I1817" s="2" t="s">
        <v>695</v>
      </c>
      <c r="J1817" s="2" t="s">
        <v>2537</v>
      </c>
      <c r="K1817" s="2" t="s">
        <v>1855</v>
      </c>
      <c r="L1817" s="2" t="s">
        <v>1188</v>
      </c>
      <c r="M1817" s="2" t="str">
        <f t="shared" si="31"/>
        <v>10</v>
      </c>
      <c r="N1817" s="2" t="s">
        <v>1461</v>
      </c>
      <c r="O1817" s="2" t="s">
        <v>4373</v>
      </c>
      <c r="P1817" s="2" t="s">
        <v>4375</v>
      </c>
    </row>
    <row r="1818" spans="1:16">
      <c r="A1818" s="4">
        <v>46244.394571759258</v>
      </c>
      <c r="B1818" s="2" t="s">
        <v>3803</v>
      </c>
      <c r="C1818" s="2" t="s">
        <v>3441</v>
      </c>
      <c r="D1818" s="2" t="s">
        <v>3513</v>
      </c>
      <c r="E1818" s="2">
        <v>12</v>
      </c>
      <c r="F1818" s="2"/>
      <c r="G1818" s="2">
        <v>12</v>
      </c>
      <c r="H1818" s="2" t="s">
        <v>4325</v>
      </c>
      <c r="I1818" s="2" t="s">
        <v>695</v>
      </c>
      <c r="J1818" s="2" t="s">
        <v>2537</v>
      </c>
      <c r="K1818" s="2" t="s">
        <v>1855</v>
      </c>
      <c r="L1818" s="2" t="s">
        <v>3386</v>
      </c>
      <c r="M1818" s="2" t="str">
        <f t="shared" si="31"/>
        <v>13</v>
      </c>
      <c r="N1818" s="2" t="s">
        <v>2812</v>
      </c>
      <c r="O1818" s="2" t="s">
        <v>4373</v>
      </c>
      <c r="P1818" s="2" t="s">
        <v>4375</v>
      </c>
    </row>
    <row r="1819" spans="1:16">
      <c r="A1819" s="4">
        <v>46244.392962962964</v>
      </c>
      <c r="B1819" s="2" t="s">
        <v>4276</v>
      </c>
      <c r="C1819" s="2" t="s">
        <v>3441</v>
      </c>
      <c r="D1819" s="2" t="s">
        <v>3513</v>
      </c>
      <c r="E1819" s="2">
        <v>12</v>
      </c>
      <c r="F1819" s="2"/>
      <c r="G1819" s="2">
        <v>12</v>
      </c>
      <c r="H1819" s="2" t="s">
        <v>4325</v>
      </c>
      <c r="I1819" s="2" t="s">
        <v>695</v>
      </c>
      <c r="J1819" s="2" t="s">
        <v>2537</v>
      </c>
      <c r="K1819" s="2" t="s">
        <v>1855</v>
      </c>
      <c r="L1819" s="2" t="s">
        <v>1188</v>
      </c>
      <c r="M1819" s="2" t="str">
        <f t="shared" si="31"/>
        <v>10</v>
      </c>
      <c r="N1819" s="2" t="s">
        <v>3428</v>
      </c>
      <c r="O1819" s="2" t="s">
        <v>4373</v>
      </c>
      <c r="P1819" s="2" t="s">
        <v>4375</v>
      </c>
    </row>
    <row r="1820" spans="1:16">
      <c r="A1820" s="4">
        <v>46244.39261574074</v>
      </c>
      <c r="B1820" s="2" t="s">
        <v>3418</v>
      </c>
      <c r="C1820" s="2" t="s">
        <v>3441</v>
      </c>
      <c r="D1820" s="2" t="s">
        <v>3513</v>
      </c>
      <c r="E1820" s="2">
        <v>12</v>
      </c>
      <c r="F1820" s="2"/>
      <c r="G1820" s="2">
        <v>12</v>
      </c>
      <c r="H1820" s="2" t="s">
        <v>4325</v>
      </c>
      <c r="I1820" s="2" t="s">
        <v>695</v>
      </c>
      <c r="J1820" s="2" t="s">
        <v>2537</v>
      </c>
      <c r="K1820" s="2" t="s">
        <v>1855</v>
      </c>
      <c r="L1820" s="2" t="s">
        <v>1188</v>
      </c>
      <c r="M1820" s="2" t="str">
        <f t="shared" si="31"/>
        <v>10</v>
      </c>
      <c r="N1820" s="2" t="s">
        <v>2502</v>
      </c>
      <c r="O1820" s="2" t="s">
        <v>4373</v>
      </c>
      <c r="P1820" s="2" t="s">
        <v>4375</v>
      </c>
    </row>
    <row r="1821" spans="1:16">
      <c r="A1821" s="4">
        <v>46244.392523148148</v>
      </c>
      <c r="B1821" s="2" t="s">
        <v>4015</v>
      </c>
      <c r="C1821" s="2" t="s">
        <v>3441</v>
      </c>
      <c r="D1821" s="2" t="s">
        <v>3513</v>
      </c>
      <c r="E1821" s="2">
        <v>12</v>
      </c>
      <c r="F1821" s="2"/>
      <c r="G1821" s="2">
        <v>12</v>
      </c>
      <c r="H1821" s="2" t="s">
        <v>4325</v>
      </c>
      <c r="I1821" s="2" t="s">
        <v>695</v>
      </c>
      <c r="J1821" s="2" t="s">
        <v>2537</v>
      </c>
      <c r="K1821" s="2" t="s">
        <v>1855</v>
      </c>
      <c r="L1821" s="2" t="s">
        <v>1188</v>
      </c>
      <c r="M1821" s="2" t="str">
        <f t="shared" si="31"/>
        <v>10</v>
      </c>
      <c r="N1821" s="2" t="s">
        <v>3727</v>
      </c>
      <c r="O1821" s="2" t="s">
        <v>4373</v>
      </c>
      <c r="P1821" s="2" t="s">
        <v>4375</v>
      </c>
    </row>
    <row r="1822" spans="1:16">
      <c r="A1822" s="4">
        <v>46244.391099537039</v>
      </c>
      <c r="B1822" s="2" t="s">
        <v>2974</v>
      </c>
      <c r="C1822" s="2" t="s">
        <v>3441</v>
      </c>
      <c r="D1822" s="2" t="s">
        <v>3513</v>
      </c>
      <c r="E1822" s="2">
        <v>12</v>
      </c>
      <c r="F1822" s="2"/>
      <c r="G1822" s="2">
        <v>12</v>
      </c>
      <c r="H1822" s="2" t="s">
        <v>4325</v>
      </c>
      <c r="I1822" s="2" t="s">
        <v>695</v>
      </c>
      <c r="J1822" s="2" t="s">
        <v>2537</v>
      </c>
      <c r="K1822" s="2" t="s">
        <v>1855</v>
      </c>
      <c r="L1822" s="2" t="s">
        <v>1188</v>
      </c>
      <c r="M1822" s="2" t="str">
        <f t="shared" si="31"/>
        <v>10</v>
      </c>
      <c r="N1822" s="2" t="s">
        <v>3878</v>
      </c>
      <c r="O1822" s="2" t="s">
        <v>4373</v>
      </c>
      <c r="P1822" s="2" t="s">
        <v>4375</v>
      </c>
    </row>
    <row r="1823" spans="1:16">
      <c r="A1823" s="4">
        <v>46244.390729166669</v>
      </c>
      <c r="B1823" s="2" t="s">
        <v>3019</v>
      </c>
      <c r="C1823" s="2" t="s">
        <v>3441</v>
      </c>
      <c r="D1823" s="2" t="s">
        <v>3513</v>
      </c>
      <c r="E1823" s="2">
        <v>12</v>
      </c>
      <c r="F1823" s="2"/>
      <c r="G1823" s="2">
        <v>12</v>
      </c>
      <c r="H1823" s="2" t="s">
        <v>4325</v>
      </c>
      <c r="I1823" s="2" t="s">
        <v>695</v>
      </c>
      <c r="J1823" s="2" t="s">
        <v>2537</v>
      </c>
      <c r="K1823" s="2" t="s">
        <v>1855</v>
      </c>
      <c r="L1823" s="2" t="s">
        <v>1188</v>
      </c>
      <c r="M1823" s="2" t="str">
        <f t="shared" si="31"/>
        <v>10</v>
      </c>
      <c r="N1823" s="2" t="s">
        <v>701</v>
      </c>
      <c r="O1823" s="2" t="s">
        <v>4373</v>
      </c>
      <c r="P1823" s="2" t="s">
        <v>4375</v>
      </c>
    </row>
    <row r="1824" spans="1:16">
      <c r="A1824" s="4">
        <v>46244.274861111109</v>
      </c>
      <c r="B1824" s="2" t="s">
        <v>3946</v>
      </c>
      <c r="C1824" s="2" t="s">
        <v>3441</v>
      </c>
      <c r="D1824" s="2" t="s">
        <v>3513</v>
      </c>
      <c r="E1824" s="2">
        <v>12</v>
      </c>
      <c r="F1824" s="2"/>
      <c r="G1824" s="2">
        <v>12</v>
      </c>
      <c r="H1824" s="2" t="s">
        <v>693</v>
      </c>
      <c r="I1824" s="2" t="s">
        <v>695</v>
      </c>
      <c r="J1824" s="2" t="s">
        <v>2537</v>
      </c>
      <c r="K1824" s="2" t="s">
        <v>1855</v>
      </c>
      <c r="L1824" s="2" t="s">
        <v>1114</v>
      </c>
      <c r="M1824" s="2" t="str">
        <f t="shared" si="31"/>
        <v>02</v>
      </c>
      <c r="N1824" s="2" t="s">
        <v>3385</v>
      </c>
      <c r="O1824" s="2" t="s">
        <v>4373</v>
      </c>
      <c r="P1824" s="2" t="s">
        <v>4375</v>
      </c>
    </row>
    <row r="1825" spans="1:16">
      <c r="A1825" s="4">
        <v>46244.274733796294</v>
      </c>
      <c r="B1825" s="2" t="s">
        <v>106</v>
      </c>
      <c r="C1825" s="2" t="s">
        <v>3441</v>
      </c>
      <c r="D1825" s="2" t="s">
        <v>3513</v>
      </c>
      <c r="E1825" s="2">
        <v>12</v>
      </c>
      <c r="F1825" s="2"/>
      <c r="G1825" s="2">
        <v>12</v>
      </c>
      <c r="H1825" s="2" t="s">
        <v>693</v>
      </c>
      <c r="I1825" s="2" t="s">
        <v>695</v>
      </c>
      <c r="J1825" s="2" t="s">
        <v>2537</v>
      </c>
      <c r="K1825" s="2" t="s">
        <v>1855</v>
      </c>
      <c r="L1825" s="2" t="s">
        <v>1114</v>
      </c>
      <c r="M1825" s="2" t="str">
        <f t="shared" si="31"/>
        <v>02</v>
      </c>
      <c r="N1825" s="2" t="s">
        <v>1947</v>
      </c>
      <c r="O1825" s="2" t="s">
        <v>4373</v>
      </c>
      <c r="P1825" s="2" t="s">
        <v>4375</v>
      </c>
    </row>
    <row r="1826" spans="1:16">
      <c r="A1826" s="4">
        <v>46244.273969907408</v>
      </c>
      <c r="B1826" s="2" t="s">
        <v>1025</v>
      </c>
      <c r="C1826" s="2" t="s">
        <v>3441</v>
      </c>
      <c r="D1826" s="2" t="s">
        <v>3513</v>
      </c>
      <c r="E1826" s="2">
        <v>12</v>
      </c>
      <c r="F1826" s="2"/>
      <c r="G1826" s="2">
        <v>12</v>
      </c>
      <c r="H1826" s="2" t="s">
        <v>693</v>
      </c>
      <c r="I1826" s="2" t="s">
        <v>695</v>
      </c>
      <c r="J1826" s="2" t="s">
        <v>2537</v>
      </c>
      <c r="K1826" s="2" t="s">
        <v>1855</v>
      </c>
      <c r="L1826" s="2" t="s">
        <v>1114</v>
      </c>
      <c r="M1826" s="2" t="str">
        <f t="shared" si="31"/>
        <v>02</v>
      </c>
      <c r="N1826" s="2" t="s">
        <v>3559</v>
      </c>
      <c r="O1826" s="2" t="s">
        <v>4373</v>
      </c>
      <c r="P1826" s="2" t="s">
        <v>4375</v>
      </c>
    </row>
    <row r="1827" spans="1:16">
      <c r="A1827" s="4">
        <v>46244.273865740739</v>
      </c>
      <c r="B1827" s="2" t="s">
        <v>11</v>
      </c>
      <c r="C1827" s="2" t="s">
        <v>3441</v>
      </c>
      <c r="D1827" s="2" t="s">
        <v>3513</v>
      </c>
      <c r="E1827" s="2">
        <v>12</v>
      </c>
      <c r="F1827" s="2"/>
      <c r="G1827" s="2">
        <v>12</v>
      </c>
      <c r="H1827" s="2" t="s">
        <v>693</v>
      </c>
      <c r="I1827" s="2" t="s">
        <v>695</v>
      </c>
      <c r="J1827" s="2" t="s">
        <v>2537</v>
      </c>
      <c r="K1827" s="2" t="s">
        <v>1855</v>
      </c>
      <c r="L1827" s="2" t="s">
        <v>1114</v>
      </c>
      <c r="M1827" s="2" t="str">
        <f t="shared" si="31"/>
        <v>02</v>
      </c>
      <c r="N1827" s="2" t="s">
        <v>3401</v>
      </c>
      <c r="O1827" s="2" t="s">
        <v>4373</v>
      </c>
      <c r="P1827" s="2" t="s">
        <v>4375</v>
      </c>
    </row>
    <row r="1828" spans="1:16">
      <c r="A1828" s="4">
        <v>46244.273113425923</v>
      </c>
      <c r="B1828" s="2" t="s">
        <v>2647</v>
      </c>
      <c r="C1828" s="2" t="s">
        <v>3441</v>
      </c>
      <c r="D1828" s="2" t="s">
        <v>3513</v>
      </c>
      <c r="E1828" s="2">
        <v>12</v>
      </c>
      <c r="F1828" s="2"/>
      <c r="G1828" s="2">
        <v>12</v>
      </c>
      <c r="H1828" s="2" t="s">
        <v>693</v>
      </c>
      <c r="I1828" s="2" t="s">
        <v>695</v>
      </c>
      <c r="J1828" s="2" t="s">
        <v>2537</v>
      </c>
      <c r="K1828" s="2" t="s">
        <v>1855</v>
      </c>
      <c r="L1828" s="2" t="s">
        <v>1114</v>
      </c>
      <c r="M1828" s="2" t="str">
        <f t="shared" si="31"/>
        <v>02</v>
      </c>
      <c r="N1828" s="2" t="s">
        <v>3646</v>
      </c>
      <c r="O1828" s="2" t="s">
        <v>4373</v>
      </c>
      <c r="P1828" s="2" t="s">
        <v>4375</v>
      </c>
    </row>
    <row r="1829" spans="1:16">
      <c r="A1829" s="4">
        <v>46244.273090277777</v>
      </c>
      <c r="B1829" s="2" t="s">
        <v>2252</v>
      </c>
      <c r="C1829" s="2" t="s">
        <v>3441</v>
      </c>
      <c r="D1829" s="2" t="s">
        <v>3513</v>
      </c>
      <c r="E1829" s="2">
        <v>12</v>
      </c>
      <c r="F1829" s="2"/>
      <c r="G1829" s="2">
        <v>12</v>
      </c>
      <c r="H1829" s="2" t="s">
        <v>693</v>
      </c>
      <c r="I1829" s="2" t="s">
        <v>695</v>
      </c>
      <c r="J1829" s="2" t="s">
        <v>2537</v>
      </c>
      <c r="K1829" s="2" t="s">
        <v>1855</v>
      </c>
      <c r="L1829" s="2" t="s">
        <v>1114</v>
      </c>
      <c r="M1829" s="2" t="str">
        <f t="shared" si="31"/>
        <v>02</v>
      </c>
      <c r="N1829" s="2" t="s">
        <v>2648</v>
      </c>
      <c r="O1829" s="2" t="s">
        <v>4373</v>
      </c>
      <c r="P1829" s="2" t="s">
        <v>4375</v>
      </c>
    </row>
    <row r="1830" spans="1:16">
      <c r="A1830" s="4">
        <v>46244.272372685184</v>
      </c>
      <c r="B1830" s="2" t="s">
        <v>1007</v>
      </c>
      <c r="C1830" s="2" t="s">
        <v>3441</v>
      </c>
      <c r="D1830" s="2" t="s">
        <v>3513</v>
      </c>
      <c r="E1830" s="2">
        <v>12</v>
      </c>
      <c r="F1830" s="2"/>
      <c r="G1830" s="2">
        <v>12</v>
      </c>
      <c r="H1830" s="2" t="s">
        <v>693</v>
      </c>
      <c r="I1830" s="2" t="s">
        <v>695</v>
      </c>
      <c r="J1830" s="2" t="s">
        <v>2537</v>
      </c>
      <c r="K1830" s="2" t="s">
        <v>1855</v>
      </c>
      <c r="L1830" s="2" t="s">
        <v>1114</v>
      </c>
      <c r="M1830" s="2" t="str">
        <f t="shared" si="31"/>
        <v>02</v>
      </c>
      <c r="N1830" s="2" t="s">
        <v>2459</v>
      </c>
      <c r="O1830" s="2" t="s">
        <v>4373</v>
      </c>
      <c r="P1830" s="2" t="s">
        <v>4375</v>
      </c>
    </row>
    <row r="1831" spans="1:16">
      <c r="A1831" s="4">
        <v>46244.272303240738</v>
      </c>
      <c r="B1831" s="2" t="s">
        <v>2033</v>
      </c>
      <c r="C1831" s="2" t="s">
        <v>3441</v>
      </c>
      <c r="D1831" s="2" t="s">
        <v>3513</v>
      </c>
      <c r="E1831" s="2">
        <v>12</v>
      </c>
      <c r="F1831" s="2"/>
      <c r="G1831" s="2">
        <v>12</v>
      </c>
      <c r="H1831" s="2" t="s">
        <v>693</v>
      </c>
      <c r="I1831" s="2" t="s">
        <v>695</v>
      </c>
      <c r="J1831" s="2" t="s">
        <v>2537</v>
      </c>
      <c r="K1831" s="2" t="s">
        <v>1855</v>
      </c>
      <c r="L1831" s="2" t="s">
        <v>1114</v>
      </c>
      <c r="M1831" s="2" t="str">
        <f t="shared" si="31"/>
        <v>02</v>
      </c>
      <c r="N1831" s="2" t="s">
        <v>1913</v>
      </c>
      <c r="O1831" s="2" t="s">
        <v>4373</v>
      </c>
      <c r="P1831" s="2" t="s">
        <v>4375</v>
      </c>
    </row>
    <row r="1832" spans="1:16">
      <c r="A1832" s="4">
        <v>46244.271203703705</v>
      </c>
      <c r="B1832" s="2" t="s">
        <v>1544</v>
      </c>
      <c r="C1832" s="2" t="s">
        <v>3441</v>
      </c>
      <c r="D1832" s="2" t="s">
        <v>3513</v>
      </c>
      <c r="E1832" s="2">
        <v>12</v>
      </c>
      <c r="F1832" s="2"/>
      <c r="G1832" s="2">
        <v>12</v>
      </c>
      <c r="H1832" s="2" t="s">
        <v>693</v>
      </c>
      <c r="I1832" s="2" t="s">
        <v>695</v>
      </c>
      <c r="J1832" s="2" t="s">
        <v>2537</v>
      </c>
      <c r="K1832" s="2" t="s">
        <v>1855</v>
      </c>
      <c r="L1832" s="2" t="s">
        <v>1114</v>
      </c>
      <c r="M1832" s="2" t="str">
        <f t="shared" si="31"/>
        <v>02</v>
      </c>
      <c r="N1832" s="2" t="s">
        <v>1268</v>
      </c>
      <c r="O1832" s="2" t="s">
        <v>4373</v>
      </c>
      <c r="P1832" s="2" t="s">
        <v>4375</v>
      </c>
    </row>
    <row r="1833" spans="1:16">
      <c r="A1833" s="4">
        <v>46244.271180555559</v>
      </c>
      <c r="B1833" s="2" t="s">
        <v>99</v>
      </c>
      <c r="C1833" s="2" t="s">
        <v>3441</v>
      </c>
      <c r="D1833" s="2" t="s">
        <v>3513</v>
      </c>
      <c r="E1833" s="2">
        <v>12</v>
      </c>
      <c r="F1833" s="2"/>
      <c r="G1833" s="2">
        <v>12</v>
      </c>
      <c r="H1833" s="2" t="s">
        <v>693</v>
      </c>
      <c r="I1833" s="2" t="s">
        <v>695</v>
      </c>
      <c r="J1833" s="2" t="s">
        <v>2537</v>
      </c>
      <c r="K1833" s="2" t="s">
        <v>1855</v>
      </c>
      <c r="L1833" s="2" t="s">
        <v>1114</v>
      </c>
      <c r="M1833" s="2" t="str">
        <f t="shared" si="31"/>
        <v>02</v>
      </c>
      <c r="N1833" s="2" t="s">
        <v>3770</v>
      </c>
      <c r="O1833" s="2" t="s">
        <v>4373</v>
      </c>
      <c r="P1833" s="2" t="s">
        <v>4375</v>
      </c>
    </row>
    <row r="1834" spans="1:16">
      <c r="A1834" s="4">
        <v>46244.27070601852</v>
      </c>
      <c r="B1834" s="2" t="s">
        <v>1285</v>
      </c>
      <c r="C1834" s="2" t="s">
        <v>3441</v>
      </c>
      <c r="D1834" s="2" t="s">
        <v>3513</v>
      </c>
      <c r="E1834" s="2">
        <v>12</v>
      </c>
      <c r="F1834" s="2"/>
      <c r="G1834" s="2">
        <v>12</v>
      </c>
      <c r="H1834" s="2" t="s">
        <v>693</v>
      </c>
      <c r="I1834" s="2" t="s">
        <v>695</v>
      </c>
      <c r="J1834" s="2" t="s">
        <v>2537</v>
      </c>
      <c r="K1834" s="2" t="s">
        <v>1855</v>
      </c>
      <c r="L1834" s="2" t="s">
        <v>1114</v>
      </c>
      <c r="M1834" s="2" t="str">
        <f t="shared" si="31"/>
        <v>02</v>
      </c>
      <c r="N1834" s="2" t="s">
        <v>4333</v>
      </c>
      <c r="O1834" s="2" t="s">
        <v>4373</v>
      </c>
      <c r="P1834" s="2" t="s">
        <v>4375</v>
      </c>
    </row>
    <row r="1835" spans="1:16">
      <c r="A1835" s="4">
        <v>46244.270451388889</v>
      </c>
      <c r="B1835" s="2" t="s">
        <v>2328</v>
      </c>
      <c r="C1835" s="2" t="s">
        <v>3441</v>
      </c>
      <c r="D1835" s="2" t="s">
        <v>3513</v>
      </c>
      <c r="E1835" s="2">
        <v>12</v>
      </c>
      <c r="F1835" s="2"/>
      <c r="G1835" s="2">
        <v>12</v>
      </c>
      <c r="H1835" s="2" t="s">
        <v>693</v>
      </c>
      <c r="I1835" s="2" t="s">
        <v>695</v>
      </c>
      <c r="J1835" s="2" t="s">
        <v>2537</v>
      </c>
      <c r="K1835" s="2" t="s">
        <v>1855</v>
      </c>
      <c r="L1835" s="2" t="s">
        <v>1114</v>
      </c>
      <c r="M1835" s="2" t="str">
        <f t="shared" si="31"/>
        <v>02</v>
      </c>
      <c r="N1835" s="2" t="s">
        <v>1379</v>
      </c>
      <c r="O1835" s="2" t="s">
        <v>4373</v>
      </c>
      <c r="P1835" s="2" t="s">
        <v>4375</v>
      </c>
    </row>
    <row r="1836" spans="1:16">
      <c r="A1836" s="4">
        <v>46244.269745370373</v>
      </c>
      <c r="B1836" s="2" t="s">
        <v>372</v>
      </c>
      <c r="C1836" s="2" t="s">
        <v>3441</v>
      </c>
      <c r="D1836" s="2" t="s">
        <v>3513</v>
      </c>
      <c r="E1836" s="2">
        <v>12</v>
      </c>
      <c r="F1836" s="2"/>
      <c r="G1836" s="2">
        <v>12</v>
      </c>
      <c r="H1836" s="2" t="s">
        <v>693</v>
      </c>
      <c r="I1836" s="2" t="s">
        <v>695</v>
      </c>
      <c r="J1836" s="2" t="s">
        <v>2537</v>
      </c>
      <c r="K1836" s="2" t="s">
        <v>1855</v>
      </c>
      <c r="L1836" s="2" t="s">
        <v>1114</v>
      </c>
      <c r="M1836" s="2" t="str">
        <f t="shared" si="31"/>
        <v>02</v>
      </c>
      <c r="N1836" s="2" t="s">
        <v>41</v>
      </c>
      <c r="O1836" s="2" t="s">
        <v>4373</v>
      </c>
      <c r="P1836" s="2" t="s">
        <v>4375</v>
      </c>
    </row>
    <row r="1837" spans="1:16">
      <c r="A1837" s="4">
        <v>46244.269687499997</v>
      </c>
      <c r="B1837" s="2" t="s">
        <v>4025</v>
      </c>
      <c r="C1837" s="2" t="s">
        <v>3441</v>
      </c>
      <c r="D1837" s="2" t="s">
        <v>3513</v>
      </c>
      <c r="E1837" s="2">
        <v>12</v>
      </c>
      <c r="F1837" s="2"/>
      <c r="G1837" s="2">
        <v>12</v>
      </c>
      <c r="H1837" s="2" t="s">
        <v>693</v>
      </c>
      <c r="I1837" s="2" t="s">
        <v>695</v>
      </c>
      <c r="J1837" s="2" t="s">
        <v>2537</v>
      </c>
      <c r="K1837" s="2" t="s">
        <v>1855</v>
      </c>
      <c r="L1837" s="2" t="s">
        <v>1114</v>
      </c>
      <c r="M1837" s="2" t="str">
        <f t="shared" si="31"/>
        <v>02</v>
      </c>
      <c r="N1837" s="2" t="s">
        <v>1814</v>
      </c>
      <c r="O1837" s="2" t="s">
        <v>4373</v>
      </c>
      <c r="P1837" s="2" t="s">
        <v>4375</v>
      </c>
    </row>
    <row r="1838" spans="1:16">
      <c r="A1838" s="4">
        <v>46244.268171296295</v>
      </c>
      <c r="B1838" s="2" t="s">
        <v>316</v>
      </c>
      <c r="C1838" s="2" t="s">
        <v>3441</v>
      </c>
      <c r="D1838" s="2" t="s">
        <v>3513</v>
      </c>
      <c r="E1838" s="2">
        <v>12</v>
      </c>
      <c r="F1838" s="2"/>
      <c r="G1838" s="2">
        <v>12</v>
      </c>
      <c r="H1838" s="2" t="s">
        <v>693</v>
      </c>
      <c r="I1838" s="2" t="s">
        <v>695</v>
      </c>
      <c r="J1838" s="2" t="s">
        <v>2537</v>
      </c>
      <c r="K1838" s="2" t="s">
        <v>1855</v>
      </c>
      <c r="L1838" s="2" t="s">
        <v>1114</v>
      </c>
      <c r="M1838" s="2" t="str">
        <f t="shared" si="31"/>
        <v>02</v>
      </c>
      <c r="N1838" s="2" t="s">
        <v>1780</v>
      </c>
      <c r="O1838" s="2" t="s">
        <v>4373</v>
      </c>
      <c r="P1838" s="2" t="s">
        <v>4375</v>
      </c>
    </row>
    <row r="1839" spans="1:16">
      <c r="A1839" s="4">
        <v>46244.268055555556</v>
      </c>
      <c r="B1839" s="2" t="s">
        <v>646</v>
      </c>
      <c r="C1839" s="2" t="s">
        <v>3441</v>
      </c>
      <c r="D1839" s="2" t="s">
        <v>3513</v>
      </c>
      <c r="E1839" s="2">
        <v>12</v>
      </c>
      <c r="F1839" s="2"/>
      <c r="G1839" s="2">
        <v>12</v>
      </c>
      <c r="H1839" s="2" t="s">
        <v>693</v>
      </c>
      <c r="I1839" s="2" t="s">
        <v>695</v>
      </c>
      <c r="J1839" s="2" t="s">
        <v>2537</v>
      </c>
      <c r="K1839" s="2" t="s">
        <v>1855</v>
      </c>
      <c r="L1839" s="2" t="s">
        <v>1114</v>
      </c>
      <c r="M1839" s="2" t="str">
        <f t="shared" si="31"/>
        <v>02</v>
      </c>
      <c r="N1839" s="2" t="s">
        <v>29</v>
      </c>
      <c r="O1839" s="2" t="s">
        <v>4373</v>
      </c>
      <c r="P1839" s="2" t="s">
        <v>4375</v>
      </c>
    </row>
    <row r="1840" spans="1:16">
      <c r="A1840" s="4">
        <v>46244.267870370371</v>
      </c>
      <c r="B1840" s="2" t="s">
        <v>992</v>
      </c>
      <c r="C1840" s="2" t="s">
        <v>3441</v>
      </c>
      <c r="D1840" s="2" t="s">
        <v>3513</v>
      </c>
      <c r="E1840" s="2">
        <v>12</v>
      </c>
      <c r="F1840" s="2"/>
      <c r="G1840" s="2">
        <v>12</v>
      </c>
      <c r="H1840" s="2" t="s">
        <v>693</v>
      </c>
      <c r="I1840" s="2" t="s">
        <v>695</v>
      </c>
      <c r="J1840" s="2" t="s">
        <v>2537</v>
      </c>
      <c r="K1840" s="2" t="s">
        <v>1855</v>
      </c>
      <c r="L1840" s="2" t="s">
        <v>1114</v>
      </c>
      <c r="M1840" s="2" t="str">
        <f t="shared" si="31"/>
        <v>02</v>
      </c>
      <c r="N1840" s="2" t="s">
        <v>2152</v>
      </c>
      <c r="O1840" s="2" t="s">
        <v>4373</v>
      </c>
      <c r="P1840" s="2" t="s">
        <v>4375</v>
      </c>
    </row>
    <row r="1841" spans="1:16">
      <c r="A1841" s="4">
        <v>46244.267395833333</v>
      </c>
      <c r="B1841" s="2" t="s">
        <v>3161</v>
      </c>
      <c r="C1841" s="2" t="s">
        <v>3441</v>
      </c>
      <c r="D1841" s="2" t="s">
        <v>3513</v>
      </c>
      <c r="E1841" s="2">
        <v>12</v>
      </c>
      <c r="F1841" s="2"/>
      <c r="G1841" s="2">
        <v>12</v>
      </c>
      <c r="H1841" s="2" t="s">
        <v>693</v>
      </c>
      <c r="I1841" s="2" t="s">
        <v>695</v>
      </c>
      <c r="J1841" s="2" t="s">
        <v>2537</v>
      </c>
      <c r="K1841" s="2" t="s">
        <v>1855</v>
      </c>
      <c r="L1841" s="2" t="s">
        <v>1114</v>
      </c>
      <c r="M1841" s="2" t="str">
        <f t="shared" si="31"/>
        <v>02</v>
      </c>
      <c r="N1841" s="2" t="s">
        <v>1512</v>
      </c>
      <c r="O1841" s="2" t="s">
        <v>4373</v>
      </c>
      <c r="P1841" s="2" t="s">
        <v>4375</v>
      </c>
    </row>
    <row r="1842" spans="1:16">
      <c r="A1842" s="4">
        <v>46244.266898148147</v>
      </c>
      <c r="B1842" s="2" t="s">
        <v>3747</v>
      </c>
      <c r="C1842" s="2" t="s">
        <v>3441</v>
      </c>
      <c r="D1842" s="2" t="s">
        <v>3513</v>
      </c>
      <c r="E1842" s="2">
        <v>12</v>
      </c>
      <c r="F1842" s="2"/>
      <c r="G1842" s="2">
        <v>12</v>
      </c>
      <c r="H1842" s="2" t="s">
        <v>693</v>
      </c>
      <c r="I1842" s="2" t="s">
        <v>695</v>
      </c>
      <c r="J1842" s="2" t="s">
        <v>2537</v>
      </c>
      <c r="K1842" s="2" t="s">
        <v>1855</v>
      </c>
      <c r="L1842" s="2" t="s">
        <v>1114</v>
      </c>
      <c r="M1842" s="2" t="str">
        <f t="shared" si="31"/>
        <v>02</v>
      </c>
      <c r="N1842" s="2" t="s">
        <v>2653</v>
      </c>
      <c r="O1842" s="2" t="s">
        <v>4373</v>
      </c>
      <c r="P1842" s="2" t="s">
        <v>4375</v>
      </c>
    </row>
    <row r="1843" spans="1:16">
      <c r="A1843" s="4">
        <v>46244.26662037037</v>
      </c>
      <c r="B1843" s="2" t="s">
        <v>2265</v>
      </c>
      <c r="C1843" s="2" t="s">
        <v>3441</v>
      </c>
      <c r="D1843" s="2" t="s">
        <v>3513</v>
      </c>
      <c r="E1843" s="2">
        <v>12</v>
      </c>
      <c r="F1843" s="2"/>
      <c r="G1843" s="2">
        <v>12</v>
      </c>
      <c r="H1843" s="2" t="s">
        <v>693</v>
      </c>
      <c r="I1843" s="2" t="s">
        <v>695</v>
      </c>
      <c r="J1843" s="2" t="s">
        <v>2537</v>
      </c>
      <c r="K1843" s="2" t="s">
        <v>1855</v>
      </c>
      <c r="L1843" s="2" t="s">
        <v>1114</v>
      </c>
      <c r="M1843" s="2" t="str">
        <f t="shared" si="31"/>
        <v>02</v>
      </c>
      <c r="N1843" s="2" t="s">
        <v>3628</v>
      </c>
      <c r="O1843" s="2" t="s">
        <v>4373</v>
      </c>
      <c r="P1843" s="2" t="s">
        <v>4375</v>
      </c>
    </row>
    <row r="1844" spans="1:16">
      <c r="A1844" s="4">
        <v>46244.265879629631</v>
      </c>
      <c r="B1844" s="2" t="s">
        <v>1032</v>
      </c>
      <c r="C1844" s="2" t="s">
        <v>3441</v>
      </c>
      <c r="D1844" s="2" t="s">
        <v>3513</v>
      </c>
      <c r="E1844" s="2">
        <v>12</v>
      </c>
      <c r="F1844" s="2"/>
      <c r="G1844" s="2">
        <v>12</v>
      </c>
      <c r="H1844" s="2" t="s">
        <v>693</v>
      </c>
      <c r="I1844" s="2" t="s">
        <v>695</v>
      </c>
      <c r="J1844" s="2" t="s">
        <v>2537</v>
      </c>
      <c r="K1844" s="2" t="s">
        <v>1855</v>
      </c>
      <c r="L1844" s="2" t="s">
        <v>1114</v>
      </c>
      <c r="M1844" s="2" t="str">
        <f t="shared" si="31"/>
        <v>02</v>
      </c>
      <c r="N1844" s="2" t="s">
        <v>2576</v>
      </c>
      <c r="O1844" s="2" t="s">
        <v>4373</v>
      </c>
      <c r="P1844" s="2" t="s">
        <v>4375</v>
      </c>
    </row>
    <row r="1845" spans="1:16">
      <c r="A1845" s="4">
        <v>46244.265706018516</v>
      </c>
      <c r="B1845" s="2" t="s">
        <v>355</v>
      </c>
      <c r="C1845" s="2" t="s">
        <v>3441</v>
      </c>
      <c r="D1845" s="2" t="s">
        <v>3513</v>
      </c>
      <c r="E1845" s="2">
        <v>12</v>
      </c>
      <c r="F1845" s="2"/>
      <c r="G1845" s="2">
        <v>12</v>
      </c>
      <c r="H1845" s="2" t="s">
        <v>693</v>
      </c>
      <c r="I1845" s="2" t="s">
        <v>695</v>
      </c>
      <c r="J1845" s="2" t="s">
        <v>2537</v>
      </c>
      <c r="K1845" s="2" t="s">
        <v>1855</v>
      </c>
      <c r="L1845" s="2" t="s">
        <v>1114</v>
      </c>
      <c r="M1845" s="2" t="str">
        <f t="shared" si="31"/>
        <v>02</v>
      </c>
      <c r="N1845" s="2" t="s">
        <v>2986</v>
      </c>
      <c r="O1845" s="2" t="s">
        <v>4373</v>
      </c>
      <c r="P1845" s="2" t="s">
        <v>4375</v>
      </c>
    </row>
    <row r="1846" spans="1:16">
      <c r="A1846" s="4">
        <v>46244.265138888892</v>
      </c>
      <c r="B1846" s="2" t="s">
        <v>2299</v>
      </c>
      <c r="C1846" s="2" t="s">
        <v>3441</v>
      </c>
      <c r="D1846" s="2" t="s">
        <v>3513</v>
      </c>
      <c r="E1846" s="2">
        <v>12</v>
      </c>
      <c r="F1846" s="2"/>
      <c r="G1846" s="2">
        <v>12</v>
      </c>
      <c r="H1846" s="2" t="s">
        <v>693</v>
      </c>
      <c r="I1846" s="2" t="s">
        <v>695</v>
      </c>
      <c r="J1846" s="2" t="s">
        <v>2537</v>
      </c>
      <c r="K1846" s="2" t="s">
        <v>1855</v>
      </c>
      <c r="L1846" s="2" t="s">
        <v>1114</v>
      </c>
      <c r="M1846" s="2" t="str">
        <f t="shared" si="31"/>
        <v>02</v>
      </c>
      <c r="N1846" s="2" t="s">
        <v>1893</v>
      </c>
      <c r="O1846" s="2" t="s">
        <v>4373</v>
      </c>
      <c r="P1846" s="2" t="s">
        <v>4375</v>
      </c>
    </row>
    <row r="1847" spans="1:16">
      <c r="A1847" s="4">
        <v>46244.265011574076</v>
      </c>
      <c r="B1847" s="2" t="s">
        <v>4079</v>
      </c>
      <c r="C1847" s="2" t="s">
        <v>3441</v>
      </c>
      <c r="D1847" s="2" t="s">
        <v>3513</v>
      </c>
      <c r="E1847" s="2">
        <v>12</v>
      </c>
      <c r="F1847" s="2"/>
      <c r="G1847" s="2">
        <v>12</v>
      </c>
      <c r="H1847" s="2" t="s">
        <v>693</v>
      </c>
      <c r="I1847" s="2" t="s">
        <v>695</v>
      </c>
      <c r="J1847" s="2" t="s">
        <v>2537</v>
      </c>
      <c r="K1847" s="2" t="s">
        <v>1855</v>
      </c>
      <c r="L1847" s="2" t="s">
        <v>1114</v>
      </c>
      <c r="M1847" s="2" t="str">
        <f t="shared" si="31"/>
        <v>02</v>
      </c>
      <c r="N1847" s="2" t="s">
        <v>1926</v>
      </c>
      <c r="O1847" s="2" t="s">
        <v>4373</v>
      </c>
      <c r="P1847" s="2" t="s">
        <v>4375</v>
      </c>
    </row>
    <row r="1848" spans="1:16">
      <c r="A1848" s="4">
        <v>46244.264421296299</v>
      </c>
      <c r="B1848" s="2" t="s">
        <v>3013</v>
      </c>
      <c r="C1848" s="2" t="s">
        <v>3441</v>
      </c>
      <c r="D1848" s="2" t="s">
        <v>3513</v>
      </c>
      <c r="E1848" s="2">
        <v>12</v>
      </c>
      <c r="F1848" s="2"/>
      <c r="G1848" s="2">
        <v>12</v>
      </c>
      <c r="H1848" s="2" t="s">
        <v>693</v>
      </c>
      <c r="I1848" s="2" t="s">
        <v>695</v>
      </c>
      <c r="J1848" s="2" t="s">
        <v>2537</v>
      </c>
      <c r="K1848" s="2" t="s">
        <v>1855</v>
      </c>
      <c r="L1848" s="2" t="s">
        <v>1114</v>
      </c>
      <c r="M1848" s="2" t="str">
        <f t="shared" si="31"/>
        <v>02</v>
      </c>
      <c r="N1848" s="2" t="s">
        <v>467</v>
      </c>
      <c r="O1848" s="2" t="s">
        <v>4373</v>
      </c>
      <c r="P1848" s="2" t="s">
        <v>4375</v>
      </c>
    </row>
    <row r="1849" spans="1:16">
      <c r="A1849" s="4">
        <v>46244.264293981483</v>
      </c>
      <c r="B1849" s="2" t="s">
        <v>268</v>
      </c>
      <c r="C1849" s="2" t="s">
        <v>3441</v>
      </c>
      <c r="D1849" s="2" t="s">
        <v>3513</v>
      </c>
      <c r="E1849" s="2">
        <v>12</v>
      </c>
      <c r="F1849" s="2"/>
      <c r="G1849" s="2">
        <v>12</v>
      </c>
      <c r="H1849" s="2" t="s">
        <v>693</v>
      </c>
      <c r="I1849" s="2" t="s">
        <v>695</v>
      </c>
      <c r="J1849" s="2" t="s">
        <v>2537</v>
      </c>
      <c r="K1849" s="2" t="s">
        <v>1855</v>
      </c>
      <c r="L1849" s="2" t="s">
        <v>1114</v>
      </c>
      <c r="M1849" s="2" t="str">
        <f t="shared" si="31"/>
        <v>02</v>
      </c>
      <c r="N1849" s="2" t="s">
        <v>3354</v>
      </c>
      <c r="O1849" s="2" t="s">
        <v>4373</v>
      </c>
      <c r="P1849" s="2" t="s">
        <v>4375</v>
      </c>
    </row>
    <row r="1850" spans="1:16">
      <c r="A1850" s="4">
        <v>46244.262789351851</v>
      </c>
      <c r="B1850" s="2" t="s">
        <v>120</v>
      </c>
      <c r="C1850" s="2" t="s">
        <v>3441</v>
      </c>
      <c r="D1850" s="2" t="s">
        <v>3513</v>
      </c>
      <c r="E1850" s="2">
        <v>12</v>
      </c>
      <c r="F1850" s="2"/>
      <c r="G1850" s="2">
        <v>12</v>
      </c>
      <c r="H1850" s="2" t="s">
        <v>693</v>
      </c>
      <c r="I1850" s="2" t="s">
        <v>695</v>
      </c>
      <c r="J1850" s="2" t="s">
        <v>2537</v>
      </c>
      <c r="K1850" s="2" t="s">
        <v>1855</v>
      </c>
      <c r="L1850" s="2" t="s">
        <v>1114</v>
      </c>
      <c r="M1850" s="2" t="str">
        <f t="shared" si="31"/>
        <v>02</v>
      </c>
      <c r="N1850" s="2" t="s">
        <v>1068</v>
      </c>
      <c r="O1850" s="2" t="s">
        <v>4373</v>
      </c>
      <c r="P1850" s="2" t="s">
        <v>4375</v>
      </c>
    </row>
    <row r="1851" spans="1:16">
      <c r="A1851" s="4">
        <v>46244.262696759259</v>
      </c>
      <c r="B1851" s="2" t="s">
        <v>3620</v>
      </c>
      <c r="C1851" s="2" t="s">
        <v>3441</v>
      </c>
      <c r="D1851" s="2" t="s">
        <v>3513</v>
      </c>
      <c r="E1851" s="2">
        <v>12</v>
      </c>
      <c r="F1851" s="2"/>
      <c r="G1851" s="2">
        <v>12</v>
      </c>
      <c r="H1851" s="2" t="s">
        <v>693</v>
      </c>
      <c r="I1851" s="2" t="s">
        <v>695</v>
      </c>
      <c r="J1851" s="2" t="s">
        <v>2537</v>
      </c>
      <c r="K1851" s="2" t="s">
        <v>1855</v>
      </c>
      <c r="L1851" s="2" t="s">
        <v>1114</v>
      </c>
      <c r="M1851" s="2" t="str">
        <f t="shared" si="31"/>
        <v>02</v>
      </c>
      <c r="N1851" s="2" t="s">
        <v>4318</v>
      </c>
      <c r="O1851" s="2" t="s">
        <v>4373</v>
      </c>
      <c r="P1851" s="2" t="s">
        <v>4375</v>
      </c>
    </row>
    <row r="1852" spans="1:16">
      <c r="A1852" s="4">
        <v>46244.262106481481</v>
      </c>
      <c r="B1852" s="2" t="s">
        <v>1542</v>
      </c>
      <c r="C1852" s="2" t="s">
        <v>3441</v>
      </c>
      <c r="D1852" s="2" t="s">
        <v>3513</v>
      </c>
      <c r="E1852" s="2">
        <v>12</v>
      </c>
      <c r="F1852" s="2"/>
      <c r="G1852" s="2">
        <v>12</v>
      </c>
      <c r="H1852" s="2" t="s">
        <v>693</v>
      </c>
      <c r="I1852" s="2" t="s">
        <v>695</v>
      </c>
      <c r="J1852" s="2" t="s">
        <v>2537</v>
      </c>
      <c r="K1852" s="2" t="s">
        <v>1855</v>
      </c>
      <c r="L1852" s="2" t="s">
        <v>1114</v>
      </c>
      <c r="M1852" s="2" t="str">
        <f t="shared" si="31"/>
        <v>02</v>
      </c>
      <c r="N1852" s="2" t="s">
        <v>2217</v>
      </c>
      <c r="O1852" s="2" t="s">
        <v>4373</v>
      </c>
      <c r="P1852" s="2" t="s">
        <v>4375</v>
      </c>
    </row>
    <row r="1853" spans="1:16">
      <c r="A1853" s="4">
        <v>46244.261979166666</v>
      </c>
      <c r="B1853" s="2" t="s">
        <v>603</v>
      </c>
      <c r="C1853" s="2" t="s">
        <v>3441</v>
      </c>
      <c r="D1853" s="2" t="s">
        <v>3513</v>
      </c>
      <c r="E1853" s="2">
        <v>12</v>
      </c>
      <c r="F1853" s="2"/>
      <c r="G1853" s="2">
        <v>12</v>
      </c>
      <c r="H1853" s="2" t="s">
        <v>693</v>
      </c>
      <c r="I1853" s="2" t="s">
        <v>695</v>
      </c>
      <c r="J1853" s="2" t="s">
        <v>2537</v>
      </c>
      <c r="K1853" s="2" t="s">
        <v>1855</v>
      </c>
      <c r="L1853" s="2" t="s">
        <v>1114</v>
      </c>
      <c r="M1853" s="2" t="str">
        <f t="shared" si="31"/>
        <v>02</v>
      </c>
      <c r="N1853" s="2" t="s">
        <v>1336</v>
      </c>
      <c r="O1853" s="2" t="s">
        <v>4373</v>
      </c>
      <c r="P1853" s="2" t="s">
        <v>4375</v>
      </c>
    </row>
    <row r="1854" spans="1:16">
      <c r="A1854" s="4">
        <v>46244.261261574073</v>
      </c>
      <c r="B1854" s="2" t="s">
        <v>2362</v>
      </c>
      <c r="C1854" s="2" t="s">
        <v>3441</v>
      </c>
      <c r="D1854" s="2" t="s">
        <v>3513</v>
      </c>
      <c r="E1854" s="2">
        <v>12</v>
      </c>
      <c r="F1854" s="2"/>
      <c r="G1854" s="2">
        <v>12</v>
      </c>
      <c r="H1854" s="2" t="s">
        <v>693</v>
      </c>
      <c r="I1854" s="2" t="s">
        <v>695</v>
      </c>
      <c r="J1854" s="2" t="s">
        <v>2537</v>
      </c>
      <c r="K1854" s="2" t="s">
        <v>1855</v>
      </c>
      <c r="L1854" s="2" t="s">
        <v>1114</v>
      </c>
      <c r="M1854" s="2" t="str">
        <f t="shared" si="31"/>
        <v>02</v>
      </c>
      <c r="N1854" s="2" t="s">
        <v>2087</v>
      </c>
      <c r="O1854" s="2" t="s">
        <v>4373</v>
      </c>
      <c r="P1854" s="2" t="s">
        <v>4375</v>
      </c>
    </row>
    <row r="1855" spans="1:16">
      <c r="A1855" s="4">
        <v>46244.261192129627</v>
      </c>
      <c r="B1855" s="2" t="s">
        <v>1958</v>
      </c>
      <c r="C1855" s="2" t="s">
        <v>3441</v>
      </c>
      <c r="D1855" s="2" t="s">
        <v>3513</v>
      </c>
      <c r="E1855" s="2">
        <v>12</v>
      </c>
      <c r="F1855" s="2"/>
      <c r="G1855" s="2">
        <v>12</v>
      </c>
      <c r="H1855" s="2" t="s">
        <v>693</v>
      </c>
      <c r="I1855" s="2" t="s">
        <v>695</v>
      </c>
      <c r="J1855" s="2" t="s">
        <v>2537</v>
      </c>
      <c r="K1855" s="2" t="s">
        <v>1855</v>
      </c>
      <c r="L1855" s="2" t="s">
        <v>1114</v>
      </c>
      <c r="M1855" s="2" t="str">
        <f t="shared" si="31"/>
        <v>02</v>
      </c>
      <c r="N1855" s="2" t="s">
        <v>64</v>
      </c>
      <c r="O1855" s="2" t="s">
        <v>4373</v>
      </c>
      <c r="P1855" s="2" t="s">
        <v>4375</v>
      </c>
    </row>
    <row r="1856" spans="1:16">
      <c r="A1856" s="4">
        <v>46244.260034722225</v>
      </c>
      <c r="B1856" s="2" t="s">
        <v>3177</v>
      </c>
      <c r="C1856" s="2" t="s">
        <v>3441</v>
      </c>
      <c r="D1856" s="2" t="s">
        <v>3513</v>
      </c>
      <c r="E1856" s="2">
        <v>12</v>
      </c>
      <c r="F1856" s="2"/>
      <c r="G1856" s="2">
        <v>12</v>
      </c>
      <c r="H1856" s="2" t="s">
        <v>693</v>
      </c>
      <c r="I1856" s="2" t="s">
        <v>695</v>
      </c>
      <c r="J1856" s="2" t="s">
        <v>2537</v>
      </c>
      <c r="K1856" s="2" t="s">
        <v>1855</v>
      </c>
      <c r="L1856" s="2" t="s">
        <v>1114</v>
      </c>
      <c r="M1856" s="2" t="str">
        <f t="shared" si="31"/>
        <v>02</v>
      </c>
      <c r="N1856" s="2" t="s">
        <v>2269</v>
      </c>
      <c r="O1856" s="2" t="s">
        <v>4373</v>
      </c>
      <c r="P1856" s="2" t="s">
        <v>4375</v>
      </c>
    </row>
    <row r="1857" spans="1:28">
      <c r="A1857" s="4">
        <v>46244.259930555556</v>
      </c>
      <c r="B1857" s="2" t="s">
        <v>1582</v>
      </c>
      <c r="C1857" s="2" t="s">
        <v>3441</v>
      </c>
      <c r="D1857" s="2" t="s">
        <v>3513</v>
      </c>
      <c r="E1857" s="2">
        <v>12</v>
      </c>
      <c r="F1857" s="2"/>
      <c r="G1857" s="2">
        <v>12</v>
      </c>
      <c r="H1857" s="2" t="s">
        <v>693</v>
      </c>
      <c r="I1857" s="2" t="s">
        <v>695</v>
      </c>
      <c r="J1857" s="2" t="s">
        <v>2537</v>
      </c>
      <c r="K1857" s="2" t="s">
        <v>1855</v>
      </c>
      <c r="L1857" s="2" t="s">
        <v>1114</v>
      </c>
      <c r="M1857" s="2" t="str">
        <f t="shared" si="31"/>
        <v>02</v>
      </c>
      <c r="N1857" s="2" t="s">
        <v>320</v>
      </c>
      <c r="O1857" s="2" t="s">
        <v>4373</v>
      </c>
      <c r="P1857" s="2" t="s">
        <v>4375</v>
      </c>
    </row>
    <row r="1858" spans="1:28">
      <c r="A1858" s="4">
        <v>46244.259236111109</v>
      </c>
      <c r="B1858" s="2" t="s">
        <v>2764</v>
      </c>
      <c r="C1858" s="2" t="s">
        <v>3441</v>
      </c>
      <c r="D1858" s="2" t="s">
        <v>3513</v>
      </c>
      <c r="E1858" s="2">
        <v>12</v>
      </c>
      <c r="F1858" s="2"/>
      <c r="G1858" s="2">
        <v>12</v>
      </c>
      <c r="H1858" s="2" t="s">
        <v>693</v>
      </c>
      <c r="I1858" s="2" t="s">
        <v>695</v>
      </c>
      <c r="J1858" s="2" t="s">
        <v>2537</v>
      </c>
      <c r="K1858" s="2" t="s">
        <v>1855</v>
      </c>
      <c r="L1858" s="2" t="s">
        <v>1114</v>
      </c>
      <c r="M1858" s="2" t="str">
        <f t="shared" ref="M1858:M1921" si="32">RIGHT(L1858,2)</f>
        <v>02</v>
      </c>
      <c r="N1858" s="2" t="s">
        <v>2198</v>
      </c>
      <c r="O1858" s="2" t="s">
        <v>4373</v>
      </c>
      <c r="P1858" s="2" t="s">
        <v>4375</v>
      </c>
    </row>
    <row r="1859" spans="1:28">
      <c r="A1859" s="4">
        <v>46244.259039351855</v>
      </c>
      <c r="B1859" s="2" t="s">
        <v>3633</v>
      </c>
      <c r="C1859" s="2" t="s">
        <v>3441</v>
      </c>
      <c r="D1859" s="2" t="s">
        <v>3513</v>
      </c>
      <c r="E1859" s="2">
        <v>12</v>
      </c>
      <c r="F1859" s="2"/>
      <c r="G1859" s="2">
        <v>12</v>
      </c>
      <c r="H1859" s="2" t="s">
        <v>693</v>
      </c>
      <c r="I1859" s="2" t="s">
        <v>695</v>
      </c>
      <c r="J1859" s="2" t="s">
        <v>2537</v>
      </c>
      <c r="K1859" s="2" t="s">
        <v>1855</v>
      </c>
      <c r="L1859" s="2" t="s">
        <v>1114</v>
      </c>
      <c r="M1859" s="2" t="str">
        <f t="shared" si="32"/>
        <v>02</v>
      </c>
      <c r="N1859" s="2" t="s">
        <v>34</v>
      </c>
      <c r="O1859" s="2" t="s">
        <v>4373</v>
      </c>
      <c r="P1859" s="2" t="s">
        <v>4375</v>
      </c>
    </row>
    <row r="1860" spans="1:28">
      <c r="A1860" s="4">
        <v>46244.258275462962</v>
      </c>
      <c r="B1860" s="2" t="s">
        <v>3564</v>
      </c>
      <c r="C1860" s="2" t="s">
        <v>3441</v>
      </c>
      <c r="D1860" s="2" t="s">
        <v>3513</v>
      </c>
      <c r="E1860" s="2">
        <v>12</v>
      </c>
      <c r="F1860" s="2"/>
      <c r="G1860" s="2">
        <v>12</v>
      </c>
      <c r="H1860" s="2" t="s">
        <v>693</v>
      </c>
      <c r="I1860" s="2" t="s">
        <v>695</v>
      </c>
      <c r="J1860" s="2" t="s">
        <v>2537</v>
      </c>
      <c r="K1860" s="2" t="s">
        <v>1855</v>
      </c>
      <c r="L1860" s="2" t="s">
        <v>1114</v>
      </c>
      <c r="M1860" s="2" t="str">
        <f t="shared" si="32"/>
        <v>02</v>
      </c>
      <c r="N1860" s="2" t="s">
        <v>194</v>
      </c>
      <c r="O1860" s="2" t="s">
        <v>4373</v>
      </c>
      <c r="P1860" s="2" t="s">
        <v>4375</v>
      </c>
    </row>
    <row r="1861" spans="1:28">
      <c r="A1861" s="4">
        <v>46244.258206018516</v>
      </c>
      <c r="B1861" s="2" t="s">
        <v>2906</v>
      </c>
      <c r="C1861" s="2" t="s">
        <v>3441</v>
      </c>
      <c r="D1861" s="2" t="s">
        <v>3513</v>
      </c>
      <c r="E1861" s="2">
        <v>12</v>
      </c>
      <c r="F1861" s="2"/>
      <c r="G1861" s="2">
        <v>12</v>
      </c>
      <c r="H1861" s="2" t="s">
        <v>693</v>
      </c>
      <c r="I1861" s="2" t="s">
        <v>695</v>
      </c>
      <c r="J1861" s="2" t="s">
        <v>2537</v>
      </c>
      <c r="K1861" s="2" t="s">
        <v>1855</v>
      </c>
      <c r="L1861" s="2" t="s">
        <v>1114</v>
      </c>
      <c r="M1861" s="2" t="str">
        <f t="shared" si="32"/>
        <v>02</v>
      </c>
      <c r="N1861" s="2" t="s">
        <v>260</v>
      </c>
      <c r="O1861" s="2" t="s">
        <v>4373</v>
      </c>
      <c r="P1861" s="2" t="s">
        <v>4375</v>
      </c>
    </row>
    <row r="1862" spans="1:28">
      <c r="A1862" s="4">
        <v>46244.257152777776</v>
      </c>
      <c r="B1862" s="2" t="s">
        <v>813</v>
      </c>
      <c r="C1862" s="2" t="s">
        <v>3441</v>
      </c>
      <c r="D1862" s="2" t="s">
        <v>3513</v>
      </c>
      <c r="E1862" s="2">
        <v>12</v>
      </c>
      <c r="F1862" s="2"/>
      <c r="G1862" s="2">
        <v>12</v>
      </c>
      <c r="H1862" s="2" t="s">
        <v>693</v>
      </c>
      <c r="I1862" s="2" t="s">
        <v>695</v>
      </c>
      <c r="J1862" s="2" t="s">
        <v>2537</v>
      </c>
      <c r="K1862" s="2" t="s">
        <v>1855</v>
      </c>
      <c r="L1862" s="2" t="s">
        <v>1114</v>
      </c>
      <c r="M1862" s="2" t="str">
        <f t="shared" si="32"/>
        <v>02</v>
      </c>
      <c r="N1862" s="2" t="s">
        <v>177</v>
      </c>
      <c r="O1862" s="2" t="s">
        <v>4373</v>
      </c>
      <c r="P1862" s="2" t="s">
        <v>4375</v>
      </c>
    </row>
    <row r="1863" spans="1:28">
      <c r="A1863" s="4">
        <v>46244.257071759261</v>
      </c>
      <c r="B1863" s="2" t="s">
        <v>2357</v>
      </c>
      <c r="C1863" s="2" t="s">
        <v>3441</v>
      </c>
      <c r="D1863" s="2" t="s">
        <v>3513</v>
      </c>
      <c r="E1863" s="2">
        <v>12</v>
      </c>
      <c r="F1863" s="2"/>
      <c r="G1863" s="2">
        <v>12</v>
      </c>
      <c r="H1863" s="2" t="s">
        <v>693</v>
      </c>
      <c r="I1863" s="2" t="s">
        <v>695</v>
      </c>
      <c r="J1863" s="2" t="s">
        <v>2537</v>
      </c>
      <c r="K1863" s="2" t="s">
        <v>1855</v>
      </c>
      <c r="L1863" s="2" t="s">
        <v>1114</v>
      </c>
      <c r="M1863" s="2" t="str">
        <f t="shared" si="32"/>
        <v>02</v>
      </c>
      <c r="N1863" s="2" t="s">
        <v>1930</v>
      </c>
      <c r="O1863" s="2" t="s">
        <v>4373</v>
      </c>
      <c r="P1863" s="2" t="s">
        <v>4375</v>
      </c>
    </row>
    <row r="1864" spans="1:28">
      <c r="A1864" s="4">
        <v>46244.256412037037</v>
      </c>
      <c r="B1864" s="2" t="s">
        <v>4304</v>
      </c>
      <c r="C1864" s="2" t="s">
        <v>3441</v>
      </c>
      <c r="D1864" s="2" t="s">
        <v>3513</v>
      </c>
      <c r="E1864" s="2">
        <v>12</v>
      </c>
      <c r="F1864" s="2"/>
      <c r="G1864" s="2">
        <v>12</v>
      </c>
      <c r="H1864" s="2" t="s">
        <v>693</v>
      </c>
      <c r="I1864" s="2" t="s">
        <v>695</v>
      </c>
      <c r="J1864" s="2" t="s">
        <v>2537</v>
      </c>
      <c r="K1864" s="2" t="s">
        <v>1855</v>
      </c>
      <c r="L1864" s="2" t="s">
        <v>1114</v>
      </c>
      <c r="M1864" s="2" t="str">
        <f t="shared" si="32"/>
        <v>02</v>
      </c>
      <c r="N1864" s="2" t="s">
        <v>2256</v>
      </c>
      <c r="O1864" s="2" t="s">
        <v>4373</v>
      </c>
      <c r="P1864" s="2" t="s">
        <v>4375</v>
      </c>
    </row>
    <row r="1865" spans="1:28">
      <c r="A1865" s="4">
        <v>46244.256388888891</v>
      </c>
      <c r="B1865" s="2" t="s">
        <v>3138</v>
      </c>
      <c r="C1865" s="2" t="s">
        <v>3441</v>
      </c>
      <c r="D1865" s="2" t="s">
        <v>3513</v>
      </c>
      <c r="E1865" s="2">
        <v>12</v>
      </c>
      <c r="F1865" s="2"/>
      <c r="G1865" s="2">
        <v>12</v>
      </c>
      <c r="H1865" s="2" t="s">
        <v>693</v>
      </c>
      <c r="I1865" s="2" t="s">
        <v>695</v>
      </c>
      <c r="J1865" s="2" t="s">
        <v>2537</v>
      </c>
      <c r="K1865" s="2" t="s">
        <v>1855</v>
      </c>
      <c r="L1865" s="2" t="s">
        <v>1114</v>
      </c>
      <c r="M1865" s="2" t="str">
        <f t="shared" si="32"/>
        <v>02</v>
      </c>
      <c r="N1865" s="2" t="s">
        <v>953</v>
      </c>
      <c r="O1865" s="2" t="s">
        <v>4373</v>
      </c>
      <c r="P1865" s="2" t="s">
        <v>4375</v>
      </c>
    </row>
    <row r="1866" spans="1:28">
      <c r="A1866" s="4">
        <v>46244.255891203706</v>
      </c>
      <c r="B1866" s="2" t="s">
        <v>2187</v>
      </c>
      <c r="C1866" s="2" t="s">
        <v>3441</v>
      </c>
      <c r="D1866" s="2" t="s">
        <v>3513</v>
      </c>
      <c r="E1866" s="2">
        <v>12</v>
      </c>
      <c r="F1866" s="2"/>
      <c r="G1866" s="2">
        <v>12</v>
      </c>
      <c r="H1866" s="2" t="s">
        <v>693</v>
      </c>
      <c r="I1866" s="2" t="s">
        <v>695</v>
      </c>
      <c r="J1866" s="2" t="s">
        <v>2537</v>
      </c>
      <c r="K1866" s="2" t="s">
        <v>1855</v>
      </c>
      <c r="L1866" s="2" t="s">
        <v>1114</v>
      </c>
      <c r="M1866" s="2" t="str">
        <f t="shared" si="32"/>
        <v>02</v>
      </c>
      <c r="N1866" s="2" t="s">
        <v>3903</v>
      </c>
      <c r="O1866" s="2" t="s">
        <v>4373</v>
      </c>
      <c r="P1866" s="2" t="s">
        <v>4375</v>
      </c>
    </row>
    <row r="1867" spans="1:28">
      <c r="A1867" s="4">
        <v>46244.255486111113</v>
      </c>
      <c r="B1867" s="2" t="s">
        <v>1479</v>
      </c>
      <c r="C1867" s="2" t="s">
        <v>3441</v>
      </c>
      <c r="D1867" s="2" t="s">
        <v>3513</v>
      </c>
      <c r="E1867" s="2">
        <v>12</v>
      </c>
      <c r="F1867" s="2"/>
      <c r="G1867" s="2">
        <v>12</v>
      </c>
      <c r="H1867" s="2" t="s">
        <v>693</v>
      </c>
      <c r="I1867" s="2" t="s">
        <v>695</v>
      </c>
      <c r="J1867" s="2" t="s">
        <v>2537</v>
      </c>
      <c r="K1867" s="2" t="s">
        <v>1855</v>
      </c>
      <c r="L1867" s="2" t="s">
        <v>1114</v>
      </c>
      <c r="M1867" s="2" t="str">
        <f t="shared" si="32"/>
        <v>02</v>
      </c>
      <c r="N1867" s="2" t="s">
        <v>2732</v>
      </c>
      <c r="O1867" s="2" t="s">
        <v>4373</v>
      </c>
      <c r="P1867" s="2" t="s">
        <v>4375</v>
      </c>
    </row>
    <row r="1868" spans="1:28">
      <c r="A1868" s="4">
        <v>46244.254502314812</v>
      </c>
      <c r="B1868" s="2" t="s">
        <v>3311</v>
      </c>
      <c r="C1868" s="2" t="s">
        <v>3441</v>
      </c>
      <c r="D1868" s="2" t="s">
        <v>3513</v>
      </c>
      <c r="E1868" s="2">
        <v>12</v>
      </c>
      <c r="F1868" s="2"/>
      <c r="G1868" s="2">
        <v>12</v>
      </c>
      <c r="H1868" s="2" t="s">
        <v>693</v>
      </c>
      <c r="I1868" s="2" t="s">
        <v>695</v>
      </c>
      <c r="J1868" s="2" t="s">
        <v>2537</v>
      </c>
      <c r="K1868" s="2" t="s">
        <v>1855</v>
      </c>
      <c r="L1868" s="2" t="s">
        <v>1114</v>
      </c>
      <c r="M1868" s="2" t="str">
        <f t="shared" si="32"/>
        <v>02</v>
      </c>
      <c r="N1868" s="2" t="s">
        <v>3980</v>
      </c>
      <c r="O1868" s="2" t="s">
        <v>4373</v>
      </c>
      <c r="P1868" s="2" t="s">
        <v>4375</v>
      </c>
      <c r="R1868" s="17"/>
      <c r="S1868" s="17"/>
      <c r="T1868" s="17"/>
      <c r="U1868" s="17"/>
      <c r="V1868" s="17"/>
      <c r="W1868" s="17"/>
      <c r="X1868" s="17"/>
      <c r="Y1868" s="17"/>
      <c r="Z1868" s="17"/>
      <c r="AA1868" s="18"/>
      <c r="AB1868" s="17"/>
    </row>
    <row r="1869" spans="1:28">
      <c r="A1869" s="4">
        <v>46244.254502314812</v>
      </c>
      <c r="B1869" s="2" t="s">
        <v>3640</v>
      </c>
      <c r="C1869" s="2" t="s">
        <v>3441</v>
      </c>
      <c r="D1869" s="2" t="s">
        <v>3513</v>
      </c>
      <c r="E1869" s="2">
        <v>12</v>
      </c>
      <c r="F1869" s="2"/>
      <c r="G1869" s="2">
        <v>12</v>
      </c>
      <c r="H1869" s="2" t="s">
        <v>693</v>
      </c>
      <c r="I1869" s="2" t="s">
        <v>695</v>
      </c>
      <c r="J1869" s="2" t="s">
        <v>2537</v>
      </c>
      <c r="K1869" s="2" t="s">
        <v>1855</v>
      </c>
      <c r="L1869" s="2" t="s">
        <v>1114</v>
      </c>
      <c r="M1869" s="2" t="str">
        <f t="shared" si="32"/>
        <v>02</v>
      </c>
      <c r="N1869" s="2" t="s">
        <v>3151</v>
      </c>
      <c r="O1869" s="2" t="s">
        <v>4373</v>
      </c>
      <c r="P1869" s="2" t="s">
        <v>4375</v>
      </c>
      <c r="R1869" s="17"/>
      <c r="S1869" s="17"/>
      <c r="T1869" s="17"/>
      <c r="U1869" s="17"/>
      <c r="V1869" s="17"/>
      <c r="W1869" s="17"/>
      <c r="X1869" s="17"/>
      <c r="Y1869" s="17"/>
      <c r="Z1869" s="17"/>
      <c r="AA1869" s="18"/>
      <c r="AB1869" s="17"/>
    </row>
    <row r="1870" spans="1:28">
      <c r="A1870" s="4">
        <v>46244.253703703704</v>
      </c>
      <c r="B1870" s="2" t="s">
        <v>4162</v>
      </c>
      <c r="C1870" s="2" t="s">
        <v>3441</v>
      </c>
      <c r="D1870" s="2" t="s">
        <v>3513</v>
      </c>
      <c r="E1870" s="2">
        <v>12</v>
      </c>
      <c r="F1870" s="2"/>
      <c r="G1870" s="2">
        <v>12</v>
      </c>
      <c r="H1870" s="2" t="s">
        <v>693</v>
      </c>
      <c r="I1870" s="2" t="s">
        <v>695</v>
      </c>
      <c r="J1870" s="2" t="s">
        <v>2537</v>
      </c>
      <c r="K1870" s="2" t="s">
        <v>1855</v>
      </c>
      <c r="L1870" s="2" t="s">
        <v>1114</v>
      </c>
      <c r="M1870" s="2" t="str">
        <f t="shared" si="32"/>
        <v>02</v>
      </c>
      <c r="N1870" s="2" t="s">
        <v>1957</v>
      </c>
      <c r="O1870" s="2" t="s">
        <v>4373</v>
      </c>
      <c r="P1870" s="2" t="s">
        <v>4375</v>
      </c>
      <c r="R1870" s="17"/>
      <c r="S1870" s="17"/>
      <c r="T1870" s="17"/>
      <c r="U1870" s="17"/>
      <c r="V1870" s="17"/>
      <c r="W1870" s="17"/>
      <c r="X1870" s="17"/>
      <c r="Y1870" s="17"/>
      <c r="Z1870" s="17"/>
      <c r="AA1870" s="18"/>
      <c r="AB1870" s="17"/>
    </row>
    <row r="1871" spans="1:28">
      <c r="A1871" s="4">
        <v>46244.253495370373</v>
      </c>
      <c r="B1871" s="2" t="s">
        <v>3663</v>
      </c>
      <c r="C1871" s="2" t="s">
        <v>3441</v>
      </c>
      <c r="D1871" s="2" t="s">
        <v>3513</v>
      </c>
      <c r="E1871" s="2">
        <v>12</v>
      </c>
      <c r="F1871" s="2"/>
      <c r="G1871" s="2">
        <v>12</v>
      </c>
      <c r="H1871" s="2" t="s">
        <v>693</v>
      </c>
      <c r="I1871" s="2" t="s">
        <v>695</v>
      </c>
      <c r="J1871" s="2" t="s">
        <v>2537</v>
      </c>
      <c r="K1871" s="2" t="s">
        <v>1855</v>
      </c>
      <c r="L1871" s="2" t="s">
        <v>1114</v>
      </c>
      <c r="M1871" s="2" t="str">
        <f t="shared" si="32"/>
        <v>02</v>
      </c>
      <c r="N1871" s="2" t="s">
        <v>1053</v>
      </c>
      <c r="O1871" s="2" t="s">
        <v>4373</v>
      </c>
      <c r="P1871" s="2" t="s">
        <v>4375</v>
      </c>
      <c r="R1871" s="17"/>
      <c r="S1871" s="17"/>
      <c r="T1871" s="17"/>
      <c r="U1871" s="17"/>
      <c r="V1871" s="17"/>
      <c r="W1871" s="17"/>
      <c r="X1871" s="17"/>
      <c r="Y1871" s="17"/>
      <c r="Z1871" s="17"/>
      <c r="AA1871" s="18"/>
      <c r="AB1871" s="17"/>
    </row>
    <row r="1872" spans="1:28">
      <c r="A1872" s="4">
        <v>46248.393159722225</v>
      </c>
      <c r="B1872" s="2" t="s">
        <v>3923</v>
      </c>
      <c r="C1872" s="2" t="s">
        <v>2895</v>
      </c>
      <c r="D1872" s="2" t="s">
        <v>3307</v>
      </c>
      <c r="E1872" s="2">
        <v>12</v>
      </c>
      <c r="F1872" s="2"/>
      <c r="G1872" s="2">
        <v>12</v>
      </c>
      <c r="H1872" s="2" t="s">
        <v>3931</v>
      </c>
      <c r="I1872" s="2" t="s">
        <v>695</v>
      </c>
      <c r="J1872" s="2" t="s">
        <v>2537</v>
      </c>
      <c r="K1872" s="2" t="s">
        <v>1855</v>
      </c>
      <c r="L1872" s="2" t="s">
        <v>338</v>
      </c>
      <c r="M1872" s="2" t="str">
        <f t="shared" si="32"/>
        <v>11</v>
      </c>
      <c r="N1872" s="2" t="s">
        <v>775</v>
      </c>
      <c r="O1872" s="2" t="s">
        <v>4373</v>
      </c>
      <c r="P1872" s="2" t="s">
        <v>4379</v>
      </c>
    </row>
    <row r="1873" spans="1:16">
      <c r="A1873" s="4">
        <v>46248.393101851849</v>
      </c>
      <c r="B1873" s="2" t="s">
        <v>4343</v>
      </c>
      <c r="C1873" s="2" t="s">
        <v>2895</v>
      </c>
      <c r="D1873" s="2" t="s">
        <v>3307</v>
      </c>
      <c r="E1873" s="2">
        <v>8</v>
      </c>
      <c r="F1873" s="2"/>
      <c r="G1873" s="2">
        <v>8</v>
      </c>
      <c r="H1873" s="2" t="s">
        <v>3931</v>
      </c>
      <c r="I1873" s="2" t="s">
        <v>695</v>
      </c>
      <c r="J1873" s="2" t="s">
        <v>2537</v>
      </c>
      <c r="K1873" s="2" t="s">
        <v>1855</v>
      </c>
      <c r="L1873" s="2" t="s">
        <v>338</v>
      </c>
      <c r="M1873" s="2" t="str">
        <f t="shared" si="32"/>
        <v>11</v>
      </c>
      <c r="N1873" s="2" t="s">
        <v>1875</v>
      </c>
      <c r="O1873" s="2" t="s">
        <v>4373</v>
      </c>
      <c r="P1873" s="2" t="s">
        <v>4379</v>
      </c>
    </row>
    <row r="1874" spans="1:16">
      <c r="A1874" s="4">
        <v>46248.391921296294</v>
      </c>
      <c r="B1874" s="2" t="s">
        <v>639</v>
      </c>
      <c r="C1874" s="2" t="s">
        <v>2895</v>
      </c>
      <c r="D1874" s="2" t="s">
        <v>3307</v>
      </c>
      <c r="E1874" s="2">
        <v>12</v>
      </c>
      <c r="F1874" s="2"/>
      <c r="G1874" s="2">
        <v>12</v>
      </c>
      <c r="H1874" s="2" t="s">
        <v>3931</v>
      </c>
      <c r="I1874" s="2" t="s">
        <v>695</v>
      </c>
      <c r="J1874" s="2" t="s">
        <v>2537</v>
      </c>
      <c r="K1874" s="2" t="s">
        <v>1855</v>
      </c>
      <c r="L1874" s="2" t="s">
        <v>338</v>
      </c>
      <c r="M1874" s="2" t="str">
        <f t="shared" si="32"/>
        <v>11</v>
      </c>
      <c r="N1874" s="2" t="s">
        <v>1849</v>
      </c>
      <c r="O1874" s="2" t="s">
        <v>4373</v>
      </c>
      <c r="P1874" s="2" t="s">
        <v>4379</v>
      </c>
    </row>
    <row r="1875" spans="1:16">
      <c r="A1875" s="4">
        <v>46248.391817129632</v>
      </c>
      <c r="B1875" s="2" t="s">
        <v>3963</v>
      </c>
      <c r="C1875" s="2" t="s">
        <v>2895</v>
      </c>
      <c r="D1875" s="2" t="s">
        <v>3307</v>
      </c>
      <c r="E1875" s="2">
        <v>12</v>
      </c>
      <c r="F1875" s="2"/>
      <c r="G1875" s="2">
        <v>12</v>
      </c>
      <c r="H1875" s="2" t="s">
        <v>3931</v>
      </c>
      <c r="I1875" s="2" t="s">
        <v>695</v>
      </c>
      <c r="J1875" s="2" t="s">
        <v>2537</v>
      </c>
      <c r="K1875" s="2" t="s">
        <v>1855</v>
      </c>
      <c r="L1875" s="2" t="s">
        <v>338</v>
      </c>
      <c r="M1875" s="2" t="str">
        <f t="shared" si="32"/>
        <v>11</v>
      </c>
      <c r="N1875" s="2" t="s">
        <v>3526</v>
      </c>
      <c r="O1875" s="2" t="s">
        <v>4373</v>
      </c>
      <c r="P1875" s="2" t="s">
        <v>4379</v>
      </c>
    </row>
    <row r="1876" spans="1:16">
      <c r="A1876" s="4">
        <v>46248.389884259261</v>
      </c>
      <c r="B1876" s="2" t="s">
        <v>569</v>
      </c>
      <c r="C1876" s="2" t="s">
        <v>2895</v>
      </c>
      <c r="D1876" s="2" t="s">
        <v>3307</v>
      </c>
      <c r="E1876" s="2">
        <v>12</v>
      </c>
      <c r="F1876" s="2"/>
      <c r="G1876" s="2">
        <v>12</v>
      </c>
      <c r="H1876" s="2" t="s">
        <v>3931</v>
      </c>
      <c r="I1876" s="2" t="s">
        <v>695</v>
      </c>
      <c r="J1876" s="2" t="s">
        <v>2537</v>
      </c>
      <c r="K1876" s="2" t="s">
        <v>1855</v>
      </c>
      <c r="L1876" s="2" t="s">
        <v>338</v>
      </c>
      <c r="M1876" s="2" t="str">
        <f t="shared" si="32"/>
        <v>11</v>
      </c>
      <c r="N1876" s="2" t="s">
        <v>742</v>
      </c>
      <c r="O1876" s="2" t="s">
        <v>4373</v>
      </c>
      <c r="P1876" s="2" t="s">
        <v>4379</v>
      </c>
    </row>
    <row r="1877" spans="1:16">
      <c r="A1877" s="4">
        <v>46248.389745370368</v>
      </c>
      <c r="B1877" s="2" t="s">
        <v>1073</v>
      </c>
      <c r="C1877" s="2" t="s">
        <v>2895</v>
      </c>
      <c r="D1877" s="2" t="s">
        <v>3307</v>
      </c>
      <c r="E1877" s="2">
        <v>12</v>
      </c>
      <c r="F1877" s="2"/>
      <c r="G1877" s="2">
        <v>12</v>
      </c>
      <c r="H1877" s="2" t="s">
        <v>3931</v>
      </c>
      <c r="I1877" s="2" t="s">
        <v>695</v>
      </c>
      <c r="J1877" s="2" t="s">
        <v>2537</v>
      </c>
      <c r="K1877" s="2" t="s">
        <v>1855</v>
      </c>
      <c r="L1877" s="2" t="s">
        <v>338</v>
      </c>
      <c r="M1877" s="2" t="str">
        <f t="shared" si="32"/>
        <v>11</v>
      </c>
      <c r="N1877" s="2" t="s">
        <v>2400</v>
      </c>
      <c r="O1877" s="2" t="s">
        <v>4373</v>
      </c>
      <c r="P1877" s="2" t="s">
        <v>4379</v>
      </c>
    </row>
    <row r="1878" spans="1:16">
      <c r="A1878" s="4">
        <v>46248.387824074074</v>
      </c>
      <c r="B1878" s="2" t="s">
        <v>330</v>
      </c>
      <c r="C1878" s="2" t="s">
        <v>2895</v>
      </c>
      <c r="D1878" s="2" t="s">
        <v>3307</v>
      </c>
      <c r="E1878" s="2">
        <v>12</v>
      </c>
      <c r="F1878" s="2"/>
      <c r="G1878" s="2">
        <v>12</v>
      </c>
      <c r="H1878" s="2" t="s">
        <v>3931</v>
      </c>
      <c r="I1878" s="2" t="s">
        <v>695</v>
      </c>
      <c r="J1878" s="2" t="s">
        <v>2537</v>
      </c>
      <c r="K1878" s="2" t="s">
        <v>1855</v>
      </c>
      <c r="L1878" s="2" t="s">
        <v>338</v>
      </c>
      <c r="M1878" s="2" t="str">
        <f t="shared" si="32"/>
        <v>11</v>
      </c>
      <c r="N1878" s="2" t="s">
        <v>2062</v>
      </c>
      <c r="O1878" s="2" t="s">
        <v>4373</v>
      </c>
      <c r="P1878" s="2" t="s">
        <v>4379</v>
      </c>
    </row>
    <row r="1879" spans="1:16">
      <c r="A1879" s="4">
        <v>46248.387754629628</v>
      </c>
      <c r="B1879" s="2" t="s">
        <v>1853</v>
      </c>
      <c r="C1879" s="2" t="s">
        <v>2895</v>
      </c>
      <c r="D1879" s="2" t="s">
        <v>3307</v>
      </c>
      <c r="E1879" s="2">
        <v>12</v>
      </c>
      <c r="F1879" s="2"/>
      <c r="G1879" s="2">
        <v>12</v>
      </c>
      <c r="H1879" s="2" t="s">
        <v>3931</v>
      </c>
      <c r="I1879" s="2" t="s">
        <v>695</v>
      </c>
      <c r="J1879" s="2" t="s">
        <v>2537</v>
      </c>
      <c r="K1879" s="2" t="s">
        <v>1855</v>
      </c>
      <c r="L1879" s="2" t="s">
        <v>338</v>
      </c>
      <c r="M1879" s="2" t="str">
        <f t="shared" si="32"/>
        <v>11</v>
      </c>
      <c r="N1879" s="2" t="s">
        <v>3395</v>
      </c>
      <c r="O1879" s="2" t="s">
        <v>4373</v>
      </c>
      <c r="P1879" s="2" t="s">
        <v>4379</v>
      </c>
    </row>
    <row r="1880" spans="1:16">
      <c r="A1880" s="4">
        <v>46248.386597222219</v>
      </c>
      <c r="B1880" s="2" t="s">
        <v>2978</v>
      </c>
      <c r="C1880" s="2" t="s">
        <v>2895</v>
      </c>
      <c r="D1880" s="2" t="s">
        <v>3307</v>
      </c>
      <c r="E1880" s="2">
        <v>12</v>
      </c>
      <c r="F1880" s="2"/>
      <c r="G1880" s="2">
        <v>12</v>
      </c>
      <c r="H1880" s="2" t="s">
        <v>3931</v>
      </c>
      <c r="I1880" s="2" t="s">
        <v>695</v>
      </c>
      <c r="J1880" s="2" t="s">
        <v>2537</v>
      </c>
      <c r="K1880" s="2" t="s">
        <v>1855</v>
      </c>
      <c r="L1880" s="2" t="s">
        <v>338</v>
      </c>
      <c r="M1880" s="2" t="str">
        <f t="shared" si="32"/>
        <v>11</v>
      </c>
      <c r="N1880" s="2" t="s">
        <v>608</v>
      </c>
      <c r="O1880" s="2" t="s">
        <v>4373</v>
      </c>
      <c r="P1880" s="2" t="s">
        <v>4379</v>
      </c>
    </row>
    <row r="1881" spans="1:16">
      <c r="A1881" s="4">
        <v>46248.386307870373</v>
      </c>
      <c r="B1881" s="2" t="s">
        <v>1549</v>
      </c>
      <c r="C1881" s="2" t="s">
        <v>2895</v>
      </c>
      <c r="D1881" s="2" t="s">
        <v>3307</v>
      </c>
      <c r="E1881" s="2">
        <v>12</v>
      </c>
      <c r="F1881" s="2"/>
      <c r="G1881" s="2">
        <v>12</v>
      </c>
      <c r="H1881" s="2" t="s">
        <v>3931</v>
      </c>
      <c r="I1881" s="2" t="s">
        <v>695</v>
      </c>
      <c r="J1881" s="2" t="s">
        <v>2537</v>
      </c>
      <c r="K1881" s="2" t="s">
        <v>1855</v>
      </c>
      <c r="L1881" s="2" t="s">
        <v>338</v>
      </c>
      <c r="M1881" s="2" t="str">
        <f t="shared" si="32"/>
        <v>11</v>
      </c>
      <c r="N1881" s="2" t="s">
        <v>3390</v>
      </c>
      <c r="O1881" s="2" t="s">
        <v>4373</v>
      </c>
      <c r="P1881" s="2" t="s">
        <v>4379</v>
      </c>
    </row>
    <row r="1882" spans="1:16">
      <c r="A1882" s="4">
        <v>46248.38449074074</v>
      </c>
      <c r="B1882" s="2" t="s">
        <v>3611</v>
      </c>
      <c r="C1882" s="2" t="s">
        <v>2895</v>
      </c>
      <c r="D1882" s="2" t="s">
        <v>3307</v>
      </c>
      <c r="E1882" s="2">
        <v>12</v>
      </c>
      <c r="F1882" s="2"/>
      <c r="G1882" s="2">
        <v>12</v>
      </c>
      <c r="H1882" s="2" t="s">
        <v>3931</v>
      </c>
      <c r="I1882" s="2" t="s">
        <v>695</v>
      </c>
      <c r="J1882" s="2" t="s">
        <v>2537</v>
      </c>
      <c r="K1882" s="2" t="s">
        <v>1855</v>
      </c>
      <c r="L1882" s="2" t="s">
        <v>338</v>
      </c>
      <c r="M1882" s="2" t="str">
        <f t="shared" si="32"/>
        <v>11</v>
      </c>
      <c r="N1882" s="2" t="s">
        <v>4336</v>
      </c>
      <c r="O1882" s="2" t="s">
        <v>4373</v>
      </c>
      <c r="P1882" s="2" t="s">
        <v>4379</v>
      </c>
    </row>
    <row r="1883" spans="1:16">
      <c r="A1883" s="4">
        <v>46248.384328703702</v>
      </c>
      <c r="B1883" s="2" t="s">
        <v>4158</v>
      </c>
      <c r="C1883" s="2" t="s">
        <v>2895</v>
      </c>
      <c r="D1883" s="2" t="s">
        <v>3307</v>
      </c>
      <c r="E1883" s="2">
        <v>12</v>
      </c>
      <c r="F1883" s="2"/>
      <c r="G1883" s="2">
        <v>12</v>
      </c>
      <c r="H1883" s="2" t="s">
        <v>3931</v>
      </c>
      <c r="I1883" s="2" t="s">
        <v>695</v>
      </c>
      <c r="J1883" s="2" t="s">
        <v>2537</v>
      </c>
      <c r="K1883" s="2" t="s">
        <v>1855</v>
      </c>
      <c r="L1883" s="2" t="s">
        <v>338</v>
      </c>
      <c r="M1883" s="2" t="str">
        <f t="shared" si="32"/>
        <v>11</v>
      </c>
      <c r="N1883" s="2" t="s">
        <v>1650</v>
      </c>
      <c r="O1883" s="2" t="s">
        <v>4373</v>
      </c>
      <c r="P1883" s="2" t="s">
        <v>4379</v>
      </c>
    </row>
    <row r="1884" spans="1:16">
      <c r="A1884" s="4">
        <v>46248.383298611108</v>
      </c>
      <c r="B1884" s="2" t="s">
        <v>3593</v>
      </c>
      <c r="C1884" s="2" t="s">
        <v>2895</v>
      </c>
      <c r="D1884" s="2" t="s">
        <v>3307</v>
      </c>
      <c r="E1884" s="2">
        <v>12</v>
      </c>
      <c r="F1884" s="2"/>
      <c r="G1884" s="2">
        <v>12</v>
      </c>
      <c r="H1884" s="2" t="s">
        <v>3931</v>
      </c>
      <c r="I1884" s="2" t="s">
        <v>695</v>
      </c>
      <c r="J1884" s="2" t="s">
        <v>2537</v>
      </c>
      <c r="K1884" s="2" t="s">
        <v>1855</v>
      </c>
      <c r="L1884" s="2" t="s">
        <v>338</v>
      </c>
      <c r="M1884" s="2" t="str">
        <f t="shared" si="32"/>
        <v>11</v>
      </c>
      <c r="N1884" s="2" t="s">
        <v>3076</v>
      </c>
      <c r="O1884" s="2" t="s">
        <v>4373</v>
      </c>
      <c r="P1884" s="2" t="s">
        <v>4379</v>
      </c>
    </row>
    <row r="1885" spans="1:16">
      <c r="A1885" s="4">
        <v>46248.382962962962</v>
      </c>
      <c r="B1885" s="2" t="s">
        <v>3744</v>
      </c>
      <c r="C1885" s="2" t="s">
        <v>2895</v>
      </c>
      <c r="D1885" s="2" t="s">
        <v>3307</v>
      </c>
      <c r="E1885" s="2">
        <v>12</v>
      </c>
      <c r="F1885" s="2"/>
      <c r="G1885" s="2">
        <v>12</v>
      </c>
      <c r="H1885" s="2" t="s">
        <v>3931</v>
      </c>
      <c r="I1885" s="2" t="s">
        <v>695</v>
      </c>
      <c r="J1885" s="2" t="s">
        <v>2537</v>
      </c>
      <c r="K1885" s="2" t="s">
        <v>1855</v>
      </c>
      <c r="L1885" s="2" t="s">
        <v>338</v>
      </c>
      <c r="M1885" s="2" t="str">
        <f t="shared" si="32"/>
        <v>11</v>
      </c>
      <c r="N1885" s="2" t="s">
        <v>814</v>
      </c>
      <c r="O1885" s="2" t="s">
        <v>4373</v>
      </c>
      <c r="P1885" s="2" t="s">
        <v>4379</v>
      </c>
    </row>
    <row r="1886" spans="1:16">
      <c r="A1886" s="4">
        <v>46248.381111111114</v>
      </c>
      <c r="B1886" s="2" t="s">
        <v>1221</v>
      </c>
      <c r="C1886" s="2" t="s">
        <v>2895</v>
      </c>
      <c r="D1886" s="2" t="s">
        <v>3307</v>
      </c>
      <c r="E1886" s="2">
        <v>12</v>
      </c>
      <c r="F1886" s="2"/>
      <c r="G1886" s="2">
        <v>12</v>
      </c>
      <c r="H1886" s="2" t="s">
        <v>3931</v>
      </c>
      <c r="I1886" s="2" t="s">
        <v>695</v>
      </c>
      <c r="J1886" s="2" t="s">
        <v>2537</v>
      </c>
      <c r="K1886" s="2" t="s">
        <v>1855</v>
      </c>
      <c r="L1886" s="2" t="s">
        <v>338</v>
      </c>
      <c r="M1886" s="2" t="str">
        <f t="shared" si="32"/>
        <v>11</v>
      </c>
      <c r="N1886" s="2" t="s">
        <v>3974</v>
      </c>
      <c r="O1886" s="2" t="s">
        <v>4373</v>
      </c>
      <c r="P1886" s="2" t="s">
        <v>4379</v>
      </c>
    </row>
    <row r="1887" spans="1:16">
      <c r="A1887" s="4">
        <v>46248.381018518521</v>
      </c>
      <c r="B1887" s="2" t="s">
        <v>1083</v>
      </c>
      <c r="C1887" s="2" t="s">
        <v>2895</v>
      </c>
      <c r="D1887" s="2" t="s">
        <v>3307</v>
      </c>
      <c r="E1887" s="2">
        <v>12</v>
      </c>
      <c r="F1887" s="2"/>
      <c r="G1887" s="2">
        <v>12</v>
      </c>
      <c r="H1887" s="2" t="s">
        <v>3931</v>
      </c>
      <c r="I1887" s="2" t="s">
        <v>695</v>
      </c>
      <c r="J1887" s="2" t="s">
        <v>2537</v>
      </c>
      <c r="K1887" s="2" t="s">
        <v>1855</v>
      </c>
      <c r="L1887" s="2" t="s">
        <v>338</v>
      </c>
      <c r="M1887" s="2" t="str">
        <f t="shared" si="32"/>
        <v>11</v>
      </c>
      <c r="N1887" s="2" t="s">
        <v>2789</v>
      </c>
      <c r="O1887" s="2" t="s">
        <v>4373</v>
      </c>
      <c r="P1887" s="2" t="s">
        <v>4379</v>
      </c>
    </row>
    <row r="1888" spans="1:16">
      <c r="A1888" s="4">
        <v>46246.576631944445</v>
      </c>
      <c r="B1888" s="2" t="s">
        <v>2598</v>
      </c>
      <c r="C1888" s="2" t="s">
        <v>2895</v>
      </c>
      <c r="D1888" s="2" t="s">
        <v>3307</v>
      </c>
      <c r="E1888" s="2">
        <v>12</v>
      </c>
      <c r="F1888" s="2"/>
      <c r="G1888" s="2">
        <v>12</v>
      </c>
      <c r="H1888" s="2" t="s">
        <v>3931</v>
      </c>
      <c r="I1888" s="2" t="s">
        <v>695</v>
      </c>
      <c r="J1888" s="2" t="s">
        <v>2537</v>
      </c>
      <c r="K1888" s="2" t="s">
        <v>1855</v>
      </c>
      <c r="L1888" s="2" t="s">
        <v>338</v>
      </c>
      <c r="M1888" s="2" t="str">
        <f t="shared" si="32"/>
        <v>11</v>
      </c>
      <c r="N1888" s="2" t="s">
        <v>2020</v>
      </c>
      <c r="O1888" s="2" t="s">
        <v>4373</v>
      </c>
      <c r="P1888" s="2" t="s">
        <v>4381</v>
      </c>
    </row>
    <row r="1889" spans="1:16">
      <c r="A1889" s="4">
        <v>46246.576481481483</v>
      </c>
      <c r="B1889" s="2" t="s">
        <v>2680</v>
      </c>
      <c r="C1889" s="2" t="s">
        <v>2895</v>
      </c>
      <c r="D1889" s="2" t="s">
        <v>3307</v>
      </c>
      <c r="E1889" s="2">
        <v>8</v>
      </c>
      <c r="F1889" s="2"/>
      <c r="G1889" s="2">
        <v>8</v>
      </c>
      <c r="H1889" s="2" t="s">
        <v>3931</v>
      </c>
      <c r="I1889" s="2" t="s">
        <v>695</v>
      </c>
      <c r="J1889" s="2" t="s">
        <v>2537</v>
      </c>
      <c r="K1889" s="2" t="s">
        <v>1855</v>
      </c>
      <c r="L1889" s="2" t="s">
        <v>338</v>
      </c>
      <c r="M1889" s="2" t="str">
        <f t="shared" si="32"/>
        <v>11</v>
      </c>
      <c r="N1889" s="2" t="s">
        <v>1719</v>
      </c>
      <c r="O1889" s="2" t="s">
        <v>4373</v>
      </c>
      <c r="P1889" s="2" t="s">
        <v>4381</v>
      </c>
    </row>
    <row r="1890" spans="1:16">
      <c r="A1890" s="4">
        <v>46246.574918981481</v>
      </c>
      <c r="B1890" s="2" t="s">
        <v>4086</v>
      </c>
      <c r="C1890" s="2" t="s">
        <v>2895</v>
      </c>
      <c r="D1890" s="2" t="s">
        <v>3307</v>
      </c>
      <c r="E1890" s="2">
        <v>12</v>
      </c>
      <c r="F1890" s="2"/>
      <c r="G1890" s="2">
        <v>12</v>
      </c>
      <c r="H1890" s="2" t="s">
        <v>3931</v>
      </c>
      <c r="I1890" s="2" t="s">
        <v>695</v>
      </c>
      <c r="J1890" s="2" t="s">
        <v>2537</v>
      </c>
      <c r="K1890" s="2" t="s">
        <v>1855</v>
      </c>
      <c r="L1890" s="2" t="s">
        <v>338</v>
      </c>
      <c r="M1890" s="2" t="str">
        <f t="shared" si="32"/>
        <v>11</v>
      </c>
      <c r="N1890" s="2" t="s">
        <v>3102</v>
      </c>
      <c r="O1890" s="2" t="s">
        <v>4373</v>
      </c>
      <c r="P1890" s="2" t="s">
        <v>4381</v>
      </c>
    </row>
    <row r="1891" spans="1:16">
      <c r="A1891" s="4">
        <v>46246.574849537035</v>
      </c>
      <c r="B1891" s="2" t="s">
        <v>3397</v>
      </c>
      <c r="C1891" s="2" t="s">
        <v>2895</v>
      </c>
      <c r="D1891" s="2" t="s">
        <v>3307</v>
      </c>
      <c r="E1891" s="2">
        <v>12</v>
      </c>
      <c r="F1891" s="2"/>
      <c r="G1891" s="2">
        <v>12</v>
      </c>
      <c r="H1891" s="2" t="s">
        <v>3931</v>
      </c>
      <c r="I1891" s="2" t="s">
        <v>695</v>
      </c>
      <c r="J1891" s="2" t="s">
        <v>2537</v>
      </c>
      <c r="K1891" s="2" t="s">
        <v>1855</v>
      </c>
      <c r="L1891" s="2" t="s">
        <v>338</v>
      </c>
      <c r="M1891" s="2" t="str">
        <f t="shared" si="32"/>
        <v>11</v>
      </c>
      <c r="N1891" s="2" t="s">
        <v>207</v>
      </c>
      <c r="O1891" s="2" t="s">
        <v>4373</v>
      </c>
      <c r="P1891" s="2" t="s">
        <v>4381</v>
      </c>
    </row>
    <row r="1892" spans="1:16">
      <c r="A1892" s="4">
        <v>46246.574467592596</v>
      </c>
      <c r="B1892" s="2" t="s">
        <v>709</v>
      </c>
      <c r="C1892" s="2" t="s">
        <v>2895</v>
      </c>
      <c r="D1892" s="2" t="s">
        <v>3307</v>
      </c>
      <c r="E1892" s="2">
        <v>12</v>
      </c>
      <c r="F1892" s="2"/>
      <c r="G1892" s="2">
        <v>12</v>
      </c>
      <c r="H1892" s="2" t="s">
        <v>3931</v>
      </c>
      <c r="I1892" s="2" t="s">
        <v>695</v>
      </c>
      <c r="J1892" s="2" t="s">
        <v>2537</v>
      </c>
      <c r="K1892" s="2" t="s">
        <v>1855</v>
      </c>
      <c r="L1892" s="2" t="s">
        <v>338</v>
      </c>
      <c r="M1892" s="2" t="str">
        <f t="shared" si="32"/>
        <v>11</v>
      </c>
      <c r="N1892" s="2" t="s">
        <v>1276</v>
      </c>
      <c r="O1892" s="2" t="s">
        <v>4373</v>
      </c>
      <c r="P1892" s="2" t="s">
        <v>4381</v>
      </c>
    </row>
    <row r="1893" spans="1:16">
      <c r="A1893" s="4">
        <v>46246.572476851848</v>
      </c>
      <c r="B1893" s="2" t="s">
        <v>450</v>
      </c>
      <c r="C1893" s="2" t="s">
        <v>2895</v>
      </c>
      <c r="D1893" s="2" t="s">
        <v>3307</v>
      </c>
      <c r="E1893" s="2">
        <v>12</v>
      </c>
      <c r="F1893" s="2"/>
      <c r="G1893" s="2">
        <v>12</v>
      </c>
      <c r="H1893" s="2" t="s">
        <v>3931</v>
      </c>
      <c r="I1893" s="2" t="s">
        <v>695</v>
      </c>
      <c r="J1893" s="2" t="s">
        <v>2537</v>
      </c>
      <c r="K1893" s="2" t="s">
        <v>1855</v>
      </c>
      <c r="L1893" s="2" t="s">
        <v>338</v>
      </c>
      <c r="M1893" s="2" t="str">
        <f t="shared" si="32"/>
        <v>11</v>
      </c>
      <c r="N1893" s="2" t="s">
        <v>3249</v>
      </c>
      <c r="O1893" s="2" t="s">
        <v>4373</v>
      </c>
      <c r="P1893" s="2" t="s">
        <v>4381</v>
      </c>
    </row>
    <row r="1894" spans="1:16">
      <c r="A1894" s="4">
        <v>46246.572337962964</v>
      </c>
      <c r="B1894" s="2" t="s">
        <v>3123</v>
      </c>
      <c r="C1894" s="2" t="s">
        <v>2895</v>
      </c>
      <c r="D1894" s="2" t="s">
        <v>3307</v>
      </c>
      <c r="E1894" s="2">
        <v>12</v>
      </c>
      <c r="F1894" s="2"/>
      <c r="G1894" s="2">
        <v>12</v>
      </c>
      <c r="H1894" s="2" t="s">
        <v>3931</v>
      </c>
      <c r="I1894" s="2" t="s">
        <v>695</v>
      </c>
      <c r="J1894" s="2" t="s">
        <v>2537</v>
      </c>
      <c r="K1894" s="2" t="s">
        <v>1855</v>
      </c>
      <c r="L1894" s="2" t="s">
        <v>338</v>
      </c>
      <c r="M1894" s="2" t="str">
        <f t="shared" si="32"/>
        <v>11</v>
      </c>
      <c r="N1894" s="2" t="s">
        <v>4036</v>
      </c>
      <c r="O1894" s="2" t="s">
        <v>4373</v>
      </c>
      <c r="P1894" s="2" t="s">
        <v>4381</v>
      </c>
    </row>
    <row r="1895" spans="1:16">
      <c r="A1895" s="4">
        <v>46246.572187500002</v>
      </c>
      <c r="B1895" s="2" t="s">
        <v>4094</v>
      </c>
      <c r="C1895" s="2" t="s">
        <v>2895</v>
      </c>
      <c r="D1895" s="2" t="s">
        <v>3307</v>
      </c>
      <c r="E1895" s="2">
        <v>12</v>
      </c>
      <c r="F1895" s="2"/>
      <c r="G1895" s="2">
        <v>12</v>
      </c>
      <c r="H1895" s="2" t="s">
        <v>3931</v>
      </c>
      <c r="I1895" s="2" t="s">
        <v>695</v>
      </c>
      <c r="J1895" s="2" t="s">
        <v>2537</v>
      </c>
      <c r="K1895" s="2" t="s">
        <v>1855</v>
      </c>
      <c r="L1895" s="2" t="s">
        <v>338</v>
      </c>
      <c r="M1895" s="2" t="str">
        <f t="shared" si="32"/>
        <v>11</v>
      </c>
      <c r="N1895" s="2" t="s">
        <v>2729</v>
      </c>
      <c r="O1895" s="2" t="s">
        <v>4373</v>
      </c>
      <c r="P1895" s="2" t="s">
        <v>4381</v>
      </c>
    </row>
    <row r="1896" spans="1:16">
      <c r="A1896" s="4">
        <v>46246.571493055555</v>
      </c>
      <c r="B1896" s="2" t="s">
        <v>841</v>
      </c>
      <c r="C1896" s="2" t="s">
        <v>2895</v>
      </c>
      <c r="D1896" s="2" t="s">
        <v>3307</v>
      </c>
      <c r="E1896" s="2">
        <v>12</v>
      </c>
      <c r="F1896" s="2"/>
      <c r="G1896" s="2">
        <v>12</v>
      </c>
      <c r="H1896" s="2" t="s">
        <v>3931</v>
      </c>
      <c r="I1896" s="2" t="s">
        <v>695</v>
      </c>
      <c r="J1896" s="2" t="s">
        <v>2537</v>
      </c>
      <c r="K1896" s="2" t="s">
        <v>1855</v>
      </c>
      <c r="L1896" s="2" t="s">
        <v>338</v>
      </c>
      <c r="M1896" s="2" t="str">
        <f t="shared" si="32"/>
        <v>11</v>
      </c>
      <c r="N1896" s="2" t="s">
        <v>392</v>
      </c>
      <c r="O1896" s="2" t="s">
        <v>4373</v>
      </c>
      <c r="P1896" s="2" t="s">
        <v>4381</v>
      </c>
    </row>
    <row r="1897" spans="1:16">
      <c r="A1897" s="4">
        <v>46246.571435185186</v>
      </c>
      <c r="B1897" s="2" t="s">
        <v>1920</v>
      </c>
      <c r="C1897" s="2" t="s">
        <v>2895</v>
      </c>
      <c r="D1897" s="2" t="s">
        <v>3307</v>
      </c>
      <c r="E1897" s="2">
        <v>12</v>
      </c>
      <c r="F1897" s="2"/>
      <c r="G1897" s="2">
        <v>12</v>
      </c>
      <c r="H1897" s="2" t="s">
        <v>3931</v>
      </c>
      <c r="I1897" s="2" t="s">
        <v>695</v>
      </c>
      <c r="J1897" s="2" t="s">
        <v>2537</v>
      </c>
      <c r="K1897" s="2" t="s">
        <v>1855</v>
      </c>
      <c r="L1897" s="2" t="s">
        <v>338</v>
      </c>
      <c r="M1897" s="2" t="str">
        <f t="shared" si="32"/>
        <v>11</v>
      </c>
      <c r="N1897" s="2" t="s">
        <v>3550</v>
      </c>
      <c r="O1897" s="2" t="s">
        <v>4373</v>
      </c>
      <c r="P1897" s="2" t="s">
        <v>4381</v>
      </c>
    </row>
    <row r="1898" spans="1:16">
      <c r="A1898" s="4">
        <v>46246.571400462963</v>
      </c>
      <c r="B1898" s="2" t="s">
        <v>1776</v>
      </c>
      <c r="C1898" s="2" t="s">
        <v>2895</v>
      </c>
      <c r="D1898" s="2" t="s">
        <v>3307</v>
      </c>
      <c r="E1898" s="2">
        <v>12</v>
      </c>
      <c r="F1898" s="2"/>
      <c r="G1898" s="2">
        <v>12</v>
      </c>
      <c r="H1898" s="2" t="s">
        <v>3931</v>
      </c>
      <c r="I1898" s="2" t="s">
        <v>695</v>
      </c>
      <c r="J1898" s="2" t="s">
        <v>2537</v>
      </c>
      <c r="K1898" s="2" t="s">
        <v>1855</v>
      </c>
      <c r="L1898" s="2" t="s">
        <v>338</v>
      </c>
      <c r="M1898" s="2" t="str">
        <f t="shared" si="32"/>
        <v>11</v>
      </c>
      <c r="N1898" s="2" t="s">
        <v>2353</v>
      </c>
      <c r="O1898" s="2" t="s">
        <v>4373</v>
      </c>
      <c r="P1898" s="2" t="s">
        <v>4381</v>
      </c>
    </row>
    <row r="1899" spans="1:16">
      <c r="A1899" s="4">
        <v>46246.568414351852</v>
      </c>
      <c r="B1899" s="2" t="s">
        <v>2612</v>
      </c>
      <c r="C1899" s="2" t="s">
        <v>2895</v>
      </c>
      <c r="D1899" s="2" t="s">
        <v>3307</v>
      </c>
      <c r="E1899" s="2">
        <v>12</v>
      </c>
      <c r="F1899" s="2"/>
      <c r="G1899" s="2">
        <v>12</v>
      </c>
      <c r="H1899" s="2" t="s">
        <v>3931</v>
      </c>
      <c r="I1899" s="2" t="s">
        <v>695</v>
      </c>
      <c r="J1899" s="2" t="s">
        <v>2537</v>
      </c>
      <c r="K1899" s="2" t="s">
        <v>1855</v>
      </c>
      <c r="L1899" s="2" t="s">
        <v>338</v>
      </c>
      <c r="M1899" s="2" t="str">
        <f t="shared" si="32"/>
        <v>11</v>
      </c>
      <c r="N1899" s="2" t="s">
        <v>2604</v>
      </c>
      <c r="O1899" s="2" t="s">
        <v>4373</v>
      </c>
      <c r="P1899" s="2" t="s">
        <v>4381</v>
      </c>
    </row>
    <row r="1900" spans="1:16">
      <c r="A1900" s="4">
        <v>46246.567835648151</v>
      </c>
      <c r="B1900" s="2" t="s">
        <v>1865</v>
      </c>
      <c r="C1900" s="2" t="s">
        <v>2895</v>
      </c>
      <c r="D1900" s="2" t="s">
        <v>3307</v>
      </c>
      <c r="E1900" s="2">
        <v>12</v>
      </c>
      <c r="F1900" s="2"/>
      <c r="G1900" s="2">
        <v>12</v>
      </c>
      <c r="H1900" s="2" t="s">
        <v>3931</v>
      </c>
      <c r="I1900" s="2" t="s">
        <v>695</v>
      </c>
      <c r="J1900" s="2" t="s">
        <v>2537</v>
      </c>
      <c r="K1900" s="2" t="s">
        <v>1855</v>
      </c>
      <c r="L1900" s="2" t="s">
        <v>338</v>
      </c>
      <c r="M1900" s="2" t="str">
        <f t="shared" si="32"/>
        <v>11</v>
      </c>
      <c r="N1900" s="2" t="s">
        <v>830</v>
      </c>
      <c r="O1900" s="2" t="s">
        <v>4373</v>
      </c>
      <c r="P1900" s="2" t="s">
        <v>4381</v>
      </c>
    </row>
    <row r="1901" spans="1:16">
      <c r="A1901" s="4">
        <v>46244.762303240743</v>
      </c>
      <c r="B1901" s="2" t="s">
        <v>2168</v>
      </c>
      <c r="C1901" s="2" t="s">
        <v>2895</v>
      </c>
      <c r="D1901" s="2" t="s">
        <v>3307</v>
      </c>
      <c r="E1901" s="2">
        <v>12</v>
      </c>
      <c r="F1901" s="2"/>
      <c r="G1901" s="2">
        <v>12</v>
      </c>
      <c r="H1901" s="2" t="s">
        <v>3931</v>
      </c>
      <c r="I1901" s="2" t="s">
        <v>695</v>
      </c>
      <c r="J1901" s="2" t="s">
        <v>2537</v>
      </c>
      <c r="K1901" s="2" t="s">
        <v>1855</v>
      </c>
      <c r="L1901" s="2" t="s">
        <v>2399</v>
      </c>
      <c r="M1901" s="2" t="str">
        <f t="shared" si="32"/>
        <v>05</v>
      </c>
      <c r="N1901" s="2" t="s">
        <v>3130</v>
      </c>
      <c r="O1901" s="2" t="s">
        <v>4373</v>
      </c>
      <c r="P1901" s="2" t="s">
        <v>4375</v>
      </c>
    </row>
    <row r="1902" spans="1:16">
      <c r="A1902" s="4">
        <v>46244.761782407404</v>
      </c>
      <c r="B1902" s="2" t="s">
        <v>2626</v>
      </c>
      <c r="C1902" s="2" t="s">
        <v>2895</v>
      </c>
      <c r="D1902" s="2" t="s">
        <v>3307</v>
      </c>
      <c r="E1902" s="2">
        <v>4</v>
      </c>
      <c r="F1902" s="2"/>
      <c r="G1902" s="2">
        <v>4</v>
      </c>
      <c r="H1902" s="2" t="s">
        <v>3931</v>
      </c>
      <c r="I1902" s="2" t="s">
        <v>695</v>
      </c>
      <c r="J1902" s="2" t="s">
        <v>2537</v>
      </c>
      <c r="K1902" s="2" t="s">
        <v>1855</v>
      </c>
      <c r="L1902" s="2" t="s">
        <v>2399</v>
      </c>
      <c r="M1902" s="2" t="str">
        <f t="shared" si="32"/>
        <v>05</v>
      </c>
      <c r="N1902" s="2" t="s">
        <v>767</v>
      </c>
      <c r="O1902" s="2" t="s">
        <v>4373</v>
      </c>
      <c r="P1902" s="2" t="s">
        <v>4375</v>
      </c>
    </row>
    <row r="1903" spans="1:16">
      <c r="A1903" s="4">
        <v>46244.761030092595</v>
      </c>
      <c r="B1903" s="2" t="s">
        <v>869</v>
      </c>
      <c r="C1903" s="2" t="s">
        <v>2895</v>
      </c>
      <c r="D1903" s="2" t="s">
        <v>3307</v>
      </c>
      <c r="E1903" s="2">
        <v>12</v>
      </c>
      <c r="F1903" s="2"/>
      <c r="G1903" s="2">
        <v>12</v>
      </c>
      <c r="H1903" s="2" t="s">
        <v>3931</v>
      </c>
      <c r="I1903" s="2" t="s">
        <v>695</v>
      </c>
      <c r="J1903" s="2" t="s">
        <v>2537</v>
      </c>
      <c r="K1903" s="2" t="s">
        <v>1855</v>
      </c>
      <c r="L1903" s="2" t="s">
        <v>2399</v>
      </c>
      <c r="M1903" s="2" t="str">
        <f t="shared" si="32"/>
        <v>05</v>
      </c>
      <c r="N1903" s="2" t="s">
        <v>4230</v>
      </c>
      <c r="O1903" s="2" t="s">
        <v>4373</v>
      </c>
      <c r="P1903" s="2" t="s">
        <v>4375</v>
      </c>
    </row>
    <row r="1904" spans="1:16">
      <c r="A1904" s="4">
        <v>46244.761006944442</v>
      </c>
      <c r="B1904" s="2" t="s">
        <v>2383</v>
      </c>
      <c r="C1904" s="2" t="s">
        <v>2895</v>
      </c>
      <c r="D1904" s="2" t="s">
        <v>3307</v>
      </c>
      <c r="E1904" s="2">
        <v>12</v>
      </c>
      <c r="F1904" s="2"/>
      <c r="G1904" s="2">
        <v>12</v>
      </c>
      <c r="H1904" s="2" t="s">
        <v>3931</v>
      </c>
      <c r="I1904" s="2" t="s">
        <v>695</v>
      </c>
      <c r="J1904" s="2" t="s">
        <v>2537</v>
      </c>
      <c r="K1904" s="2" t="s">
        <v>1855</v>
      </c>
      <c r="L1904" s="2" t="s">
        <v>2399</v>
      </c>
      <c r="M1904" s="2" t="str">
        <f t="shared" si="32"/>
        <v>05</v>
      </c>
      <c r="N1904" s="2" t="s">
        <v>2546</v>
      </c>
      <c r="O1904" s="2" t="s">
        <v>4373</v>
      </c>
      <c r="P1904" s="2" t="s">
        <v>4375</v>
      </c>
    </row>
    <row r="1905" spans="1:16">
      <c r="A1905" s="4">
        <v>46244.76090277778</v>
      </c>
      <c r="B1905" s="2" t="s">
        <v>2410</v>
      </c>
      <c r="C1905" s="2" t="s">
        <v>2895</v>
      </c>
      <c r="D1905" s="2" t="s">
        <v>3307</v>
      </c>
      <c r="E1905" s="2">
        <v>12</v>
      </c>
      <c r="F1905" s="2"/>
      <c r="G1905" s="2">
        <v>12</v>
      </c>
      <c r="H1905" s="2" t="s">
        <v>3931</v>
      </c>
      <c r="I1905" s="2" t="s">
        <v>695</v>
      </c>
      <c r="J1905" s="2" t="s">
        <v>2537</v>
      </c>
      <c r="K1905" s="2" t="s">
        <v>1855</v>
      </c>
      <c r="L1905" s="2" t="s">
        <v>2399</v>
      </c>
      <c r="M1905" s="2" t="str">
        <f t="shared" si="32"/>
        <v>05</v>
      </c>
      <c r="N1905" s="2" t="s">
        <v>81</v>
      </c>
      <c r="O1905" s="2" t="s">
        <v>4373</v>
      </c>
      <c r="P1905" s="2" t="s">
        <v>4375</v>
      </c>
    </row>
    <row r="1906" spans="1:16">
      <c r="A1906" s="4">
        <v>46244.758842592593</v>
      </c>
      <c r="B1906" s="2" t="s">
        <v>1143</v>
      </c>
      <c r="C1906" s="2" t="s">
        <v>2895</v>
      </c>
      <c r="D1906" s="2" t="s">
        <v>3307</v>
      </c>
      <c r="E1906" s="2">
        <v>12</v>
      </c>
      <c r="F1906" s="2"/>
      <c r="G1906" s="2">
        <v>12</v>
      </c>
      <c r="H1906" s="2" t="s">
        <v>3931</v>
      </c>
      <c r="I1906" s="2" t="s">
        <v>695</v>
      </c>
      <c r="J1906" s="2" t="s">
        <v>2537</v>
      </c>
      <c r="K1906" s="2" t="s">
        <v>1855</v>
      </c>
      <c r="L1906" s="2" t="s">
        <v>2399</v>
      </c>
      <c r="M1906" s="2" t="str">
        <f t="shared" si="32"/>
        <v>05</v>
      </c>
      <c r="N1906" s="2" t="s">
        <v>2492</v>
      </c>
      <c r="O1906" s="2" t="s">
        <v>4373</v>
      </c>
      <c r="P1906" s="2" t="s">
        <v>4375</v>
      </c>
    </row>
    <row r="1907" spans="1:16">
      <c r="A1907" s="4">
        <v>46244.758761574078</v>
      </c>
      <c r="B1907" s="2" t="s">
        <v>3877</v>
      </c>
      <c r="C1907" s="2" t="s">
        <v>2895</v>
      </c>
      <c r="D1907" s="2" t="s">
        <v>3307</v>
      </c>
      <c r="E1907" s="2">
        <v>12</v>
      </c>
      <c r="F1907" s="2"/>
      <c r="G1907" s="2">
        <v>12</v>
      </c>
      <c r="H1907" s="2" t="s">
        <v>3931</v>
      </c>
      <c r="I1907" s="2" t="s">
        <v>695</v>
      </c>
      <c r="J1907" s="2" t="s">
        <v>2537</v>
      </c>
      <c r="K1907" s="2" t="s">
        <v>1855</v>
      </c>
      <c r="L1907" s="2" t="s">
        <v>2399</v>
      </c>
      <c r="M1907" s="2" t="str">
        <f t="shared" si="32"/>
        <v>05</v>
      </c>
      <c r="N1907" s="2" t="s">
        <v>3806</v>
      </c>
      <c r="O1907" s="2" t="s">
        <v>4373</v>
      </c>
      <c r="P1907" s="2" t="s">
        <v>4375</v>
      </c>
    </row>
    <row r="1908" spans="1:16">
      <c r="A1908" s="4">
        <v>46244.758634259262</v>
      </c>
      <c r="B1908" s="2" t="s">
        <v>1359</v>
      </c>
      <c r="C1908" s="2" t="s">
        <v>2895</v>
      </c>
      <c r="D1908" s="2" t="s">
        <v>3307</v>
      </c>
      <c r="E1908" s="2">
        <v>12</v>
      </c>
      <c r="F1908" s="2"/>
      <c r="G1908" s="2">
        <v>12</v>
      </c>
      <c r="H1908" s="2" t="s">
        <v>3931</v>
      </c>
      <c r="I1908" s="2" t="s">
        <v>695</v>
      </c>
      <c r="J1908" s="2" t="s">
        <v>2537</v>
      </c>
      <c r="K1908" s="2" t="s">
        <v>1855</v>
      </c>
      <c r="L1908" s="2" t="s">
        <v>2399</v>
      </c>
      <c r="M1908" s="2" t="str">
        <f t="shared" si="32"/>
        <v>05</v>
      </c>
      <c r="N1908" s="2" t="s">
        <v>1328</v>
      </c>
      <c r="O1908" s="2" t="s">
        <v>4373</v>
      </c>
      <c r="P1908" s="2" t="s">
        <v>4375</v>
      </c>
    </row>
    <row r="1909" spans="1:16">
      <c r="A1909" s="4">
        <v>46244.757511574076</v>
      </c>
      <c r="B1909" s="2" t="s">
        <v>1737</v>
      </c>
      <c r="C1909" s="2" t="s">
        <v>2895</v>
      </c>
      <c r="D1909" s="2" t="s">
        <v>3307</v>
      </c>
      <c r="E1909" s="2">
        <v>12</v>
      </c>
      <c r="F1909" s="2"/>
      <c r="G1909" s="2">
        <v>12</v>
      </c>
      <c r="H1909" s="2" t="s">
        <v>3931</v>
      </c>
      <c r="I1909" s="2" t="s">
        <v>695</v>
      </c>
      <c r="J1909" s="2" t="s">
        <v>2537</v>
      </c>
      <c r="K1909" s="2" t="s">
        <v>1855</v>
      </c>
      <c r="L1909" s="2" t="s">
        <v>2399</v>
      </c>
      <c r="M1909" s="2" t="str">
        <f t="shared" si="32"/>
        <v>05</v>
      </c>
      <c r="N1909" s="2" t="s">
        <v>2590</v>
      </c>
      <c r="O1909" s="2" t="s">
        <v>4373</v>
      </c>
      <c r="P1909" s="2" t="s">
        <v>4375</v>
      </c>
    </row>
    <row r="1910" spans="1:16">
      <c r="A1910" s="4">
        <v>46244.757164351853</v>
      </c>
      <c r="B1910" s="2" t="s">
        <v>2835</v>
      </c>
      <c r="C1910" s="2" t="s">
        <v>2895</v>
      </c>
      <c r="D1910" s="2" t="s">
        <v>3307</v>
      </c>
      <c r="E1910" s="2">
        <v>12</v>
      </c>
      <c r="F1910" s="2"/>
      <c r="G1910" s="2">
        <v>12</v>
      </c>
      <c r="H1910" s="2" t="s">
        <v>3931</v>
      </c>
      <c r="I1910" s="2" t="s">
        <v>695</v>
      </c>
      <c r="J1910" s="2" t="s">
        <v>2537</v>
      </c>
      <c r="K1910" s="2" t="s">
        <v>1855</v>
      </c>
      <c r="L1910" s="2" t="s">
        <v>2399</v>
      </c>
      <c r="M1910" s="2" t="str">
        <f t="shared" si="32"/>
        <v>05</v>
      </c>
      <c r="N1910" s="2" t="s">
        <v>4014</v>
      </c>
      <c r="O1910" s="2" t="s">
        <v>4373</v>
      </c>
      <c r="P1910" s="2" t="s">
        <v>4375</v>
      </c>
    </row>
    <row r="1911" spans="1:16">
      <c r="A1911" s="4">
        <v>46244.75712962963</v>
      </c>
      <c r="B1911" s="2" t="s">
        <v>4107</v>
      </c>
      <c r="C1911" s="2" t="s">
        <v>2895</v>
      </c>
      <c r="D1911" s="2" t="s">
        <v>3307</v>
      </c>
      <c r="E1911" s="2">
        <v>12</v>
      </c>
      <c r="F1911" s="2"/>
      <c r="G1911" s="2">
        <v>12</v>
      </c>
      <c r="H1911" s="2" t="s">
        <v>3931</v>
      </c>
      <c r="I1911" s="2" t="s">
        <v>695</v>
      </c>
      <c r="J1911" s="2" t="s">
        <v>2537</v>
      </c>
      <c r="K1911" s="2" t="s">
        <v>1855</v>
      </c>
      <c r="L1911" s="2" t="s">
        <v>2399</v>
      </c>
      <c r="M1911" s="2" t="str">
        <f t="shared" si="32"/>
        <v>05</v>
      </c>
      <c r="N1911" s="2" t="s">
        <v>4203</v>
      </c>
      <c r="O1911" s="2" t="s">
        <v>4373</v>
      </c>
      <c r="P1911" s="2" t="s">
        <v>4375</v>
      </c>
    </row>
    <row r="1912" spans="1:16">
      <c r="A1912" s="4">
        <v>46244.755439814813</v>
      </c>
      <c r="B1912" s="2" t="s">
        <v>1463</v>
      </c>
      <c r="C1912" s="2" t="s">
        <v>2895</v>
      </c>
      <c r="D1912" s="2" t="s">
        <v>3307</v>
      </c>
      <c r="E1912" s="2">
        <v>12</v>
      </c>
      <c r="F1912" s="2"/>
      <c r="G1912" s="2">
        <v>12</v>
      </c>
      <c r="H1912" s="2" t="s">
        <v>3931</v>
      </c>
      <c r="I1912" s="2" t="s">
        <v>695</v>
      </c>
      <c r="J1912" s="2" t="s">
        <v>2537</v>
      </c>
      <c r="K1912" s="2" t="s">
        <v>1855</v>
      </c>
      <c r="L1912" s="2" t="s">
        <v>2399</v>
      </c>
      <c r="M1912" s="2" t="str">
        <f t="shared" si="32"/>
        <v>05</v>
      </c>
      <c r="N1912" s="2" t="s">
        <v>1071</v>
      </c>
      <c r="O1912" s="2" t="s">
        <v>4373</v>
      </c>
      <c r="P1912" s="2" t="s">
        <v>4375</v>
      </c>
    </row>
    <row r="1913" spans="1:16">
      <c r="A1913" s="4">
        <v>46244.755231481482</v>
      </c>
      <c r="B1913" s="2" t="s">
        <v>896</v>
      </c>
      <c r="C1913" s="2" t="s">
        <v>2895</v>
      </c>
      <c r="D1913" s="2" t="s">
        <v>3307</v>
      </c>
      <c r="E1913" s="2">
        <v>12</v>
      </c>
      <c r="F1913" s="2"/>
      <c r="G1913" s="2">
        <v>12</v>
      </c>
      <c r="H1913" s="2" t="s">
        <v>3931</v>
      </c>
      <c r="I1913" s="2" t="s">
        <v>695</v>
      </c>
      <c r="J1913" s="2" t="s">
        <v>2537</v>
      </c>
      <c r="K1913" s="2" t="s">
        <v>1855</v>
      </c>
      <c r="L1913" s="2" t="s">
        <v>2399</v>
      </c>
      <c r="M1913" s="2" t="str">
        <f t="shared" si="32"/>
        <v>05</v>
      </c>
      <c r="N1913" s="2" t="s">
        <v>1159</v>
      </c>
      <c r="O1913" s="2" t="s">
        <v>4373</v>
      </c>
      <c r="P1913" s="2" t="s">
        <v>4375</v>
      </c>
    </row>
    <row r="1914" spans="1:16">
      <c r="A1914" s="4">
        <v>46244.75513888889</v>
      </c>
      <c r="B1914" s="2" t="s">
        <v>624</v>
      </c>
      <c r="C1914" s="2" t="s">
        <v>2895</v>
      </c>
      <c r="D1914" s="2" t="s">
        <v>3307</v>
      </c>
      <c r="E1914" s="2">
        <v>12</v>
      </c>
      <c r="F1914" s="2"/>
      <c r="G1914" s="2">
        <v>12</v>
      </c>
      <c r="H1914" s="2" t="s">
        <v>3931</v>
      </c>
      <c r="I1914" s="2" t="s">
        <v>695</v>
      </c>
      <c r="J1914" s="2" t="s">
        <v>2537</v>
      </c>
      <c r="K1914" s="2" t="s">
        <v>1855</v>
      </c>
      <c r="L1914" s="2" t="s">
        <v>2399</v>
      </c>
      <c r="M1914" s="2" t="str">
        <f t="shared" si="32"/>
        <v>05</v>
      </c>
      <c r="N1914" s="2" t="s">
        <v>2308</v>
      </c>
      <c r="O1914" s="2" t="s">
        <v>4373</v>
      </c>
      <c r="P1914" s="2" t="s">
        <v>4375</v>
      </c>
    </row>
    <row r="1915" spans="1:16">
      <c r="A1915" s="4">
        <v>46244.389050925929</v>
      </c>
      <c r="B1915" s="2" t="s">
        <v>1776</v>
      </c>
      <c r="C1915" s="2" t="s">
        <v>2895</v>
      </c>
      <c r="D1915" s="2" t="s">
        <v>3307</v>
      </c>
      <c r="E1915" s="2">
        <v>4</v>
      </c>
      <c r="F1915" s="2"/>
      <c r="G1915" s="2">
        <v>4</v>
      </c>
      <c r="H1915" s="2" t="s">
        <v>3582</v>
      </c>
      <c r="I1915" s="2" t="s">
        <v>695</v>
      </c>
      <c r="J1915" s="2" t="s">
        <v>2537</v>
      </c>
      <c r="K1915" s="2" t="s">
        <v>1855</v>
      </c>
      <c r="L1915" s="2" t="s">
        <v>1847</v>
      </c>
      <c r="M1915" s="2" t="str">
        <f t="shared" si="32"/>
        <v>14</v>
      </c>
      <c r="N1915" s="2" t="s">
        <v>2055</v>
      </c>
      <c r="O1915" s="2" t="s">
        <v>4373</v>
      </c>
      <c r="P1915" s="2" t="s">
        <v>4375</v>
      </c>
    </row>
    <row r="1916" spans="1:16">
      <c r="A1916" s="4">
        <v>46244.388865740744</v>
      </c>
      <c r="B1916" s="2" t="s">
        <v>3500</v>
      </c>
      <c r="C1916" s="2" t="s">
        <v>2895</v>
      </c>
      <c r="D1916" s="2" t="s">
        <v>3307</v>
      </c>
      <c r="E1916" s="2">
        <v>12</v>
      </c>
      <c r="F1916" s="2"/>
      <c r="G1916" s="2">
        <v>12</v>
      </c>
      <c r="H1916" s="2" t="s">
        <v>3582</v>
      </c>
      <c r="I1916" s="2" t="s">
        <v>695</v>
      </c>
      <c r="J1916" s="2" t="s">
        <v>2537</v>
      </c>
      <c r="K1916" s="2" t="s">
        <v>1855</v>
      </c>
      <c r="L1916" s="2" t="s">
        <v>1847</v>
      </c>
      <c r="M1916" s="2" t="str">
        <f t="shared" si="32"/>
        <v>14</v>
      </c>
      <c r="N1916" s="2" t="s">
        <v>760</v>
      </c>
      <c r="O1916" s="2" t="s">
        <v>4373</v>
      </c>
      <c r="P1916" s="2" t="s">
        <v>4375</v>
      </c>
    </row>
    <row r="1917" spans="1:16">
      <c r="A1917" s="4">
        <v>46244.388206018521</v>
      </c>
      <c r="B1917" s="2" t="s">
        <v>1857</v>
      </c>
      <c r="C1917" s="2" t="s">
        <v>2895</v>
      </c>
      <c r="D1917" s="2" t="s">
        <v>3307</v>
      </c>
      <c r="E1917" s="2">
        <v>12</v>
      </c>
      <c r="F1917" s="2"/>
      <c r="G1917" s="2">
        <v>12</v>
      </c>
      <c r="H1917" s="2" t="s">
        <v>3582</v>
      </c>
      <c r="I1917" s="2" t="s">
        <v>695</v>
      </c>
      <c r="J1917" s="2" t="s">
        <v>2537</v>
      </c>
      <c r="K1917" s="2" t="s">
        <v>1855</v>
      </c>
      <c r="L1917" s="2" t="s">
        <v>1847</v>
      </c>
      <c r="M1917" s="2" t="str">
        <f t="shared" si="32"/>
        <v>14</v>
      </c>
      <c r="N1917" s="2" t="s">
        <v>3572</v>
      </c>
      <c r="O1917" s="2" t="s">
        <v>4373</v>
      </c>
      <c r="P1917" s="2" t="s">
        <v>4375</v>
      </c>
    </row>
    <row r="1918" spans="1:16">
      <c r="A1918" s="4">
        <v>46244.387939814813</v>
      </c>
      <c r="B1918" s="2" t="s">
        <v>3449</v>
      </c>
      <c r="C1918" s="2" t="s">
        <v>2895</v>
      </c>
      <c r="D1918" s="2" t="s">
        <v>3307</v>
      </c>
      <c r="E1918" s="2">
        <v>12</v>
      </c>
      <c r="F1918" s="2"/>
      <c r="G1918" s="2">
        <v>12</v>
      </c>
      <c r="H1918" s="2" t="s">
        <v>3582</v>
      </c>
      <c r="I1918" s="2" t="s">
        <v>695</v>
      </c>
      <c r="J1918" s="2" t="s">
        <v>2537</v>
      </c>
      <c r="K1918" s="2" t="s">
        <v>1855</v>
      </c>
      <c r="L1918" s="2" t="s">
        <v>1847</v>
      </c>
      <c r="M1918" s="2" t="str">
        <f t="shared" si="32"/>
        <v>14</v>
      </c>
      <c r="N1918" s="2" t="s">
        <v>4047</v>
      </c>
      <c r="O1918" s="2" t="s">
        <v>4373</v>
      </c>
      <c r="P1918" s="2" t="s">
        <v>4375</v>
      </c>
    </row>
    <row r="1919" spans="1:16">
      <c r="A1919" s="4">
        <v>46244.386967592596</v>
      </c>
      <c r="B1919" s="2" t="s">
        <v>3364</v>
      </c>
      <c r="C1919" s="2" t="s">
        <v>2895</v>
      </c>
      <c r="D1919" s="2" t="s">
        <v>3307</v>
      </c>
      <c r="E1919" s="2">
        <v>12</v>
      </c>
      <c r="F1919" s="2"/>
      <c r="G1919" s="2">
        <v>12</v>
      </c>
      <c r="H1919" s="2" t="s">
        <v>3582</v>
      </c>
      <c r="I1919" s="2" t="s">
        <v>695</v>
      </c>
      <c r="J1919" s="2" t="s">
        <v>2537</v>
      </c>
      <c r="K1919" s="2" t="s">
        <v>1855</v>
      </c>
      <c r="L1919" s="2" t="s">
        <v>1847</v>
      </c>
      <c r="M1919" s="2" t="str">
        <f t="shared" si="32"/>
        <v>14</v>
      </c>
      <c r="N1919" s="2" t="s">
        <v>40</v>
      </c>
      <c r="O1919" s="2" t="s">
        <v>4373</v>
      </c>
      <c r="P1919" s="2" t="s">
        <v>4375</v>
      </c>
    </row>
    <row r="1920" spans="1:16">
      <c r="A1920" s="4">
        <v>46244.386736111112</v>
      </c>
      <c r="B1920" s="2" t="s">
        <v>46</v>
      </c>
      <c r="C1920" s="2" t="s">
        <v>2895</v>
      </c>
      <c r="D1920" s="2" t="s">
        <v>3307</v>
      </c>
      <c r="E1920" s="2">
        <v>12</v>
      </c>
      <c r="F1920" s="2"/>
      <c r="G1920" s="2">
        <v>12</v>
      </c>
      <c r="H1920" s="2" t="s">
        <v>3582</v>
      </c>
      <c r="I1920" s="2" t="s">
        <v>695</v>
      </c>
      <c r="J1920" s="2" t="s">
        <v>2537</v>
      </c>
      <c r="K1920" s="2" t="s">
        <v>1855</v>
      </c>
      <c r="L1920" s="2" t="s">
        <v>1847</v>
      </c>
      <c r="M1920" s="2" t="str">
        <f t="shared" si="32"/>
        <v>14</v>
      </c>
      <c r="N1920" s="2" t="s">
        <v>3107</v>
      </c>
      <c r="O1920" s="2" t="s">
        <v>4373</v>
      </c>
      <c r="P1920" s="2" t="s">
        <v>4375</v>
      </c>
    </row>
    <row r="1921" spans="1:16">
      <c r="A1921" s="4">
        <v>46244.385428240741</v>
      </c>
      <c r="B1921" s="2" t="s">
        <v>761</v>
      </c>
      <c r="C1921" s="2" t="s">
        <v>2895</v>
      </c>
      <c r="D1921" s="2" t="s">
        <v>3307</v>
      </c>
      <c r="E1921" s="2">
        <v>12</v>
      </c>
      <c r="F1921" s="2"/>
      <c r="G1921" s="2">
        <v>12</v>
      </c>
      <c r="H1921" s="2" t="s">
        <v>3582</v>
      </c>
      <c r="I1921" s="2" t="s">
        <v>695</v>
      </c>
      <c r="J1921" s="2" t="s">
        <v>2537</v>
      </c>
      <c r="K1921" s="2" t="s">
        <v>1855</v>
      </c>
      <c r="L1921" s="2" t="s">
        <v>1847</v>
      </c>
      <c r="M1921" s="2" t="str">
        <f t="shared" si="32"/>
        <v>14</v>
      </c>
      <c r="N1921" s="2" t="s">
        <v>2438</v>
      </c>
      <c r="O1921" s="2" t="s">
        <v>4373</v>
      </c>
      <c r="P1921" s="2" t="s">
        <v>4375</v>
      </c>
    </row>
    <row r="1922" spans="1:16">
      <c r="A1922" s="4">
        <v>46244.385185185187</v>
      </c>
      <c r="B1922" s="2" t="s">
        <v>1034</v>
      </c>
      <c r="C1922" s="2" t="s">
        <v>2895</v>
      </c>
      <c r="D1922" s="2" t="s">
        <v>3307</v>
      </c>
      <c r="E1922" s="2">
        <v>12</v>
      </c>
      <c r="F1922" s="2"/>
      <c r="G1922" s="2">
        <v>12</v>
      </c>
      <c r="H1922" s="2" t="s">
        <v>3582</v>
      </c>
      <c r="I1922" s="2" t="s">
        <v>695</v>
      </c>
      <c r="J1922" s="2" t="s">
        <v>2537</v>
      </c>
      <c r="K1922" s="2" t="s">
        <v>1855</v>
      </c>
      <c r="L1922" s="2" t="s">
        <v>1847</v>
      </c>
      <c r="M1922" s="2" t="str">
        <f t="shared" ref="M1922:M1985" si="33">RIGHT(L1922,2)</f>
        <v>14</v>
      </c>
      <c r="N1922" s="2" t="s">
        <v>3824</v>
      </c>
      <c r="O1922" s="2" t="s">
        <v>4373</v>
      </c>
      <c r="P1922" s="2" t="s">
        <v>4375</v>
      </c>
    </row>
    <row r="1923" spans="1:16">
      <c r="A1923" s="4">
        <v>46247.931562500002</v>
      </c>
      <c r="B1923" s="2" t="s">
        <v>1603</v>
      </c>
      <c r="C1923" s="2" t="s">
        <v>2932</v>
      </c>
      <c r="D1923" s="2" t="s">
        <v>1126</v>
      </c>
      <c r="E1923" s="2">
        <v>130</v>
      </c>
      <c r="F1923" s="2"/>
      <c r="G1923" s="2">
        <v>130</v>
      </c>
      <c r="H1923" s="2" t="s">
        <v>902</v>
      </c>
      <c r="I1923" s="2" t="s">
        <v>695</v>
      </c>
      <c r="J1923" s="2" t="s">
        <v>2537</v>
      </c>
      <c r="K1923" s="2" t="s">
        <v>1855</v>
      </c>
      <c r="L1923" s="2" t="s">
        <v>4344</v>
      </c>
      <c r="M1923" s="2" t="str">
        <f t="shared" si="33"/>
        <v>06</v>
      </c>
      <c r="N1923" s="2" t="s">
        <v>4080</v>
      </c>
      <c r="O1923" s="2" t="s">
        <v>4373</v>
      </c>
      <c r="P1923" s="2" t="s">
        <v>4380</v>
      </c>
    </row>
    <row r="1924" spans="1:16">
      <c r="A1924" s="4">
        <v>46247.931307870371</v>
      </c>
      <c r="B1924" s="2" t="s">
        <v>2381</v>
      </c>
      <c r="C1924" s="2" t="s">
        <v>2932</v>
      </c>
      <c r="D1924" s="2" t="s">
        <v>1126</v>
      </c>
      <c r="E1924" s="2">
        <v>156</v>
      </c>
      <c r="F1924" s="2"/>
      <c r="G1924" s="2">
        <v>156</v>
      </c>
      <c r="H1924" s="2" t="s">
        <v>902</v>
      </c>
      <c r="I1924" s="2" t="s">
        <v>695</v>
      </c>
      <c r="J1924" s="2" t="s">
        <v>2537</v>
      </c>
      <c r="K1924" s="2" t="s">
        <v>1855</v>
      </c>
      <c r="L1924" s="2" t="s">
        <v>4344</v>
      </c>
      <c r="M1924" s="2" t="str">
        <f t="shared" si="33"/>
        <v>06</v>
      </c>
      <c r="N1924" s="2" t="s">
        <v>3838</v>
      </c>
      <c r="O1924" s="2" t="s">
        <v>4373</v>
      </c>
      <c r="P1924" s="2" t="s">
        <v>4380</v>
      </c>
    </row>
    <row r="1925" spans="1:16">
      <c r="A1925" s="4">
        <v>46247.931064814817</v>
      </c>
      <c r="B1925" s="2" t="s">
        <v>1069</v>
      </c>
      <c r="C1925" s="2" t="s">
        <v>2932</v>
      </c>
      <c r="D1925" s="2" t="s">
        <v>1126</v>
      </c>
      <c r="E1925" s="2">
        <v>156</v>
      </c>
      <c r="F1925" s="2"/>
      <c r="G1925" s="2">
        <v>156</v>
      </c>
      <c r="H1925" s="2" t="s">
        <v>902</v>
      </c>
      <c r="I1925" s="2" t="s">
        <v>695</v>
      </c>
      <c r="J1925" s="2" t="s">
        <v>2537</v>
      </c>
      <c r="K1925" s="2" t="s">
        <v>1855</v>
      </c>
      <c r="L1925" s="2" t="s">
        <v>4344</v>
      </c>
      <c r="M1925" s="2" t="str">
        <f t="shared" si="33"/>
        <v>06</v>
      </c>
      <c r="N1925" s="2" t="s">
        <v>536</v>
      </c>
      <c r="O1925" s="2" t="s">
        <v>4373</v>
      </c>
      <c r="P1925" s="2" t="s">
        <v>4380</v>
      </c>
    </row>
    <row r="1926" spans="1:16">
      <c r="A1926" s="4">
        <v>46247.914780092593</v>
      </c>
      <c r="B1926" s="2" t="s">
        <v>759</v>
      </c>
      <c r="C1926" s="2" t="s">
        <v>2932</v>
      </c>
      <c r="D1926" s="2" t="s">
        <v>1126</v>
      </c>
      <c r="E1926" s="2">
        <v>156</v>
      </c>
      <c r="F1926" s="2"/>
      <c r="G1926" s="2">
        <v>156</v>
      </c>
      <c r="H1926" s="2" t="s">
        <v>902</v>
      </c>
      <c r="I1926" s="2" t="s">
        <v>695</v>
      </c>
      <c r="J1926" s="2" t="s">
        <v>2537</v>
      </c>
      <c r="K1926" s="2" t="s">
        <v>1855</v>
      </c>
      <c r="L1926" s="2" t="s">
        <v>4344</v>
      </c>
      <c r="M1926" s="2" t="str">
        <f t="shared" si="33"/>
        <v>06</v>
      </c>
      <c r="N1926" s="2" t="s">
        <v>4</v>
      </c>
      <c r="O1926" s="2" t="s">
        <v>4373</v>
      </c>
      <c r="P1926" s="2" t="s">
        <v>4380</v>
      </c>
    </row>
    <row r="1927" spans="1:16">
      <c r="A1927" s="4">
        <v>46247.914074074077</v>
      </c>
      <c r="B1927" s="2" t="s">
        <v>746</v>
      </c>
      <c r="C1927" s="2" t="s">
        <v>2932</v>
      </c>
      <c r="D1927" s="2" t="s">
        <v>1126</v>
      </c>
      <c r="E1927" s="2">
        <v>156</v>
      </c>
      <c r="F1927" s="2"/>
      <c r="G1927" s="2">
        <v>156</v>
      </c>
      <c r="H1927" s="2" t="s">
        <v>902</v>
      </c>
      <c r="I1927" s="2" t="s">
        <v>695</v>
      </c>
      <c r="J1927" s="2" t="s">
        <v>2537</v>
      </c>
      <c r="K1927" s="2" t="s">
        <v>1855</v>
      </c>
      <c r="L1927" s="2" t="s">
        <v>4344</v>
      </c>
      <c r="M1927" s="2" t="str">
        <f t="shared" si="33"/>
        <v>06</v>
      </c>
      <c r="N1927" s="2" t="s">
        <v>273</v>
      </c>
      <c r="O1927" s="2" t="s">
        <v>4373</v>
      </c>
      <c r="P1927" s="2" t="s">
        <v>4380</v>
      </c>
    </row>
    <row r="1928" spans="1:16">
      <c r="A1928" s="4">
        <v>46247.914039351854</v>
      </c>
      <c r="B1928" s="2" t="s">
        <v>2468</v>
      </c>
      <c r="C1928" s="2" t="s">
        <v>2932</v>
      </c>
      <c r="D1928" s="2" t="s">
        <v>1126</v>
      </c>
      <c r="E1928" s="2">
        <v>156</v>
      </c>
      <c r="F1928" s="2"/>
      <c r="G1928" s="2">
        <v>156</v>
      </c>
      <c r="H1928" s="2" t="s">
        <v>902</v>
      </c>
      <c r="I1928" s="2" t="s">
        <v>695</v>
      </c>
      <c r="J1928" s="2" t="s">
        <v>2537</v>
      </c>
      <c r="K1928" s="2" t="s">
        <v>1855</v>
      </c>
      <c r="L1928" s="2" t="s">
        <v>4344</v>
      </c>
      <c r="M1928" s="2" t="str">
        <f t="shared" si="33"/>
        <v>06</v>
      </c>
      <c r="N1928" s="2" t="s">
        <v>4010</v>
      </c>
      <c r="O1928" s="2" t="s">
        <v>4373</v>
      </c>
      <c r="P1928" s="2" t="s">
        <v>4380</v>
      </c>
    </row>
    <row r="1929" spans="1:16">
      <c r="A1929" s="4">
        <v>46247.912361111114</v>
      </c>
      <c r="B1929" s="2" t="s">
        <v>1735</v>
      </c>
      <c r="C1929" s="2" t="s">
        <v>2932</v>
      </c>
      <c r="D1929" s="2" t="s">
        <v>1126</v>
      </c>
      <c r="E1929" s="2">
        <v>156</v>
      </c>
      <c r="F1929" s="2"/>
      <c r="G1929" s="2">
        <v>156</v>
      </c>
      <c r="H1929" s="2" t="s">
        <v>902</v>
      </c>
      <c r="I1929" s="2" t="s">
        <v>695</v>
      </c>
      <c r="J1929" s="2" t="s">
        <v>2537</v>
      </c>
      <c r="K1929" s="2" t="s">
        <v>1855</v>
      </c>
      <c r="L1929" s="2" t="s">
        <v>4344</v>
      </c>
      <c r="M1929" s="2" t="str">
        <f t="shared" si="33"/>
        <v>06</v>
      </c>
      <c r="N1929" s="2" t="s">
        <v>1459</v>
      </c>
      <c r="O1929" s="2" t="s">
        <v>4373</v>
      </c>
      <c r="P1929" s="2" t="s">
        <v>4380</v>
      </c>
    </row>
    <row r="1930" spans="1:16">
      <c r="A1930" s="4">
        <v>46247.912083333336</v>
      </c>
      <c r="B1930" s="2" t="s">
        <v>1064</v>
      </c>
      <c r="C1930" s="2" t="s">
        <v>2932</v>
      </c>
      <c r="D1930" s="2" t="s">
        <v>1126</v>
      </c>
      <c r="E1930" s="2">
        <v>156</v>
      </c>
      <c r="F1930" s="2"/>
      <c r="G1930" s="2">
        <v>156</v>
      </c>
      <c r="H1930" s="2" t="s">
        <v>902</v>
      </c>
      <c r="I1930" s="2" t="s">
        <v>695</v>
      </c>
      <c r="J1930" s="2" t="s">
        <v>2537</v>
      </c>
      <c r="K1930" s="2" t="s">
        <v>1855</v>
      </c>
      <c r="L1930" s="2" t="s">
        <v>4344</v>
      </c>
      <c r="M1930" s="2" t="str">
        <f t="shared" si="33"/>
        <v>06</v>
      </c>
      <c r="N1930" s="2" t="s">
        <v>2113</v>
      </c>
      <c r="O1930" s="2" t="s">
        <v>4373</v>
      </c>
      <c r="P1930" s="2" t="s">
        <v>4380</v>
      </c>
    </row>
    <row r="1931" spans="1:16">
      <c r="A1931" s="4">
        <v>46247.91202546296</v>
      </c>
      <c r="B1931" s="2" t="s">
        <v>3319</v>
      </c>
      <c r="C1931" s="2" t="s">
        <v>2932</v>
      </c>
      <c r="D1931" s="2" t="s">
        <v>1126</v>
      </c>
      <c r="E1931" s="2">
        <v>156</v>
      </c>
      <c r="F1931" s="2"/>
      <c r="G1931" s="2">
        <v>156</v>
      </c>
      <c r="H1931" s="2" t="s">
        <v>902</v>
      </c>
      <c r="I1931" s="2" t="s">
        <v>695</v>
      </c>
      <c r="J1931" s="2" t="s">
        <v>2537</v>
      </c>
      <c r="K1931" s="2" t="s">
        <v>1855</v>
      </c>
      <c r="L1931" s="2" t="s">
        <v>4344</v>
      </c>
      <c r="M1931" s="2" t="str">
        <f t="shared" si="33"/>
        <v>06</v>
      </c>
      <c r="N1931" s="2" t="s">
        <v>3830</v>
      </c>
      <c r="O1931" s="2" t="s">
        <v>4373</v>
      </c>
      <c r="P1931" s="2" t="s">
        <v>4380</v>
      </c>
    </row>
    <row r="1932" spans="1:16">
      <c r="A1932" s="4">
        <v>46247.910104166665</v>
      </c>
      <c r="B1932" s="2" t="s">
        <v>2010</v>
      </c>
      <c r="C1932" s="2" t="s">
        <v>2932</v>
      </c>
      <c r="D1932" s="2" t="s">
        <v>1126</v>
      </c>
      <c r="E1932" s="2">
        <v>156</v>
      </c>
      <c r="F1932" s="2"/>
      <c r="G1932" s="2">
        <v>156</v>
      </c>
      <c r="H1932" s="2" t="s">
        <v>902</v>
      </c>
      <c r="I1932" s="2" t="s">
        <v>695</v>
      </c>
      <c r="J1932" s="2" t="s">
        <v>2537</v>
      </c>
      <c r="K1932" s="2" t="s">
        <v>1855</v>
      </c>
      <c r="L1932" s="2" t="s">
        <v>4344</v>
      </c>
      <c r="M1932" s="2" t="str">
        <f t="shared" si="33"/>
        <v>06</v>
      </c>
      <c r="N1932" s="2" t="s">
        <v>2965</v>
      </c>
      <c r="O1932" s="2" t="s">
        <v>4373</v>
      </c>
      <c r="P1932" s="2" t="s">
        <v>4380</v>
      </c>
    </row>
    <row r="1933" spans="1:16">
      <c r="A1933" s="4">
        <v>46247.909895833334</v>
      </c>
      <c r="B1933" s="2" t="s">
        <v>365</v>
      </c>
      <c r="C1933" s="2" t="s">
        <v>2932</v>
      </c>
      <c r="D1933" s="2" t="s">
        <v>1126</v>
      </c>
      <c r="E1933" s="2">
        <v>156</v>
      </c>
      <c r="F1933" s="2"/>
      <c r="G1933" s="2">
        <v>156</v>
      </c>
      <c r="H1933" s="2" t="s">
        <v>902</v>
      </c>
      <c r="I1933" s="2" t="s">
        <v>695</v>
      </c>
      <c r="J1933" s="2" t="s">
        <v>2537</v>
      </c>
      <c r="K1933" s="2" t="s">
        <v>1855</v>
      </c>
      <c r="L1933" s="2" t="s">
        <v>4344</v>
      </c>
      <c r="M1933" s="2" t="str">
        <f t="shared" si="33"/>
        <v>06</v>
      </c>
      <c r="N1933" s="2" t="s">
        <v>2565</v>
      </c>
      <c r="O1933" s="2" t="s">
        <v>4373</v>
      </c>
      <c r="P1933" s="2" t="s">
        <v>4380</v>
      </c>
    </row>
    <row r="1934" spans="1:16">
      <c r="A1934" s="4">
        <v>46247.909884259258</v>
      </c>
      <c r="B1934" s="2" t="s">
        <v>2872</v>
      </c>
      <c r="C1934" s="2" t="s">
        <v>2932</v>
      </c>
      <c r="D1934" s="2" t="s">
        <v>1126</v>
      </c>
      <c r="E1934" s="2">
        <v>156</v>
      </c>
      <c r="F1934" s="2"/>
      <c r="G1934" s="2">
        <v>156</v>
      </c>
      <c r="H1934" s="2" t="s">
        <v>902</v>
      </c>
      <c r="I1934" s="2" t="s">
        <v>695</v>
      </c>
      <c r="J1934" s="2" t="s">
        <v>2537</v>
      </c>
      <c r="K1934" s="2" t="s">
        <v>1855</v>
      </c>
      <c r="L1934" s="2" t="s">
        <v>4344</v>
      </c>
      <c r="M1934" s="2" t="str">
        <f t="shared" si="33"/>
        <v>06</v>
      </c>
      <c r="N1934" s="2" t="s">
        <v>4250</v>
      </c>
      <c r="O1934" s="2" t="s">
        <v>4373</v>
      </c>
      <c r="P1934" s="2" t="s">
        <v>4380</v>
      </c>
    </row>
    <row r="1935" spans="1:16">
      <c r="A1935" s="4">
        <v>46247.908402777779</v>
      </c>
      <c r="B1935" s="2" t="s">
        <v>2023</v>
      </c>
      <c r="C1935" s="2" t="s">
        <v>2932</v>
      </c>
      <c r="D1935" s="2" t="s">
        <v>1126</v>
      </c>
      <c r="E1935" s="2">
        <v>156</v>
      </c>
      <c r="F1935" s="2"/>
      <c r="G1935" s="2">
        <v>156</v>
      </c>
      <c r="H1935" s="2" t="s">
        <v>902</v>
      </c>
      <c r="I1935" s="2" t="s">
        <v>695</v>
      </c>
      <c r="J1935" s="2" t="s">
        <v>2537</v>
      </c>
      <c r="K1935" s="2" t="s">
        <v>1855</v>
      </c>
      <c r="L1935" s="2" t="s">
        <v>4344</v>
      </c>
      <c r="M1935" s="2" t="str">
        <f t="shared" si="33"/>
        <v>06</v>
      </c>
      <c r="N1935" s="2" t="s">
        <v>3671</v>
      </c>
      <c r="O1935" s="2" t="s">
        <v>4373</v>
      </c>
      <c r="P1935" s="2" t="s">
        <v>4380</v>
      </c>
    </row>
    <row r="1936" spans="1:16">
      <c r="A1936" s="4">
        <v>46247.908252314817</v>
      </c>
      <c r="B1936" s="2" t="s">
        <v>1231</v>
      </c>
      <c r="C1936" s="2" t="s">
        <v>2932</v>
      </c>
      <c r="D1936" s="2" t="s">
        <v>1126</v>
      </c>
      <c r="E1936" s="2">
        <v>156</v>
      </c>
      <c r="F1936" s="2"/>
      <c r="G1936" s="2">
        <v>156</v>
      </c>
      <c r="H1936" s="2" t="s">
        <v>902</v>
      </c>
      <c r="I1936" s="2" t="s">
        <v>695</v>
      </c>
      <c r="J1936" s="2" t="s">
        <v>2537</v>
      </c>
      <c r="K1936" s="2" t="s">
        <v>1855</v>
      </c>
      <c r="L1936" s="2" t="s">
        <v>4344</v>
      </c>
      <c r="M1936" s="2" t="str">
        <f t="shared" si="33"/>
        <v>06</v>
      </c>
      <c r="N1936" s="2" t="s">
        <v>3637</v>
      </c>
      <c r="O1936" s="2" t="s">
        <v>4373</v>
      </c>
      <c r="P1936" s="2" t="s">
        <v>4380</v>
      </c>
    </row>
    <row r="1937" spans="1:16">
      <c r="A1937" s="4">
        <v>46247.908043981479</v>
      </c>
      <c r="B1937" s="2" t="s">
        <v>3045</v>
      </c>
      <c r="C1937" s="2" t="s">
        <v>2932</v>
      </c>
      <c r="D1937" s="2" t="s">
        <v>1126</v>
      </c>
      <c r="E1937" s="2">
        <v>156</v>
      </c>
      <c r="F1937" s="2"/>
      <c r="G1937" s="2">
        <v>156</v>
      </c>
      <c r="H1937" s="2" t="s">
        <v>902</v>
      </c>
      <c r="I1937" s="2" t="s">
        <v>695</v>
      </c>
      <c r="J1937" s="2" t="s">
        <v>2537</v>
      </c>
      <c r="K1937" s="2" t="s">
        <v>1855</v>
      </c>
      <c r="L1937" s="2" t="s">
        <v>4344</v>
      </c>
      <c r="M1937" s="2" t="str">
        <f t="shared" si="33"/>
        <v>06</v>
      </c>
      <c r="N1937" s="2" t="s">
        <v>3994</v>
      </c>
      <c r="O1937" s="2" t="s">
        <v>4373</v>
      </c>
      <c r="P1937" s="2" t="s">
        <v>4380</v>
      </c>
    </row>
    <row r="1938" spans="1:16">
      <c r="A1938" s="4">
        <v>46247.907048611109</v>
      </c>
      <c r="B1938" s="2" t="s">
        <v>2248</v>
      </c>
      <c r="C1938" s="2" t="s">
        <v>2932</v>
      </c>
      <c r="D1938" s="2" t="s">
        <v>1126</v>
      </c>
      <c r="E1938" s="2">
        <v>156</v>
      </c>
      <c r="F1938" s="2"/>
      <c r="G1938" s="2">
        <v>156</v>
      </c>
      <c r="H1938" s="2" t="s">
        <v>902</v>
      </c>
      <c r="I1938" s="2" t="s">
        <v>695</v>
      </c>
      <c r="J1938" s="2" t="s">
        <v>2537</v>
      </c>
      <c r="K1938" s="2" t="s">
        <v>1855</v>
      </c>
      <c r="L1938" s="2" t="s">
        <v>4344</v>
      </c>
      <c r="M1938" s="2" t="str">
        <f t="shared" si="33"/>
        <v>06</v>
      </c>
      <c r="N1938" s="2" t="s">
        <v>640</v>
      </c>
      <c r="O1938" s="2" t="s">
        <v>4373</v>
      </c>
      <c r="P1938" s="2" t="s">
        <v>4380</v>
      </c>
    </row>
    <row r="1939" spans="1:16">
      <c r="A1939" s="4">
        <v>46247.906539351854</v>
      </c>
      <c r="B1939" s="2" t="s">
        <v>1404</v>
      </c>
      <c r="C1939" s="2" t="s">
        <v>2932</v>
      </c>
      <c r="D1939" s="2" t="s">
        <v>1126</v>
      </c>
      <c r="E1939" s="2">
        <v>156</v>
      </c>
      <c r="F1939" s="2"/>
      <c r="G1939" s="2">
        <v>156</v>
      </c>
      <c r="H1939" s="2" t="s">
        <v>902</v>
      </c>
      <c r="I1939" s="2" t="s">
        <v>695</v>
      </c>
      <c r="J1939" s="2" t="s">
        <v>2537</v>
      </c>
      <c r="K1939" s="2" t="s">
        <v>1855</v>
      </c>
      <c r="L1939" s="2" t="s">
        <v>4344</v>
      </c>
      <c r="M1939" s="2" t="str">
        <f t="shared" si="33"/>
        <v>06</v>
      </c>
      <c r="N1939" s="2" t="s">
        <v>2956</v>
      </c>
      <c r="O1939" s="2" t="s">
        <v>4373</v>
      </c>
      <c r="P1939" s="2" t="s">
        <v>4380</v>
      </c>
    </row>
    <row r="1940" spans="1:16">
      <c r="A1940" s="4">
        <v>46247.906273148146</v>
      </c>
      <c r="B1940" s="2" t="s">
        <v>426</v>
      </c>
      <c r="C1940" s="2" t="s">
        <v>2932</v>
      </c>
      <c r="D1940" s="2" t="s">
        <v>1126</v>
      </c>
      <c r="E1940" s="2">
        <v>156</v>
      </c>
      <c r="F1940" s="2"/>
      <c r="G1940" s="2">
        <v>156</v>
      </c>
      <c r="H1940" s="2" t="s">
        <v>902</v>
      </c>
      <c r="I1940" s="2" t="s">
        <v>695</v>
      </c>
      <c r="J1940" s="2" t="s">
        <v>2537</v>
      </c>
      <c r="K1940" s="2" t="s">
        <v>1855</v>
      </c>
      <c r="L1940" s="2" t="s">
        <v>4344</v>
      </c>
      <c r="M1940" s="2" t="str">
        <f t="shared" si="33"/>
        <v>06</v>
      </c>
      <c r="N1940" s="2" t="s">
        <v>3265</v>
      </c>
      <c r="O1940" s="2" t="s">
        <v>4373</v>
      </c>
      <c r="P1940" s="2" t="s">
        <v>4380</v>
      </c>
    </row>
    <row r="1941" spans="1:16">
      <c r="A1941" s="4">
        <v>46246.315324074072</v>
      </c>
      <c r="B1941" s="2" t="s">
        <v>2712</v>
      </c>
      <c r="C1941" s="2" t="s">
        <v>2932</v>
      </c>
      <c r="D1941" s="2" t="s">
        <v>1126</v>
      </c>
      <c r="E1941" s="2">
        <v>156</v>
      </c>
      <c r="F1941" s="2"/>
      <c r="G1941" s="2">
        <v>156</v>
      </c>
      <c r="H1941" s="2" t="s">
        <v>902</v>
      </c>
      <c r="I1941" s="2" t="s">
        <v>695</v>
      </c>
      <c r="J1941" s="2" t="s">
        <v>2537</v>
      </c>
      <c r="K1941" s="2" t="s">
        <v>1855</v>
      </c>
      <c r="L1941" s="2" t="s">
        <v>1847</v>
      </c>
      <c r="M1941" s="2" t="str">
        <f t="shared" si="33"/>
        <v>14</v>
      </c>
      <c r="N1941" s="2" t="s">
        <v>2575</v>
      </c>
      <c r="O1941" s="2" t="s">
        <v>4373</v>
      </c>
      <c r="P1941" s="2" t="s">
        <v>4381</v>
      </c>
    </row>
    <row r="1942" spans="1:16">
      <c r="A1942" s="4">
        <v>46246.315266203703</v>
      </c>
      <c r="B1942" s="2" t="s">
        <v>3352</v>
      </c>
      <c r="C1942" s="2" t="s">
        <v>2932</v>
      </c>
      <c r="D1942" s="2" t="s">
        <v>1126</v>
      </c>
      <c r="E1942" s="2">
        <v>156</v>
      </c>
      <c r="F1942" s="2"/>
      <c r="G1942" s="2">
        <v>156</v>
      </c>
      <c r="H1942" s="2" t="s">
        <v>902</v>
      </c>
      <c r="I1942" s="2" t="s">
        <v>695</v>
      </c>
      <c r="J1942" s="2" t="s">
        <v>2537</v>
      </c>
      <c r="K1942" s="2" t="s">
        <v>1855</v>
      </c>
      <c r="L1942" s="2" t="s">
        <v>1847</v>
      </c>
      <c r="M1942" s="2" t="str">
        <f t="shared" si="33"/>
        <v>14</v>
      </c>
      <c r="N1942" s="2" t="s">
        <v>2848</v>
      </c>
      <c r="O1942" s="2" t="s">
        <v>4373</v>
      </c>
      <c r="P1942" s="2" t="s">
        <v>4381</v>
      </c>
    </row>
    <row r="1943" spans="1:16">
      <c r="A1943" s="4">
        <v>46246.315208333333</v>
      </c>
      <c r="B1943" s="2" t="s">
        <v>3443</v>
      </c>
      <c r="C1943" s="2" t="s">
        <v>2932</v>
      </c>
      <c r="D1943" s="2" t="s">
        <v>1126</v>
      </c>
      <c r="E1943" s="2">
        <v>156</v>
      </c>
      <c r="F1943" s="2"/>
      <c r="G1943" s="2">
        <v>156</v>
      </c>
      <c r="H1943" s="2" t="s">
        <v>902</v>
      </c>
      <c r="I1943" s="2" t="s">
        <v>695</v>
      </c>
      <c r="J1943" s="2" t="s">
        <v>2537</v>
      </c>
      <c r="K1943" s="2" t="s">
        <v>1855</v>
      </c>
      <c r="L1943" s="2" t="s">
        <v>1847</v>
      </c>
      <c r="M1943" s="2" t="str">
        <f t="shared" si="33"/>
        <v>14</v>
      </c>
      <c r="N1943" s="2" t="s">
        <v>2886</v>
      </c>
      <c r="O1943" s="2" t="s">
        <v>4373</v>
      </c>
      <c r="P1943" s="2" t="s">
        <v>4381</v>
      </c>
    </row>
    <row r="1944" spans="1:16">
      <c r="A1944" s="4">
        <v>46246.312847222223</v>
      </c>
      <c r="B1944" s="2" t="s">
        <v>3279</v>
      </c>
      <c r="C1944" s="2" t="s">
        <v>2932</v>
      </c>
      <c r="D1944" s="2" t="s">
        <v>1126</v>
      </c>
      <c r="E1944" s="2">
        <v>156</v>
      </c>
      <c r="F1944" s="2"/>
      <c r="G1944" s="2">
        <v>156</v>
      </c>
      <c r="H1944" s="2" t="s">
        <v>902</v>
      </c>
      <c r="I1944" s="2" t="s">
        <v>695</v>
      </c>
      <c r="J1944" s="2" t="s">
        <v>2537</v>
      </c>
      <c r="K1944" s="2" t="s">
        <v>1855</v>
      </c>
      <c r="L1944" s="2" t="s">
        <v>1847</v>
      </c>
      <c r="M1944" s="2" t="str">
        <f t="shared" si="33"/>
        <v>14</v>
      </c>
      <c r="N1944" s="2" t="s">
        <v>1619</v>
      </c>
      <c r="O1944" s="2" t="s">
        <v>4373</v>
      </c>
      <c r="P1944" s="2" t="s">
        <v>4381</v>
      </c>
    </row>
    <row r="1945" spans="1:16">
      <c r="A1945" s="4">
        <v>46246.312835648147</v>
      </c>
      <c r="B1945" s="2" t="s">
        <v>2618</v>
      </c>
      <c r="C1945" s="2" t="s">
        <v>2932</v>
      </c>
      <c r="D1945" s="2" t="s">
        <v>1126</v>
      </c>
      <c r="E1945" s="2">
        <v>156</v>
      </c>
      <c r="F1945" s="2"/>
      <c r="G1945" s="2">
        <v>156</v>
      </c>
      <c r="H1945" s="2" t="s">
        <v>902</v>
      </c>
      <c r="I1945" s="2" t="s">
        <v>695</v>
      </c>
      <c r="J1945" s="2" t="s">
        <v>2537</v>
      </c>
      <c r="K1945" s="2" t="s">
        <v>1855</v>
      </c>
      <c r="L1945" s="2" t="s">
        <v>1847</v>
      </c>
      <c r="M1945" s="2" t="str">
        <f t="shared" si="33"/>
        <v>14</v>
      </c>
      <c r="N1945" s="2" t="s">
        <v>2662</v>
      </c>
      <c r="O1945" s="2" t="s">
        <v>4373</v>
      </c>
      <c r="P1945" s="2" t="s">
        <v>4381</v>
      </c>
    </row>
    <row r="1946" spans="1:16">
      <c r="A1946" s="4">
        <v>46246.3127662037</v>
      </c>
      <c r="B1946" s="2" t="s">
        <v>505</v>
      </c>
      <c r="C1946" s="2" t="s">
        <v>2932</v>
      </c>
      <c r="D1946" s="2" t="s">
        <v>1126</v>
      </c>
      <c r="E1946" s="2">
        <v>156</v>
      </c>
      <c r="F1946" s="2"/>
      <c r="G1946" s="2">
        <v>156</v>
      </c>
      <c r="H1946" s="2" t="s">
        <v>902</v>
      </c>
      <c r="I1946" s="2" t="s">
        <v>695</v>
      </c>
      <c r="J1946" s="2" t="s">
        <v>2537</v>
      </c>
      <c r="K1946" s="2" t="s">
        <v>1855</v>
      </c>
      <c r="L1946" s="2" t="s">
        <v>1847</v>
      </c>
      <c r="M1946" s="2" t="str">
        <f t="shared" si="33"/>
        <v>14</v>
      </c>
      <c r="N1946" s="2" t="s">
        <v>2920</v>
      </c>
      <c r="O1946" s="2" t="s">
        <v>4373</v>
      </c>
      <c r="P1946" s="2" t="s">
        <v>4381</v>
      </c>
    </row>
    <row r="1947" spans="1:16">
      <c r="A1947" s="4">
        <v>46246.310034722221</v>
      </c>
      <c r="B1947" s="2" t="s">
        <v>562</v>
      </c>
      <c r="C1947" s="2" t="s">
        <v>2932</v>
      </c>
      <c r="D1947" s="2" t="s">
        <v>1126</v>
      </c>
      <c r="E1947" s="2">
        <v>156</v>
      </c>
      <c r="F1947" s="2"/>
      <c r="G1947" s="2">
        <v>156</v>
      </c>
      <c r="H1947" s="2" t="s">
        <v>902</v>
      </c>
      <c r="I1947" s="2" t="s">
        <v>695</v>
      </c>
      <c r="J1947" s="2" t="s">
        <v>2537</v>
      </c>
      <c r="K1947" s="2" t="s">
        <v>1855</v>
      </c>
      <c r="L1947" s="2" t="s">
        <v>1847</v>
      </c>
      <c r="M1947" s="2" t="str">
        <f t="shared" si="33"/>
        <v>14</v>
      </c>
      <c r="N1947" s="2" t="s">
        <v>2800</v>
      </c>
      <c r="O1947" s="2" t="s">
        <v>4373</v>
      </c>
      <c r="P1947" s="2" t="s">
        <v>4381</v>
      </c>
    </row>
    <row r="1948" spans="1:16">
      <c r="A1948" s="4">
        <v>46246.309699074074</v>
      </c>
      <c r="B1948" s="2" t="s">
        <v>1890</v>
      </c>
      <c r="C1948" s="2" t="s">
        <v>2932</v>
      </c>
      <c r="D1948" s="2" t="s">
        <v>1126</v>
      </c>
      <c r="E1948" s="2">
        <v>156</v>
      </c>
      <c r="F1948" s="2"/>
      <c r="G1948" s="2">
        <v>156</v>
      </c>
      <c r="H1948" s="2" t="s">
        <v>902</v>
      </c>
      <c r="I1948" s="2" t="s">
        <v>695</v>
      </c>
      <c r="J1948" s="2" t="s">
        <v>2537</v>
      </c>
      <c r="K1948" s="2" t="s">
        <v>1855</v>
      </c>
      <c r="L1948" s="2" t="s">
        <v>1847</v>
      </c>
      <c r="M1948" s="2" t="str">
        <f t="shared" si="33"/>
        <v>14</v>
      </c>
      <c r="N1948" s="2" t="s">
        <v>3168</v>
      </c>
      <c r="O1948" s="2" t="s">
        <v>4373</v>
      </c>
      <c r="P1948" s="2" t="s">
        <v>4381</v>
      </c>
    </row>
    <row r="1949" spans="1:16">
      <c r="A1949" s="4">
        <v>46246.309560185182</v>
      </c>
      <c r="B1949" s="2" t="s">
        <v>2515</v>
      </c>
      <c r="C1949" s="2" t="s">
        <v>2932</v>
      </c>
      <c r="D1949" s="2" t="s">
        <v>1126</v>
      </c>
      <c r="E1949" s="2">
        <v>156</v>
      </c>
      <c r="F1949" s="2"/>
      <c r="G1949" s="2">
        <v>156</v>
      </c>
      <c r="H1949" s="2" t="s">
        <v>902</v>
      </c>
      <c r="I1949" s="2" t="s">
        <v>695</v>
      </c>
      <c r="J1949" s="2" t="s">
        <v>2537</v>
      </c>
      <c r="K1949" s="2" t="s">
        <v>1855</v>
      </c>
      <c r="L1949" s="2" t="s">
        <v>1847</v>
      </c>
      <c r="M1949" s="2" t="str">
        <f t="shared" si="33"/>
        <v>14</v>
      </c>
      <c r="N1949" s="2" t="s">
        <v>2077</v>
      </c>
      <c r="O1949" s="2" t="s">
        <v>4373</v>
      </c>
      <c r="P1949" s="2" t="s">
        <v>4381</v>
      </c>
    </row>
    <row r="1950" spans="1:16">
      <c r="A1950" s="4">
        <v>46246.307754629626</v>
      </c>
      <c r="B1950" s="2" t="s">
        <v>3694</v>
      </c>
      <c r="C1950" s="2" t="s">
        <v>2932</v>
      </c>
      <c r="D1950" s="2" t="s">
        <v>1126</v>
      </c>
      <c r="E1950" s="2">
        <v>156</v>
      </c>
      <c r="F1950" s="2"/>
      <c r="G1950" s="2">
        <v>156</v>
      </c>
      <c r="H1950" s="2" t="s">
        <v>902</v>
      </c>
      <c r="I1950" s="2" t="s">
        <v>695</v>
      </c>
      <c r="J1950" s="2" t="s">
        <v>2537</v>
      </c>
      <c r="K1950" s="2" t="s">
        <v>1855</v>
      </c>
      <c r="L1950" s="2" t="s">
        <v>1847</v>
      </c>
      <c r="M1950" s="2" t="str">
        <f t="shared" si="33"/>
        <v>14</v>
      </c>
      <c r="N1950" s="2" t="s">
        <v>2823</v>
      </c>
      <c r="O1950" s="2" t="s">
        <v>4373</v>
      </c>
      <c r="P1950" s="2" t="s">
        <v>4381</v>
      </c>
    </row>
    <row r="1951" spans="1:16">
      <c r="A1951" s="4">
        <v>46246.307604166665</v>
      </c>
      <c r="B1951" s="2" t="s">
        <v>2939</v>
      </c>
      <c r="C1951" s="2" t="s">
        <v>2932</v>
      </c>
      <c r="D1951" s="2" t="s">
        <v>1126</v>
      </c>
      <c r="E1951" s="2">
        <v>156</v>
      </c>
      <c r="F1951" s="2"/>
      <c r="G1951" s="2">
        <v>156</v>
      </c>
      <c r="H1951" s="2" t="s">
        <v>902</v>
      </c>
      <c r="I1951" s="2" t="s">
        <v>695</v>
      </c>
      <c r="J1951" s="2" t="s">
        <v>2537</v>
      </c>
      <c r="K1951" s="2" t="s">
        <v>1855</v>
      </c>
      <c r="L1951" s="2" t="s">
        <v>1847</v>
      </c>
      <c r="M1951" s="2" t="str">
        <f t="shared" si="33"/>
        <v>14</v>
      </c>
      <c r="N1951" s="2" t="s">
        <v>4263</v>
      </c>
      <c r="O1951" s="2" t="s">
        <v>4373</v>
      </c>
      <c r="P1951" s="2" t="s">
        <v>4381</v>
      </c>
    </row>
    <row r="1952" spans="1:16">
      <c r="A1952" s="4">
        <v>46246.30741898148</v>
      </c>
      <c r="B1952" s="2" t="s">
        <v>4103</v>
      </c>
      <c r="C1952" s="2" t="s">
        <v>2932</v>
      </c>
      <c r="D1952" s="2" t="s">
        <v>1126</v>
      </c>
      <c r="E1952" s="2">
        <v>156</v>
      </c>
      <c r="F1952" s="2"/>
      <c r="G1952" s="2">
        <v>156</v>
      </c>
      <c r="H1952" s="2" t="s">
        <v>902</v>
      </c>
      <c r="I1952" s="2" t="s">
        <v>695</v>
      </c>
      <c r="J1952" s="2" t="s">
        <v>2537</v>
      </c>
      <c r="K1952" s="2" t="s">
        <v>1855</v>
      </c>
      <c r="L1952" s="2" t="s">
        <v>1847</v>
      </c>
      <c r="M1952" s="2" t="str">
        <f t="shared" si="33"/>
        <v>14</v>
      </c>
      <c r="N1952" s="2" t="s">
        <v>2536</v>
      </c>
      <c r="O1952" s="2" t="s">
        <v>4373</v>
      </c>
      <c r="P1952" s="2" t="s">
        <v>4381</v>
      </c>
    </row>
    <row r="1953" spans="1:16">
      <c r="A1953" s="4">
        <v>46246.305231481485</v>
      </c>
      <c r="B1953" s="2" t="s">
        <v>271</v>
      </c>
      <c r="C1953" s="2" t="s">
        <v>2932</v>
      </c>
      <c r="D1953" s="2" t="s">
        <v>1126</v>
      </c>
      <c r="E1953" s="2">
        <v>156</v>
      </c>
      <c r="F1953" s="2"/>
      <c r="G1953" s="2">
        <v>156</v>
      </c>
      <c r="H1953" s="2" t="s">
        <v>902</v>
      </c>
      <c r="I1953" s="2" t="s">
        <v>695</v>
      </c>
      <c r="J1953" s="2" t="s">
        <v>2537</v>
      </c>
      <c r="K1953" s="2" t="s">
        <v>1855</v>
      </c>
      <c r="L1953" s="2" t="s">
        <v>1847</v>
      </c>
      <c r="M1953" s="2" t="str">
        <f t="shared" si="33"/>
        <v>14</v>
      </c>
      <c r="N1953" s="2" t="s">
        <v>3285</v>
      </c>
      <c r="O1953" s="2" t="s">
        <v>4373</v>
      </c>
      <c r="P1953" s="2" t="s">
        <v>4381</v>
      </c>
    </row>
    <row r="1954" spans="1:16">
      <c r="A1954" s="4">
        <v>46246.305196759262</v>
      </c>
      <c r="B1954" s="2" t="s">
        <v>1174</v>
      </c>
      <c r="C1954" s="2" t="s">
        <v>2932</v>
      </c>
      <c r="D1954" s="2" t="s">
        <v>1126</v>
      </c>
      <c r="E1954" s="2">
        <v>156</v>
      </c>
      <c r="F1954" s="2"/>
      <c r="G1954" s="2">
        <v>156</v>
      </c>
      <c r="H1954" s="2" t="s">
        <v>902</v>
      </c>
      <c r="I1954" s="2" t="s">
        <v>695</v>
      </c>
      <c r="J1954" s="2" t="s">
        <v>2537</v>
      </c>
      <c r="K1954" s="2" t="s">
        <v>1855</v>
      </c>
      <c r="L1954" s="2" t="s">
        <v>1847</v>
      </c>
      <c r="M1954" s="2" t="str">
        <f t="shared" si="33"/>
        <v>14</v>
      </c>
      <c r="N1954" s="2" t="s">
        <v>1182</v>
      </c>
      <c r="O1954" s="2" t="s">
        <v>4373</v>
      </c>
      <c r="P1954" s="2" t="s">
        <v>4381</v>
      </c>
    </row>
    <row r="1955" spans="1:16">
      <c r="A1955" s="4">
        <v>46246.305185185185</v>
      </c>
      <c r="B1955" s="2" t="s">
        <v>3860</v>
      </c>
      <c r="C1955" s="2" t="s">
        <v>2932</v>
      </c>
      <c r="D1955" s="2" t="s">
        <v>1126</v>
      </c>
      <c r="E1955" s="2">
        <v>156</v>
      </c>
      <c r="F1955" s="2"/>
      <c r="G1955" s="2">
        <v>156</v>
      </c>
      <c r="H1955" s="2" t="s">
        <v>902</v>
      </c>
      <c r="I1955" s="2" t="s">
        <v>695</v>
      </c>
      <c r="J1955" s="2" t="s">
        <v>2537</v>
      </c>
      <c r="K1955" s="2" t="s">
        <v>1855</v>
      </c>
      <c r="L1955" s="2" t="s">
        <v>1847</v>
      </c>
      <c r="M1955" s="2" t="str">
        <f t="shared" si="33"/>
        <v>14</v>
      </c>
      <c r="N1955" s="2" t="s">
        <v>236</v>
      </c>
      <c r="O1955" s="2" t="s">
        <v>4373</v>
      </c>
      <c r="P1955" s="2" t="s">
        <v>4381</v>
      </c>
    </row>
    <row r="1956" spans="1:16">
      <c r="A1956" s="4">
        <v>46246.303217592591</v>
      </c>
      <c r="B1956" s="2" t="s">
        <v>3601</v>
      </c>
      <c r="C1956" s="2" t="s">
        <v>2932</v>
      </c>
      <c r="D1956" s="2" t="s">
        <v>1126</v>
      </c>
      <c r="E1956" s="2">
        <v>156</v>
      </c>
      <c r="F1956" s="2"/>
      <c r="G1956" s="2">
        <v>156</v>
      </c>
      <c r="H1956" s="2" t="s">
        <v>902</v>
      </c>
      <c r="I1956" s="2" t="s">
        <v>695</v>
      </c>
      <c r="J1956" s="2" t="s">
        <v>2537</v>
      </c>
      <c r="K1956" s="2" t="s">
        <v>1855</v>
      </c>
      <c r="L1956" s="2" t="s">
        <v>1847</v>
      </c>
      <c r="M1956" s="2" t="str">
        <f t="shared" si="33"/>
        <v>14</v>
      </c>
      <c r="N1956" s="2" t="s">
        <v>1200</v>
      </c>
      <c r="O1956" s="2" t="s">
        <v>4373</v>
      </c>
      <c r="P1956" s="2" t="s">
        <v>4381</v>
      </c>
    </row>
    <row r="1957" spans="1:16">
      <c r="A1957" s="4">
        <v>46246.303067129629</v>
      </c>
      <c r="B1957" s="2" t="s">
        <v>1828</v>
      </c>
      <c r="C1957" s="2" t="s">
        <v>2932</v>
      </c>
      <c r="D1957" s="2" t="s">
        <v>1126</v>
      </c>
      <c r="E1957" s="2">
        <v>156</v>
      </c>
      <c r="F1957" s="2"/>
      <c r="G1957" s="2">
        <v>156</v>
      </c>
      <c r="H1957" s="2" t="s">
        <v>902</v>
      </c>
      <c r="I1957" s="2" t="s">
        <v>695</v>
      </c>
      <c r="J1957" s="2" t="s">
        <v>2537</v>
      </c>
      <c r="K1957" s="2" t="s">
        <v>1855</v>
      </c>
      <c r="L1957" s="2" t="s">
        <v>1847</v>
      </c>
      <c r="M1957" s="2" t="str">
        <f t="shared" si="33"/>
        <v>14</v>
      </c>
      <c r="N1957" s="2" t="s">
        <v>4131</v>
      </c>
      <c r="O1957" s="2" t="s">
        <v>4373</v>
      </c>
      <c r="P1957" s="2" t="s">
        <v>4381</v>
      </c>
    </row>
    <row r="1958" spans="1:16">
      <c r="A1958" s="4">
        <v>46246.303043981483</v>
      </c>
      <c r="B1958" s="2" t="s">
        <v>3914</v>
      </c>
      <c r="C1958" s="2" t="s">
        <v>2932</v>
      </c>
      <c r="D1958" s="2" t="s">
        <v>1126</v>
      </c>
      <c r="E1958" s="2">
        <v>156</v>
      </c>
      <c r="F1958" s="2"/>
      <c r="G1958" s="2">
        <v>156</v>
      </c>
      <c r="H1958" s="2" t="s">
        <v>902</v>
      </c>
      <c r="I1958" s="2" t="s">
        <v>695</v>
      </c>
      <c r="J1958" s="2" t="s">
        <v>2537</v>
      </c>
      <c r="K1958" s="2" t="s">
        <v>1855</v>
      </c>
      <c r="L1958" s="2" t="s">
        <v>1847</v>
      </c>
      <c r="M1958" s="2" t="str">
        <f t="shared" si="33"/>
        <v>14</v>
      </c>
      <c r="N1958" s="2" t="s">
        <v>290</v>
      </c>
      <c r="O1958" s="2" t="s">
        <v>4373</v>
      </c>
      <c r="P1958" s="2" t="s">
        <v>4381</v>
      </c>
    </row>
    <row r="1959" spans="1:16">
      <c r="A1959" s="4">
        <v>46246.300543981481</v>
      </c>
      <c r="B1959" s="2" t="s">
        <v>894</v>
      </c>
      <c r="C1959" s="2" t="s">
        <v>2932</v>
      </c>
      <c r="D1959" s="2" t="s">
        <v>1126</v>
      </c>
      <c r="E1959" s="2">
        <v>156</v>
      </c>
      <c r="F1959" s="2"/>
      <c r="G1959" s="2">
        <v>156</v>
      </c>
      <c r="H1959" s="2" t="s">
        <v>902</v>
      </c>
      <c r="I1959" s="2" t="s">
        <v>695</v>
      </c>
      <c r="J1959" s="2" t="s">
        <v>2537</v>
      </c>
      <c r="K1959" s="2" t="s">
        <v>1855</v>
      </c>
      <c r="L1959" s="2" t="s">
        <v>1847</v>
      </c>
      <c r="M1959" s="2" t="str">
        <f t="shared" si="33"/>
        <v>14</v>
      </c>
      <c r="N1959" s="2" t="s">
        <v>2170</v>
      </c>
      <c r="O1959" s="2" t="s">
        <v>4373</v>
      </c>
      <c r="P1959" s="2" t="s">
        <v>4381</v>
      </c>
    </row>
    <row r="1960" spans="1:16">
      <c r="A1960" s="4">
        <v>46246.300243055557</v>
      </c>
      <c r="B1960" s="2" t="s">
        <v>1532</v>
      </c>
      <c r="C1960" s="2" t="s">
        <v>2932</v>
      </c>
      <c r="D1960" s="2" t="s">
        <v>1126</v>
      </c>
      <c r="E1960" s="2">
        <v>156</v>
      </c>
      <c r="F1960" s="2"/>
      <c r="G1960" s="2">
        <v>156</v>
      </c>
      <c r="H1960" s="2" t="s">
        <v>902</v>
      </c>
      <c r="I1960" s="2" t="s">
        <v>695</v>
      </c>
      <c r="J1960" s="2" t="s">
        <v>2537</v>
      </c>
      <c r="K1960" s="2" t="s">
        <v>1855</v>
      </c>
      <c r="L1960" s="2" t="s">
        <v>1847</v>
      </c>
      <c r="M1960" s="2" t="str">
        <f t="shared" si="33"/>
        <v>14</v>
      </c>
      <c r="N1960" s="2" t="s">
        <v>3532</v>
      </c>
      <c r="O1960" s="2" t="s">
        <v>4373</v>
      </c>
      <c r="P1960" s="2" t="s">
        <v>4381</v>
      </c>
    </row>
    <row r="1961" spans="1:16">
      <c r="A1961" s="4">
        <v>46244.653634259259</v>
      </c>
      <c r="B1961" s="2" t="s">
        <v>4196</v>
      </c>
      <c r="C1961" s="2" t="s">
        <v>2932</v>
      </c>
      <c r="D1961" s="2" t="s">
        <v>1126</v>
      </c>
      <c r="E1961" s="2">
        <v>156</v>
      </c>
      <c r="F1961" s="2"/>
      <c r="G1961" s="2">
        <v>156</v>
      </c>
      <c r="H1961" s="2" t="s">
        <v>2061</v>
      </c>
      <c r="I1961" s="2" t="s">
        <v>695</v>
      </c>
      <c r="J1961" s="2" t="s">
        <v>2537</v>
      </c>
      <c r="K1961" s="2" t="s">
        <v>1855</v>
      </c>
      <c r="L1961" s="2" t="s">
        <v>2564</v>
      </c>
      <c r="M1961" s="2" t="str">
        <f t="shared" si="33"/>
        <v>07</v>
      </c>
      <c r="N1961" s="2" t="s">
        <v>3157</v>
      </c>
      <c r="O1961" s="2" t="s">
        <v>4373</v>
      </c>
      <c r="P1961" s="2" t="s">
        <v>4375</v>
      </c>
    </row>
    <row r="1962" spans="1:16">
      <c r="A1962" s="4">
        <v>46244.651550925926</v>
      </c>
      <c r="B1962" s="2" t="s">
        <v>1424</v>
      </c>
      <c r="C1962" s="2" t="s">
        <v>2932</v>
      </c>
      <c r="D1962" s="2" t="s">
        <v>1126</v>
      </c>
      <c r="E1962" s="2">
        <v>156</v>
      </c>
      <c r="F1962" s="2"/>
      <c r="G1962" s="2">
        <v>156</v>
      </c>
      <c r="H1962" s="2" t="s">
        <v>2061</v>
      </c>
      <c r="I1962" s="2" t="s">
        <v>695</v>
      </c>
      <c r="J1962" s="2" t="s">
        <v>2537</v>
      </c>
      <c r="K1962" s="2" t="s">
        <v>1855</v>
      </c>
      <c r="L1962" s="2" t="s">
        <v>2564</v>
      </c>
      <c r="M1962" s="2" t="str">
        <f t="shared" si="33"/>
        <v>07</v>
      </c>
      <c r="N1962" s="2" t="s">
        <v>2085</v>
      </c>
      <c r="O1962" s="2" t="s">
        <v>4373</v>
      </c>
      <c r="P1962" s="2" t="s">
        <v>4375</v>
      </c>
    </row>
    <row r="1963" spans="1:16">
      <c r="A1963" s="4">
        <v>46244.65111111111</v>
      </c>
      <c r="B1963" s="2" t="s">
        <v>2096</v>
      </c>
      <c r="C1963" s="2" t="s">
        <v>2932</v>
      </c>
      <c r="D1963" s="2" t="s">
        <v>1126</v>
      </c>
      <c r="E1963" s="2">
        <v>156</v>
      </c>
      <c r="F1963" s="2"/>
      <c r="G1963" s="2">
        <v>156</v>
      </c>
      <c r="H1963" s="2" t="s">
        <v>2061</v>
      </c>
      <c r="I1963" s="2" t="s">
        <v>695</v>
      </c>
      <c r="J1963" s="2" t="s">
        <v>2537</v>
      </c>
      <c r="K1963" s="2" t="s">
        <v>1855</v>
      </c>
      <c r="L1963" s="2" t="s">
        <v>2564</v>
      </c>
      <c r="M1963" s="2" t="str">
        <f t="shared" si="33"/>
        <v>07</v>
      </c>
      <c r="N1963" s="2" t="s">
        <v>1992</v>
      </c>
      <c r="O1963" s="2" t="s">
        <v>4373</v>
      </c>
      <c r="P1963" s="2" t="s">
        <v>4375</v>
      </c>
    </row>
    <row r="1964" spans="1:16">
      <c r="A1964" s="4">
        <v>46244.65084490741</v>
      </c>
      <c r="B1964" s="2" t="s">
        <v>1839</v>
      </c>
      <c r="C1964" s="2" t="s">
        <v>2932</v>
      </c>
      <c r="D1964" s="2" t="s">
        <v>1126</v>
      </c>
      <c r="E1964" s="2">
        <v>156</v>
      </c>
      <c r="F1964" s="2"/>
      <c r="G1964" s="2">
        <v>156</v>
      </c>
      <c r="H1964" s="2" t="s">
        <v>2061</v>
      </c>
      <c r="I1964" s="2" t="s">
        <v>695</v>
      </c>
      <c r="J1964" s="2" t="s">
        <v>2537</v>
      </c>
      <c r="K1964" s="2" t="s">
        <v>1855</v>
      </c>
      <c r="L1964" s="2" t="s">
        <v>2564</v>
      </c>
      <c r="M1964" s="2" t="str">
        <f t="shared" si="33"/>
        <v>07</v>
      </c>
      <c r="N1964" s="2" t="s">
        <v>2953</v>
      </c>
      <c r="O1964" s="2" t="s">
        <v>4373</v>
      </c>
      <c r="P1964" s="2" t="s">
        <v>4375</v>
      </c>
    </row>
    <row r="1965" spans="1:16">
      <c r="A1965" s="4">
        <v>46244.650706018518</v>
      </c>
      <c r="B1965" s="2" t="s">
        <v>2844</v>
      </c>
      <c r="C1965" s="2" t="s">
        <v>2932</v>
      </c>
      <c r="D1965" s="2" t="s">
        <v>1126</v>
      </c>
      <c r="E1965" s="2">
        <v>156</v>
      </c>
      <c r="F1965" s="2"/>
      <c r="G1965" s="2">
        <v>156</v>
      </c>
      <c r="H1965" s="2" t="s">
        <v>2061</v>
      </c>
      <c r="I1965" s="2" t="s">
        <v>695</v>
      </c>
      <c r="J1965" s="2" t="s">
        <v>2537</v>
      </c>
      <c r="K1965" s="2" t="s">
        <v>1855</v>
      </c>
      <c r="L1965" s="2" t="s">
        <v>2564</v>
      </c>
      <c r="M1965" s="2" t="str">
        <f t="shared" si="33"/>
        <v>07</v>
      </c>
      <c r="N1965" s="2" t="s">
        <v>1287</v>
      </c>
      <c r="O1965" s="2" t="s">
        <v>4373</v>
      </c>
      <c r="P1965" s="2" t="s">
        <v>4375</v>
      </c>
    </row>
    <row r="1966" spans="1:16">
      <c r="A1966" s="4">
        <v>46244.650543981479</v>
      </c>
      <c r="B1966" s="2" t="s">
        <v>2616</v>
      </c>
      <c r="C1966" s="2" t="s">
        <v>2932</v>
      </c>
      <c r="D1966" s="2" t="s">
        <v>1126</v>
      </c>
      <c r="E1966" s="2">
        <v>156</v>
      </c>
      <c r="F1966" s="2"/>
      <c r="G1966" s="2">
        <v>156</v>
      </c>
      <c r="H1966" s="2" t="s">
        <v>2061</v>
      </c>
      <c r="I1966" s="2" t="s">
        <v>695</v>
      </c>
      <c r="J1966" s="2" t="s">
        <v>2537</v>
      </c>
      <c r="K1966" s="2" t="s">
        <v>1855</v>
      </c>
      <c r="L1966" s="2" t="s">
        <v>2564</v>
      </c>
      <c r="M1966" s="2" t="str">
        <f t="shared" si="33"/>
        <v>07</v>
      </c>
      <c r="N1966" s="2" t="s">
        <v>3059</v>
      </c>
      <c r="O1966" s="2" t="s">
        <v>4373</v>
      </c>
      <c r="P1966" s="2" t="s">
        <v>4375</v>
      </c>
    </row>
    <row r="1967" spans="1:16">
      <c r="A1967" s="4">
        <v>46244.650358796294</v>
      </c>
      <c r="B1967" s="2" t="s">
        <v>1760</v>
      </c>
      <c r="C1967" s="2" t="s">
        <v>2932</v>
      </c>
      <c r="D1967" s="2" t="s">
        <v>1126</v>
      </c>
      <c r="E1967" s="2">
        <v>156</v>
      </c>
      <c r="F1967" s="2"/>
      <c r="G1967" s="2">
        <v>156</v>
      </c>
      <c r="H1967" s="2" t="s">
        <v>2061</v>
      </c>
      <c r="I1967" s="2" t="s">
        <v>695</v>
      </c>
      <c r="J1967" s="2" t="s">
        <v>2537</v>
      </c>
      <c r="K1967" s="2" t="s">
        <v>1855</v>
      </c>
      <c r="L1967" s="2" t="s">
        <v>2564</v>
      </c>
      <c r="M1967" s="2" t="str">
        <f t="shared" si="33"/>
        <v>07</v>
      </c>
      <c r="N1967" s="2" t="s">
        <v>3440</v>
      </c>
      <c r="O1967" s="2" t="s">
        <v>4373</v>
      </c>
      <c r="P1967" s="2" t="s">
        <v>4375</v>
      </c>
    </row>
    <row r="1968" spans="1:16">
      <c r="A1968" s="4">
        <v>46244.650347222225</v>
      </c>
      <c r="B1968" s="2" t="s">
        <v>1684</v>
      </c>
      <c r="C1968" s="2" t="s">
        <v>2932</v>
      </c>
      <c r="D1968" s="2" t="s">
        <v>1126</v>
      </c>
      <c r="E1968" s="2">
        <v>156</v>
      </c>
      <c r="F1968" s="2"/>
      <c r="G1968" s="2">
        <v>156</v>
      </c>
      <c r="H1968" s="2" t="s">
        <v>2061</v>
      </c>
      <c r="I1968" s="2" t="s">
        <v>695</v>
      </c>
      <c r="J1968" s="2" t="s">
        <v>2537</v>
      </c>
      <c r="K1968" s="2" t="s">
        <v>1855</v>
      </c>
      <c r="L1968" s="2" t="s">
        <v>2564</v>
      </c>
      <c r="M1968" s="2" t="str">
        <f t="shared" si="33"/>
        <v>07</v>
      </c>
      <c r="N1968" s="2" t="s">
        <v>3393</v>
      </c>
      <c r="O1968" s="2" t="s">
        <v>4373</v>
      </c>
      <c r="P1968" s="2" t="s">
        <v>4375</v>
      </c>
    </row>
    <row r="1969" spans="1:16">
      <c r="A1969" s="4">
        <v>46244.649340277778</v>
      </c>
      <c r="B1969" s="2" t="s">
        <v>319</v>
      </c>
      <c r="C1969" s="2" t="s">
        <v>2932</v>
      </c>
      <c r="D1969" s="2" t="s">
        <v>1126</v>
      </c>
      <c r="E1969" s="2">
        <v>156</v>
      </c>
      <c r="F1969" s="2"/>
      <c r="G1969" s="2">
        <v>156</v>
      </c>
      <c r="H1969" s="2" t="s">
        <v>2061</v>
      </c>
      <c r="I1969" s="2" t="s">
        <v>695</v>
      </c>
      <c r="J1969" s="2" t="s">
        <v>2537</v>
      </c>
      <c r="K1969" s="2" t="s">
        <v>1855</v>
      </c>
      <c r="L1969" s="2" t="s">
        <v>2564</v>
      </c>
      <c r="M1969" s="2" t="str">
        <f t="shared" si="33"/>
        <v>07</v>
      </c>
      <c r="N1969" s="2" t="s">
        <v>4313</v>
      </c>
      <c r="O1969" s="2" t="s">
        <v>4373</v>
      </c>
      <c r="P1969" s="2" t="s">
        <v>4375</v>
      </c>
    </row>
    <row r="1970" spans="1:16">
      <c r="A1970" s="4">
        <v>46244.649328703701</v>
      </c>
      <c r="B1970" s="2" t="s">
        <v>488</v>
      </c>
      <c r="C1970" s="2" t="s">
        <v>2932</v>
      </c>
      <c r="D1970" s="2" t="s">
        <v>1126</v>
      </c>
      <c r="E1970" s="2">
        <v>156</v>
      </c>
      <c r="F1970" s="2"/>
      <c r="G1970" s="2">
        <v>156</v>
      </c>
      <c r="H1970" s="2" t="s">
        <v>2061</v>
      </c>
      <c r="I1970" s="2" t="s">
        <v>695</v>
      </c>
      <c r="J1970" s="2" t="s">
        <v>2537</v>
      </c>
      <c r="K1970" s="2" t="s">
        <v>1855</v>
      </c>
      <c r="L1970" s="2" t="s">
        <v>2564</v>
      </c>
      <c r="M1970" s="2" t="str">
        <f t="shared" si="33"/>
        <v>07</v>
      </c>
      <c r="N1970" s="2" t="s">
        <v>3318</v>
      </c>
      <c r="O1970" s="2" t="s">
        <v>4373</v>
      </c>
      <c r="P1970" s="2" t="s">
        <v>4375</v>
      </c>
    </row>
    <row r="1971" spans="1:16">
      <c r="A1971" s="4">
        <v>46244.648287037038</v>
      </c>
      <c r="B1971" s="2" t="s">
        <v>926</v>
      </c>
      <c r="C1971" s="2" t="s">
        <v>2932</v>
      </c>
      <c r="D1971" s="2" t="s">
        <v>1126</v>
      </c>
      <c r="E1971" s="2">
        <v>156</v>
      </c>
      <c r="F1971" s="2"/>
      <c r="G1971" s="2">
        <v>156</v>
      </c>
      <c r="H1971" s="2" t="s">
        <v>2061</v>
      </c>
      <c r="I1971" s="2" t="s">
        <v>695</v>
      </c>
      <c r="J1971" s="2" t="s">
        <v>2537</v>
      </c>
      <c r="K1971" s="2" t="s">
        <v>1855</v>
      </c>
      <c r="L1971" s="2" t="s">
        <v>2564</v>
      </c>
      <c r="M1971" s="2" t="str">
        <f t="shared" si="33"/>
        <v>07</v>
      </c>
      <c r="N1971" s="2" t="s">
        <v>3343</v>
      </c>
      <c r="O1971" s="2" t="s">
        <v>4373</v>
      </c>
      <c r="P1971" s="2" t="s">
        <v>4375</v>
      </c>
    </row>
    <row r="1972" spans="1:16">
      <c r="A1972" s="4">
        <v>46244.64775462963</v>
      </c>
      <c r="B1972" s="2" t="s">
        <v>1987</v>
      </c>
      <c r="C1972" s="2" t="s">
        <v>2932</v>
      </c>
      <c r="D1972" s="2" t="s">
        <v>1126</v>
      </c>
      <c r="E1972" s="2">
        <v>156</v>
      </c>
      <c r="F1972" s="2"/>
      <c r="G1972" s="2">
        <v>156</v>
      </c>
      <c r="H1972" s="2" t="s">
        <v>2061</v>
      </c>
      <c r="I1972" s="2" t="s">
        <v>695</v>
      </c>
      <c r="J1972" s="2" t="s">
        <v>2537</v>
      </c>
      <c r="K1972" s="2" t="s">
        <v>1855</v>
      </c>
      <c r="L1972" s="2" t="s">
        <v>2564</v>
      </c>
      <c r="M1972" s="2" t="str">
        <f t="shared" si="33"/>
        <v>07</v>
      </c>
      <c r="N1972" s="2" t="s">
        <v>3391</v>
      </c>
      <c r="O1972" s="2" t="s">
        <v>4373</v>
      </c>
      <c r="P1972" s="2" t="s">
        <v>4375</v>
      </c>
    </row>
    <row r="1973" spans="1:16">
      <c r="A1973" s="4">
        <v>46244.646655092591</v>
      </c>
      <c r="B1973" s="2" t="s">
        <v>3184</v>
      </c>
      <c r="C1973" s="2" t="s">
        <v>2932</v>
      </c>
      <c r="D1973" s="2" t="s">
        <v>1126</v>
      </c>
      <c r="E1973" s="2">
        <v>156</v>
      </c>
      <c r="F1973" s="2"/>
      <c r="G1973" s="2">
        <v>156</v>
      </c>
      <c r="H1973" s="2" t="s">
        <v>2061</v>
      </c>
      <c r="I1973" s="2" t="s">
        <v>695</v>
      </c>
      <c r="J1973" s="2" t="s">
        <v>2537</v>
      </c>
      <c r="K1973" s="2" t="s">
        <v>1855</v>
      </c>
      <c r="L1973" s="2" t="s">
        <v>2564</v>
      </c>
      <c r="M1973" s="2" t="str">
        <f t="shared" si="33"/>
        <v>07</v>
      </c>
      <c r="N1973" s="2" t="s">
        <v>1486</v>
      </c>
      <c r="O1973" s="2" t="s">
        <v>4373</v>
      </c>
      <c r="P1973" s="2" t="s">
        <v>4375</v>
      </c>
    </row>
    <row r="1974" spans="1:16">
      <c r="A1974" s="4">
        <v>46244.646481481483</v>
      </c>
      <c r="B1974" s="2" t="s">
        <v>827</v>
      </c>
      <c r="C1974" s="2" t="s">
        <v>2932</v>
      </c>
      <c r="D1974" s="2" t="s">
        <v>1126</v>
      </c>
      <c r="E1974" s="2">
        <v>156</v>
      </c>
      <c r="F1974" s="2"/>
      <c r="G1974" s="2">
        <v>156</v>
      </c>
      <c r="H1974" s="2" t="s">
        <v>2061</v>
      </c>
      <c r="I1974" s="2" t="s">
        <v>695</v>
      </c>
      <c r="J1974" s="2" t="s">
        <v>2537</v>
      </c>
      <c r="K1974" s="2" t="s">
        <v>1855</v>
      </c>
      <c r="L1974" s="2" t="s">
        <v>2564</v>
      </c>
      <c r="M1974" s="2" t="str">
        <f t="shared" si="33"/>
        <v>07</v>
      </c>
      <c r="N1974" s="2" t="s">
        <v>3321</v>
      </c>
      <c r="O1974" s="2" t="s">
        <v>4373</v>
      </c>
      <c r="P1974" s="2" t="s">
        <v>4375</v>
      </c>
    </row>
    <row r="1975" spans="1:16">
      <c r="A1975" s="4">
        <v>46244.645972222221</v>
      </c>
      <c r="B1975" s="2" t="s">
        <v>542</v>
      </c>
      <c r="C1975" s="2" t="s">
        <v>2932</v>
      </c>
      <c r="D1975" s="2" t="s">
        <v>1126</v>
      </c>
      <c r="E1975" s="2">
        <v>156</v>
      </c>
      <c r="F1975" s="2"/>
      <c r="G1975" s="2">
        <v>156</v>
      </c>
      <c r="H1975" s="2" t="s">
        <v>2061</v>
      </c>
      <c r="I1975" s="2" t="s">
        <v>695</v>
      </c>
      <c r="J1975" s="2" t="s">
        <v>2537</v>
      </c>
      <c r="K1975" s="2" t="s">
        <v>1855</v>
      </c>
      <c r="L1975" s="2" t="s">
        <v>2564</v>
      </c>
      <c r="M1975" s="2" t="str">
        <f t="shared" si="33"/>
        <v>07</v>
      </c>
      <c r="N1975" s="2" t="s">
        <v>2624</v>
      </c>
      <c r="O1975" s="2" t="s">
        <v>4373</v>
      </c>
      <c r="P1975" s="2" t="s">
        <v>4375</v>
      </c>
    </row>
    <row r="1976" spans="1:16">
      <c r="A1976" s="4">
        <v>46244.645243055558</v>
      </c>
      <c r="B1976" s="2" t="s">
        <v>2484</v>
      </c>
      <c r="C1976" s="2" t="s">
        <v>2932</v>
      </c>
      <c r="D1976" s="2" t="s">
        <v>1126</v>
      </c>
      <c r="E1976" s="2">
        <v>156</v>
      </c>
      <c r="F1976" s="2"/>
      <c r="G1976" s="2">
        <v>156</v>
      </c>
      <c r="H1976" s="2" t="s">
        <v>2061</v>
      </c>
      <c r="I1976" s="2" t="s">
        <v>695</v>
      </c>
      <c r="J1976" s="2" t="s">
        <v>2537</v>
      </c>
      <c r="K1976" s="2" t="s">
        <v>1855</v>
      </c>
      <c r="L1976" s="2" t="s">
        <v>2564</v>
      </c>
      <c r="M1976" s="2" t="str">
        <f t="shared" si="33"/>
        <v>07</v>
      </c>
      <c r="N1976" s="2" t="s">
        <v>1700</v>
      </c>
      <c r="O1976" s="2" t="s">
        <v>4373</v>
      </c>
      <c r="P1976" s="2" t="s">
        <v>4375</v>
      </c>
    </row>
    <row r="1977" spans="1:16">
      <c r="A1977" s="4">
        <v>46244.642881944441</v>
      </c>
      <c r="B1977" s="2" t="s">
        <v>3765</v>
      </c>
      <c r="C1977" s="2" t="s">
        <v>2932</v>
      </c>
      <c r="D1977" s="2" t="s">
        <v>1126</v>
      </c>
      <c r="E1977" s="2">
        <v>156</v>
      </c>
      <c r="F1977" s="2"/>
      <c r="G1977" s="2">
        <v>156</v>
      </c>
      <c r="H1977" s="2" t="s">
        <v>2061</v>
      </c>
      <c r="I1977" s="2" t="s">
        <v>695</v>
      </c>
      <c r="J1977" s="2" t="s">
        <v>2537</v>
      </c>
      <c r="K1977" s="2" t="s">
        <v>1855</v>
      </c>
      <c r="L1977" s="2" t="s">
        <v>2564</v>
      </c>
      <c r="M1977" s="2" t="str">
        <f t="shared" si="33"/>
        <v>07</v>
      </c>
      <c r="N1977" s="2" t="s">
        <v>3768</v>
      </c>
      <c r="O1977" s="2" t="s">
        <v>4373</v>
      </c>
      <c r="P1977" s="2" t="s">
        <v>4375</v>
      </c>
    </row>
    <row r="1978" spans="1:16">
      <c r="A1978" s="4">
        <v>46244.642754629633</v>
      </c>
      <c r="B1978" s="2" t="s">
        <v>1145</v>
      </c>
      <c r="C1978" s="2" t="s">
        <v>2932</v>
      </c>
      <c r="D1978" s="2" t="s">
        <v>1126</v>
      </c>
      <c r="E1978" s="2">
        <v>156</v>
      </c>
      <c r="F1978" s="2"/>
      <c r="G1978" s="2">
        <v>156</v>
      </c>
      <c r="H1978" s="2" t="s">
        <v>2061</v>
      </c>
      <c r="I1978" s="2" t="s">
        <v>695</v>
      </c>
      <c r="J1978" s="2" t="s">
        <v>2537</v>
      </c>
      <c r="K1978" s="2" t="s">
        <v>1855</v>
      </c>
      <c r="L1978" s="2" t="s">
        <v>2564</v>
      </c>
      <c r="M1978" s="2" t="str">
        <f t="shared" si="33"/>
        <v>07</v>
      </c>
      <c r="N1978" s="2" t="s">
        <v>3602</v>
      </c>
      <c r="O1978" s="2" t="s">
        <v>4373</v>
      </c>
      <c r="P1978" s="2" t="s">
        <v>4375</v>
      </c>
    </row>
    <row r="1979" spans="1:16">
      <c r="A1979" s="4">
        <v>46244.641041666669</v>
      </c>
      <c r="B1979" s="2" t="s">
        <v>1612</v>
      </c>
      <c r="C1979" s="2" t="s">
        <v>2932</v>
      </c>
      <c r="D1979" s="2" t="s">
        <v>1126</v>
      </c>
      <c r="E1979" s="2">
        <v>156</v>
      </c>
      <c r="F1979" s="2"/>
      <c r="G1979" s="2">
        <v>156</v>
      </c>
      <c r="H1979" s="2" t="s">
        <v>2061</v>
      </c>
      <c r="I1979" s="2" t="s">
        <v>695</v>
      </c>
      <c r="J1979" s="2" t="s">
        <v>2537</v>
      </c>
      <c r="K1979" s="2" t="s">
        <v>1855</v>
      </c>
      <c r="L1979" s="2" t="s">
        <v>2564</v>
      </c>
      <c r="M1979" s="2" t="str">
        <f t="shared" si="33"/>
        <v>07</v>
      </c>
      <c r="N1979" s="2" t="s">
        <v>1254</v>
      </c>
      <c r="O1979" s="2" t="s">
        <v>4373</v>
      </c>
      <c r="P1979" s="2" t="s">
        <v>4375</v>
      </c>
    </row>
    <row r="1980" spans="1:16">
      <c r="A1980" s="4">
        <v>46244.6408912037</v>
      </c>
      <c r="B1980" s="2" t="s">
        <v>4189</v>
      </c>
      <c r="C1980" s="2" t="s">
        <v>2932</v>
      </c>
      <c r="D1980" s="2" t="s">
        <v>1126</v>
      </c>
      <c r="E1980" s="2">
        <v>156</v>
      </c>
      <c r="F1980" s="2"/>
      <c r="G1980" s="2">
        <v>156</v>
      </c>
      <c r="H1980" s="2" t="s">
        <v>2061</v>
      </c>
      <c r="I1980" s="2" t="s">
        <v>695</v>
      </c>
      <c r="J1980" s="2" t="s">
        <v>2537</v>
      </c>
      <c r="K1980" s="2" t="s">
        <v>1855</v>
      </c>
      <c r="L1980" s="2" t="s">
        <v>2564</v>
      </c>
      <c r="M1980" s="2" t="str">
        <f t="shared" si="33"/>
        <v>07</v>
      </c>
      <c r="N1980" s="2" t="s">
        <v>3134</v>
      </c>
      <c r="O1980" s="2" t="s">
        <v>4373</v>
      </c>
      <c r="P1980" s="2" t="s">
        <v>4375</v>
      </c>
    </row>
    <row r="1981" spans="1:16">
      <c r="A1981" s="4">
        <v>46249.918749999997</v>
      </c>
      <c r="B1981" s="2" t="s">
        <v>122</v>
      </c>
      <c r="C1981" s="2" t="s">
        <v>1594</v>
      </c>
      <c r="D1981" s="2" t="s">
        <v>4151</v>
      </c>
      <c r="E1981" s="2">
        <v>80</v>
      </c>
      <c r="F1981" s="2"/>
      <c r="G1981" s="2">
        <v>80</v>
      </c>
      <c r="H1981" s="2" t="s">
        <v>958</v>
      </c>
      <c r="I1981" s="2" t="s">
        <v>695</v>
      </c>
      <c r="J1981" s="2" t="s">
        <v>2537</v>
      </c>
      <c r="K1981" s="2" t="s">
        <v>1855</v>
      </c>
      <c r="L1981" s="2" t="s">
        <v>2399</v>
      </c>
      <c r="M1981" s="2" t="str">
        <f t="shared" si="33"/>
        <v>05</v>
      </c>
      <c r="N1981" s="2" t="s">
        <v>3335</v>
      </c>
      <c r="O1981" s="2" t="s">
        <v>4373</v>
      </c>
      <c r="P1981" s="2" t="s">
        <v>4378</v>
      </c>
    </row>
    <row r="1982" spans="1:16">
      <c r="A1982" s="4">
        <v>46249.890081018515</v>
      </c>
      <c r="B1982" s="2" t="s">
        <v>2174</v>
      </c>
      <c r="C1982" s="2" t="s">
        <v>1594</v>
      </c>
      <c r="D1982" s="2" t="s">
        <v>4151</v>
      </c>
      <c r="E1982" s="2">
        <v>80</v>
      </c>
      <c r="F1982" s="2"/>
      <c r="G1982" s="2">
        <v>80</v>
      </c>
      <c r="H1982" s="2" t="s">
        <v>958</v>
      </c>
      <c r="I1982" s="2" t="s">
        <v>695</v>
      </c>
      <c r="J1982" s="2" t="s">
        <v>2537</v>
      </c>
      <c r="K1982" s="2" t="s">
        <v>1855</v>
      </c>
      <c r="L1982" s="2" t="s">
        <v>2399</v>
      </c>
      <c r="M1982" s="2" t="str">
        <f t="shared" si="33"/>
        <v>05</v>
      </c>
      <c r="N1982" s="2" t="s">
        <v>28</v>
      </c>
      <c r="O1982" s="2" t="s">
        <v>4373</v>
      </c>
      <c r="P1982" s="2" t="s">
        <v>4378</v>
      </c>
    </row>
    <row r="1983" spans="1:16">
      <c r="A1983" s="4">
        <v>46249.889537037037</v>
      </c>
      <c r="B1983" s="2" t="s">
        <v>1117</v>
      </c>
      <c r="C1983" s="2" t="s">
        <v>1594</v>
      </c>
      <c r="D1983" s="2" t="s">
        <v>4151</v>
      </c>
      <c r="E1983" s="2">
        <v>80</v>
      </c>
      <c r="F1983" s="2"/>
      <c r="G1983" s="2">
        <v>80</v>
      </c>
      <c r="H1983" s="2" t="s">
        <v>958</v>
      </c>
      <c r="I1983" s="2" t="s">
        <v>695</v>
      </c>
      <c r="J1983" s="2" t="s">
        <v>2537</v>
      </c>
      <c r="K1983" s="2" t="s">
        <v>1855</v>
      </c>
      <c r="L1983" s="2" t="s">
        <v>2399</v>
      </c>
      <c r="M1983" s="2" t="str">
        <f t="shared" si="33"/>
        <v>05</v>
      </c>
      <c r="N1983" s="2" t="s">
        <v>3531</v>
      </c>
      <c r="O1983" s="2" t="s">
        <v>4373</v>
      </c>
      <c r="P1983" s="2" t="s">
        <v>4378</v>
      </c>
    </row>
    <row r="1984" spans="1:16">
      <c r="A1984" s="4">
        <v>46249.889317129629</v>
      </c>
      <c r="B1984" s="2" t="s">
        <v>1820</v>
      </c>
      <c r="C1984" s="2" t="s">
        <v>1594</v>
      </c>
      <c r="D1984" s="2" t="s">
        <v>4151</v>
      </c>
      <c r="E1984" s="2">
        <v>80</v>
      </c>
      <c r="F1984" s="2"/>
      <c r="G1984" s="2">
        <v>80</v>
      </c>
      <c r="H1984" s="2" t="s">
        <v>958</v>
      </c>
      <c r="I1984" s="2" t="s">
        <v>695</v>
      </c>
      <c r="J1984" s="2" t="s">
        <v>2537</v>
      </c>
      <c r="K1984" s="2" t="s">
        <v>1855</v>
      </c>
      <c r="L1984" s="2" t="s">
        <v>2399</v>
      </c>
      <c r="M1984" s="2" t="str">
        <f t="shared" si="33"/>
        <v>05</v>
      </c>
      <c r="N1984" s="2" t="s">
        <v>2808</v>
      </c>
      <c r="O1984" s="2" t="s">
        <v>4373</v>
      </c>
      <c r="P1984" s="2" t="s">
        <v>4378</v>
      </c>
    </row>
    <row r="1985" spans="1:16">
      <c r="A1985" s="4">
        <v>46249.88857638889</v>
      </c>
      <c r="B1985" s="2" t="s">
        <v>3568</v>
      </c>
      <c r="C1985" s="2" t="s">
        <v>1594</v>
      </c>
      <c r="D1985" s="2" t="s">
        <v>4151</v>
      </c>
      <c r="E1985" s="2">
        <v>80</v>
      </c>
      <c r="F1985" s="2"/>
      <c r="G1985" s="2">
        <v>80</v>
      </c>
      <c r="H1985" s="2" t="s">
        <v>958</v>
      </c>
      <c r="I1985" s="2" t="s">
        <v>695</v>
      </c>
      <c r="J1985" s="2" t="s">
        <v>2537</v>
      </c>
      <c r="K1985" s="2" t="s">
        <v>1855</v>
      </c>
      <c r="L1985" s="2" t="s">
        <v>2399</v>
      </c>
      <c r="M1985" s="2" t="str">
        <f t="shared" si="33"/>
        <v>05</v>
      </c>
      <c r="N1985" s="2" t="s">
        <v>2723</v>
      </c>
      <c r="O1985" s="2" t="s">
        <v>4373</v>
      </c>
      <c r="P1985" s="2" t="s">
        <v>4378</v>
      </c>
    </row>
    <row r="1986" spans="1:16">
      <c r="A1986" s="4">
        <v>46249.888194444444</v>
      </c>
      <c r="B1986" s="2" t="s">
        <v>3508</v>
      </c>
      <c r="C1986" s="2" t="s">
        <v>1594</v>
      </c>
      <c r="D1986" s="2" t="s">
        <v>4151</v>
      </c>
      <c r="E1986" s="2">
        <v>80</v>
      </c>
      <c r="F1986" s="2"/>
      <c r="G1986" s="2">
        <v>80</v>
      </c>
      <c r="H1986" s="2" t="s">
        <v>958</v>
      </c>
      <c r="I1986" s="2" t="s">
        <v>695</v>
      </c>
      <c r="J1986" s="2" t="s">
        <v>2537</v>
      </c>
      <c r="K1986" s="2" t="s">
        <v>1855</v>
      </c>
      <c r="L1986" s="2" t="s">
        <v>2399</v>
      </c>
      <c r="M1986" s="2" t="str">
        <f t="shared" ref="M1986:M2049" si="34">RIGHT(L1986,2)</f>
        <v>05</v>
      </c>
      <c r="N1986" s="2" t="s">
        <v>2951</v>
      </c>
      <c r="O1986" s="2" t="s">
        <v>4373</v>
      </c>
      <c r="P1986" s="2" t="s">
        <v>4378</v>
      </c>
    </row>
    <row r="1987" spans="1:16">
      <c r="A1987" s="4">
        <v>46249.888148148151</v>
      </c>
      <c r="B1987" s="2" t="s">
        <v>3160</v>
      </c>
      <c r="C1987" s="2" t="s">
        <v>1594</v>
      </c>
      <c r="D1987" s="2" t="s">
        <v>4151</v>
      </c>
      <c r="E1987" s="2">
        <v>80</v>
      </c>
      <c r="F1987" s="2"/>
      <c r="G1987" s="2">
        <v>80</v>
      </c>
      <c r="H1987" s="2" t="s">
        <v>958</v>
      </c>
      <c r="I1987" s="2" t="s">
        <v>695</v>
      </c>
      <c r="J1987" s="2" t="s">
        <v>2537</v>
      </c>
      <c r="K1987" s="2" t="s">
        <v>1855</v>
      </c>
      <c r="L1987" s="2" t="s">
        <v>2399</v>
      </c>
      <c r="M1987" s="2" t="str">
        <f t="shared" si="34"/>
        <v>05</v>
      </c>
      <c r="N1987" s="2" t="s">
        <v>1522</v>
      </c>
      <c r="O1987" s="2" t="s">
        <v>4373</v>
      </c>
      <c r="P1987" s="2" t="s">
        <v>4378</v>
      </c>
    </row>
    <row r="1988" spans="1:16">
      <c r="A1988" s="4">
        <v>46249.887233796297</v>
      </c>
      <c r="B1988" s="2" t="s">
        <v>2935</v>
      </c>
      <c r="C1988" s="2" t="s">
        <v>1594</v>
      </c>
      <c r="D1988" s="2" t="s">
        <v>4151</v>
      </c>
      <c r="E1988" s="2">
        <v>80</v>
      </c>
      <c r="F1988" s="2"/>
      <c r="G1988" s="2">
        <v>80</v>
      </c>
      <c r="H1988" s="2" t="s">
        <v>958</v>
      </c>
      <c r="I1988" s="2" t="s">
        <v>695</v>
      </c>
      <c r="J1988" s="2" t="s">
        <v>2537</v>
      </c>
      <c r="K1988" s="2" t="s">
        <v>1855</v>
      </c>
      <c r="L1988" s="2" t="s">
        <v>2399</v>
      </c>
      <c r="M1988" s="2" t="str">
        <f t="shared" si="34"/>
        <v>05</v>
      </c>
      <c r="N1988" s="2" t="s">
        <v>1205</v>
      </c>
      <c r="O1988" s="2" t="s">
        <v>4373</v>
      </c>
      <c r="P1988" s="2" t="s">
        <v>4378</v>
      </c>
    </row>
    <row r="1989" spans="1:16">
      <c r="A1989" s="4">
        <v>46249.887141203704</v>
      </c>
      <c r="B1989" s="2" t="s">
        <v>704</v>
      </c>
      <c r="C1989" s="2" t="s">
        <v>1594</v>
      </c>
      <c r="D1989" s="2" t="s">
        <v>4151</v>
      </c>
      <c r="E1989" s="2">
        <v>80</v>
      </c>
      <c r="F1989" s="2"/>
      <c r="G1989" s="2">
        <v>80</v>
      </c>
      <c r="H1989" s="2" t="s">
        <v>958</v>
      </c>
      <c r="I1989" s="2" t="s">
        <v>695</v>
      </c>
      <c r="J1989" s="2" t="s">
        <v>2537</v>
      </c>
      <c r="K1989" s="2" t="s">
        <v>1855</v>
      </c>
      <c r="L1989" s="2" t="s">
        <v>2399</v>
      </c>
      <c r="M1989" s="2" t="str">
        <f t="shared" si="34"/>
        <v>05</v>
      </c>
      <c r="N1989" s="2" t="s">
        <v>4280</v>
      </c>
      <c r="O1989" s="2" t="s">
        <v>4373</v>
      </c>
      <c r="P1989" s="2" t="s">
        <v>4378</v>
      </c>
    </row>
    <row r="1990" spans="1:16">
      <c r="A1990" s="4">
        <v>46249.887071759258</v>
      </c>
      <c r="B1990" s="2" t="s">
        <v>4204</v>
      </c>
      <c r="C1990" s="2" t="s">
        <v>1594</v>
      </c>
      <c r="D1990" s="2" t="s">
        <v>4151</v>
      </c>
      <c r="E1990" s="2">
        <v>80</v>
      </c>
      <c r="F1990" s="2"/>
      <c r="G1990" s="2">
        <v>80</v>
      </c>
      <c r="H1990" s="2" t="s">
        <v>958</v>
      </c>
      <c r="I1990" s="2" t="s">
        <v>695</v>
      </c>
      <c r="J1990" s="2" t="s">
        <v>2537</v>
      </c>
      <c r="K1990" s="2" t="s">
        <v>1855</v>
      </c>
      <c r="L1990" s="2" t="s">
        <v>2399</v>
      </c>
      <c r="M1990" s="2" t="str">
        <f t="shared" si="34"/>
        <v>05</v>
      </c>
      <c r="N1990" s="2" t="s">
        <v>1774</v>
      </c>
      <c r="O1990" s="2" t="s">
        <v>4373</v>
      </c>
      <c r="P1990" s="2" t="s">
        <v>4378</v>
      </c>
    </row>
    <row r="1991" spans="1:16">
      <c r="A1991" s="4">
        <v>46249.886064814818</v>
      </c>
      <c r="B1991" s="2" t="s">
        <v>3996</v>
      </c>
      <c r="C1991" s="2" t="s">
        <v>1594</v>
      </c>
      <c r="D1991" s="2" t="s">
        <v>4151</v>
      </c>
      <c r="E1991" s="2">
        <v>80</v>
      </c>
      <c r="F1991" s="2"/>
      <c r="G1991" s="2">
        <v>80</v>
      </c>
      <c r="H1991" s="2" t="s">
        <v>958</v>
      </c>
      <c r="I1991" s="2" t="s">
        <v>695</v>
      </c>
      <c r="J1991" s="2" t="s">
        <v>2537</v>
      </c>
      <c r="K1991" s="2" t="s">
        <v>1855</v>
      </c>
      <c r="L1991" s="2" t="s">
        <v>2399</v>
      </c>
      <c r="M1991" s="2" t="str">
        <f t="shared" si="34"/>
        <v>05</v>
      </c>
      <c r="N1991" s="2" t="s">
        <v>4227</v>
      </c>
      <c r="O1991" s="2" t="s">
        <v>4373</v>
      </c>
      <c r="P1991" s="2" t="s">
        <v>4378</v>
      </c>
    </row>
    <row r="1992" spans="1:16">
      <c r="A1992" s="4">
        <v>46249.886018518519</v>
      </c>
      <c r="B1992" s="2" t="s">
        <v>106</v>
      </c>
      <c r="C1992" s="2" t="s">
        <v>1594</v>
      </c>
      <c r="D1992" s="2" t="s">
        <v>4151</v>
      </c>
      <c r="E1992" s="2">
        <v>80</v>
      </c>
      <c r="F1992" s="2"/>
      <c r="G1992" s="2">
        <v>80</v>
      </c>
      <c r="H1992" s="2" t="s">
        <v>958</v>
      </c>
      <c r="I1992" s="2" t="s">
        <v>695</v>
      </c>
      <c r="J1992" s="2" t="s">
        <v>2537</v>
      </c>
      <c r="K1992" s="2" t="s">
        <v>1855</v>
      </c>
      <c r="L1992" s="2" t="s">
        <v>2399</v>
      </c>
      <c r="M1992" s="2" t="str">
        <f t="shared" si="34"/>
        <v>05</v>
      </c>
      <c r="N1992" s="2" t="s">
        <v>2658</v>
      </c>
      <c r="O1992" s="2" t="s">
        <v>4373</v>
      </c>
      <c r="P1992" s="2" t="s">
        <v>4378</v>
      </c>
    </row>
    <row r="1993" spans="1:16">
      <c r="A1993" s="4">
        <v>46249.885914351849</v>
      </c>
      <c r="B1993" s="2" t="s">
        <v>1967</v>
      </c>
      <c r="C1993" s="2" t="s">
        <v>1594</v>
      </c>
      <c r="D1993" s="2" t="s">
        <v>4151</v>
      </c>
      <c r="E1993" s="2">
        <v>80</v>
      </c>
      <c r="F1993" s="2"/>
      <c r="G1993" s="2">
        <v>80</v>
      </c>
      <c r="H1993" s="2" t="s">
        <v>958</v>
      </c>
      <c r="I1993" s="2" t="s">
        <v>695</v>
      </c>
      <c r="J1993" s="2" t="s">
        <v>2537</v>
      </c>
      <c r="K1993" s="2" t="s">
        <v>1855</v>
      </c>
      <c r="L1993" s="2" t="s">
        <v>2399</v>
      </c>
      <c r="M1993" s="2" t="str">
        <f t="shared" si="34"/>
        <v>05</v>
      </c>
      <c r="N1993" s="2" t="s">
        <v>4062</v>
      </c>
      <c r="O1993" s="2" t="s">
        <v>4373</v>
      </c>
      <c r="P1993" s="2" t="s">
        <v>4378</v>
      </c>
    </row>
    <row r="1994" spans="1:16">
      <c r="A1994" s="4">
        <v>46249.885451388887</v>
      </c>
      <c r="B1994" s="2" t="s">
        <v>2853</v>
      </c>
      <c r="C1994" s="2" t="s">
        <v>1594</v>
      </c>
      <c r="D1994" s="2" t="s">
        <v>4151</v>
      </c>
      <c r="E1994" s="2">
        <v>80</v>
      </c>
      <c r="F1994" s="2"/>
      <c r="G1994" s="2">
        <v>80</v>
      </c>
      <c r="H1994" s="2" t="s">
        <v>958</v>
      </c>
      <c r="I1994" s="2" t="s">
        <v>695</v>
      </c>
      <c r="J1994" s="2" t="s">
        <v>2537</v>
      </c>
      <c r="K1994" s="2" t="s">
        <v>1855</v>
      </c>
      <c r="L1994" s="2" t="s">
        <v>2399</v>
      </c>
      <c r="M1994" s="2" t="str">
        <f t="shared" si="34"/>
        <v>05</v>
      </c>
      <c r="N1994" s="2" t="s">
        <v>2243</v>
      </c>
      <c r="O1994" s="2" t="s">
        <v>4373</v>
      </c>
      <c r="P1994" s="2" t="s">
        <v>4378</v>
      </c>
    </row>
    <row r="1995" spans="1:16">
      <c r="A1995" s="4">
        <v>46249.885254629633</v>
      </c>
      <c r="B1995" s="2" t="s">
        <v>478</v>
      </c>
      <c r="C1995" s="2" t="s">
        <v>1594</v>
      </c>
      <c r="D1995" s="2" t="s">
        <v>4151</v>
      </c>
      <c r="E1995" s="2">
        <v>80</v>
      </c>
      <c r="F1995" s="2"/>
      <c r="G1995" s="2">
        <v>80</v>
      </c>
      <c r="H1995" s="2" t="s">
        <v>958</v>
      </c>
      <c r="I1995" s="2" t="s">
        <v>695</v>
      </c>
      <c r="J1995" s="2" t="s">
        <v>2537</v>
      </c>
      <c r="K1995" s="2" t="s">
        <v>1855</v>
      </c>
      <c r="L1995" s="2" t="s">
        <v>2399</v>
      </c>
      <c r="M1995" s="2" t="str">
        <f t="shared" si="34"/>
        <v>05</v>
      </c>
      <c r="N1995" s="2" t="s">
        <v>1546</v>
      </c>
      <c r="O1995" s="2" t="s">
        <v>4373</v>
      </c>
      <c r="P1995" s="2" t="s">
        <v>4378</v>
      </c>
    </row>
    <row r="1996" spans="1:16">
      <c r="A1996" s="4">
        <v>46249.883587962962</v>
      </c>
      <c r="B1996" s="2" t="s">
        <v>1028</v>
      </c>
      <c r="C1996" s="2" t="s">
        <v>1594</v>
      </c>
      <c r="D1996" s="2" t="s">
        <v>4151</v>
      </c>
      <c r="E1996" s="2">
        <v>80</v>
      </c>
      <c r="F1996" s="2"/>
      <c r="G1996" s="2">
        <v>80</v>
      </c>
      <c r="H1996" s="2" t="s">
        <v>958</v>
      </c>
      <c r="I1996" s="2" t="s">
        <v>695</v>
      </c>
      <c r="J1996" s="2" t="s">
        <v>2537</v>
      </c>
      <c r="K1996" s="2" t="s">
        <v>1855</v>
      </c>
      <c r="L1996" s="2" t="s">
        <v>2399</v>
      </c>
      <c r="M1996" s="2" t="str">
        <f t="shared" si="34"/>
        <v>05</v>
      </c>
      <c r="N1996" s="2" t="s">
        <v>1378</v>
      </c>
      <c r="O1996" s="2" t="s">
        <v>4373</v>
      </c>
      <c r="P1996" s="2" t="s">
        <v>4378</v>
      </c>
    </row>
    <row r="1997" spans="1:16">
      <c r="A1997" s="4">
        <v>46249.883553240739</v>
      </c>
      <c r="B1997" s="2" t="s">
        <v>2794</v>
      </c>
      <c r="C1997" s="2" t="s">
        <v>1594</v>
      </c>
      <c r="D1997" s="2" t="s">
        <v>4151</v>
      </c>
      <c r="E1997" s="2">
        <v>80</v>
      </c>
      <c r="F1997" s="2"/>
      <c r="G1997" s="2">
        <v>80</v>
      </c>
      <c r="H1997" s="2" t="s">
        <v>958</v>
      </c>
      <c r="I1997" s="2" t="s">
        <v>695</v>
      </c>
      <c r="J1997" s="2" t="s">
        <v>2537</v>
      </c>
      <c r="K1997" s="2" t="s">
        <v>1855</v>
      </c>
      <c r="L1997" s="2" t="s">
        <v>2399</v>
      </c>
      <c r="M1997" s="2" t="str">
        <f t="shared" si="34"/>
        <v>05</v>
      </c>
      <c r="N1997" s="2" t="s">
        <v>1998</v>
      </c>
      <c r="O1997" s="2" t="s">
        <v>4373</v>
      </c>
      <c r="P1997" s="2" t="s">
        <v>4378</v>
      </c>
    </row>
    <row r="1998" spans="1:16">
      <c r="A1998" s="4">
        <v>46249.883506944447</v>
      </c>
      <c r="B1998" s="2" t="s">
        <v>1523</v>
      </c>
      <c r="C1998" s="2" t="s">
        <v>1594</v>
      </c>
      <c r="D1998" s="2" t="s">
        <v>4151</v>
      </c>
      <c r="E1998" s="2">
        <v>80</v>
      </c>
      <c r="F1998" s="2"/>
      <c r="G1998" s="2">
        <v>80</v>
      </c>
      <c r="H1998" s="2" t="s">
        <v>958</v>
      </c>
      <c r="I1998" s="2" t="s">
        <v>695</v>
      </c>
      <c r="J1998" s="2" t="s">
        <v>2537</v>
      </c>
      <c r="K1998" s="2" t="s">
        <v>1855</v>
      </c>
      <c r="L1998" s="2" t="s">
        <v>2399</v>
      </c>
      <c r="M1998" s="2" t="str">
        <f t="shared" si="34"/>
        <v>05</v>
      </c>
      <c r="N1998" s="2" t="s">
        <v>4225</v>
      </c>
      <c r="O1998" s="2" t="s">
        <v>4373</v>
      </c>
      <c r="P1998" s="2" t="s">
        <v>4378</v>
      </c>
    </row>
    <row r="1999" spans="1:16">
      <c r="A1999" s="4">
        <v>46249.881909722222</v>
      </c>
      <c r="B1999" s="2" t="s">
        <v>2257</v>
      </c>
      <c r="C1999" s="2" t="s">
        <v>1594</v>
      </c>
      <c r="D1999" s="2" t="s">
        <v>4151</v>
      </c>
      <c r="E1999" s="2">
        <v>80</v>
      </c>
      <c r="F1999" s="2"/>
      <c r="G1999" s="2">
        <v>80</v>
      </c>
      <c r="H1999" s="2" t="s">
        <v>958</v>
      </c>
      <c r="I1999" s="2" t="s">
        <v>695</v>
      </c>
      <c r="J1999" s="2" t="s">
        <v>2537</v>
      </c>
      <c r="K1999" s="2" t="s">
        <v>1855</v>
      </c>
      <c r="L1999" s="2" t="s">
        <v>2399</v>
      </c>
      <c r="M1999" s="2" t="str">
        <f t="shared" si="34"/>
        <v>05</v>
      </c>
      <c r="N1999" s="2" t="s">
        <v>1147</v>
      </c>
      <c r="O1999" s="2" t="s">
        <v>4373</v>
      </c>
      <c r="P1999" s="2" t="s">
        <v>4378</v>
      </c>
    </row>
    <row r="2000" spans="1:16">
      <c r="A2000" s="4">
        <v>46249.881805555553</v>
      </c>
      <c r="B2000" s="2" t="s">
        <v>3728</v>
      </c>
      <c r="C2000" s="2" t="s">
        <v>1594</v>
      </c>
      <c r="D2000" s="2" t="s">
        <v>4151</v>
      </c>
      <c r="E2000" s="2">
        <v>80</v>
      </c>
      <c r="F2000" s="2"/>
      <c r="G2000" s="2">
        <v>80</v>
      </c>
      <c r="H2000" s="2" t="s">
        <v>958</v>
      </c>
      <c r="I2000" s="2" t="s">
        <v>695</v>
      </c>
      <c r="J2000" s="2" t="s">
        <v>2537</v>
      </c>
      <c r="K2000" s="2" t="s">
        <v>1855</v>
      </c>
      <c r="L2000" s="2" t="s">
        <v>2399</v>
      </c>
      <c r="M2000" s="2" t="str">
        <f t="shared" si="34"/>
        <v>05</v>
      </c>
      <c r="N2000" s="2" t="s">
        <v>24</v>
      </c>
      <c r="O2000" s="2" t="s">
        <v>4373</v>
      </c>
      <c r="P2000" s="2" t="s">
        <v>4378</v>
      </c>
    </row>
    <row r="2001" spans="1:16">
      <c r="A2001" s="4">
        <v>46249.881793981483</v>
      </c>
      <c r="B2001" s="2" t="s">
        <v>2428</v>
      </c>
      <c r="C2001" s="2" t="s">
        <v>1594</v>
      </c>
      <c r="D2001" s="2" t="s">
        <v>4151</v>
      </c>
      <c r="E2001" s="2">
        <v>80</v>
      </c>
      <c r="F2001" s="2"/>
      <c r="G2001" s="2">
        <v>80</v>
      </c>
      <c r="H2001" s="2" t="s">
        <v>958</v>
      </c>
      <c r="I2001" s="2" t="s">
        <v>695</v>
      </c>
      <c r="J2001" s="2" t="s">
        <v>2537</v>
      </c>
      <c r="K2001" s="2" t="s">
        <v>1855</v>
      </c>
      <c r="L2001" s="2" t="s">
        <v>2399</v>
      </c>
      <c r="M2001" s="2" t="str">
        <f t="shared" si="34"/>
        <v>05</v>
      </c>
      <c r="N2001" s="2" t="s">
        <v>1468</v>
      </c>
      <c r="O2001" s="2" t="s">
        <v>4373</v>
      </c>
      <c r="P2001" s="2" t="s">
        <v>4378</v>
      </c>
    </row>
    <row r="2002" spans="1:16">
      <c r="A2002" s="4">
        <v>46249.881793981483</v>
      </c>
      <c r="B2002" s="2" t="s">
        <v>2197</v>
      </c>
      <c r="C2002" s="2" t="s">
        <v>1594</v>
      </c>
      <c r="D2002" s="2" t="s">
        <v>4151</v>
      </c>
      <c r="E2002" s="2">
        <v>80</v>
      </c>
      <c r="F2002" s="2"/>
      <c r="G2002" s="2">
        <v>80</v>
      </c>
      <c r="H2002" s="2" t="s">
        <v>958</v>
      </c>
      <c r="I2002" s="2" t="s">
        <v>695</v>
      </c>
      <c r="J2002" s="2" t="s">
        <v>2537</v>
      </c>
      <c r="K2002" s="2" t="s">
        <v>1855</v>
      </c>
      <c r="L2002" s="2" t="s">
        <v>2399</v>
      </c>
      <c r="M2002" s="2" t="str">
        <f t="shared" si="34"/>
        <v>05</v>
      </c>
      <c r="N2002" s="2" t="s">
        <v>312</v>
      </c>
      <c r="O2002" s="2" t="s">
        <v>4373</v>
      </c>
      <c r="P2002" s="2" t="s">
        <v>4378</v>
      </c>
    </row>
    <row r="2003" spans="1:16">
      <c r="A2003" s="4">
        <v>46249.881319444445</v>
      </c>
      <c r="B2003" s="2" t="s">
        <v>4134</v>
      </c>
      <c r="C2003" s="2" t="s">
        <v>1594</v>
      </c>
      <c r="D2003" s="2" t="s">
        <v>4151</v>
      </c>
      <c r="E2003" s="2">
        <v>80</v>
      </c>
      <c r="F2003" s="2"/>
      <c r="G2003" s="2">
        <v>80</v>
      </c>
      <c r="H2003" s="2" t="s">
        <v>958</v>
      </c>
      <c r="I2003" s="2" t="s">
        <v>695</v>
      </c>
      <c r="J2003" s="2" t="s">
        <v>2537</v>
      </c>
      <c r="K2003" s="2" t="s">
        <v>1855</v>
      </c>
      <c r="L2003" s="2" t="s">
        <v>2399</v>
      </c>
      <c r="M2003" s="2" t="str">
        <f t="shared" si="34"/>
        <v>05</v>
      </c>
      <c r="N2003" s="2" t="s">
        <v>4187</v>
      </c>
      <c r="O2003" s="2" t="s">
        <v>4373</v>
      </c>
      <c r="P2003" s="2" t="s">
        <v>4378</v>
      </c>
    </row>
    <row r="2004" spans="1:16">
      <c r="A2004" s="4">
        <v>46249.881273148145</v>
      </c>
      <c r="B2004" s="2" t="s">
        <v>1229</v>
      </c>
      <c r="C2004" s="2" t="s">
        <v>1594</v>
      </c>
      <c r="D2004" s="2" t="s">
        <v>4151</v>
      </c>
      <c r="E2004" s="2">
        <v>80</v>
      </c>
      <c r="F2004" s="2"/>
      <c r="G2004" s="2">
        <v>80</v>
      </c>
      <c r="H2004" s="2" t="s">
        <v>958</v>
      </c>
      <c r="I2004" s="2" t="s">
        <v>695</v>
      </c>
      <c r="J2004" s="2" t="s">
        <v>2537</v>
      </c>
      <c r="K2004" s="2" t="s">
        <v>1855</v>
      </c>
      <c r="L2004" s="2" t="s">
        <v>2399</v>
      </c>
      <c r="M2004" s="2" t="str">
        <f t="shared" si="34"/>
        <v>05</v>
      </c>
      <c r="N2004" s="2" t="s">
        <v>2368</v>
      </c>
      <c r="O2004" s="2" t="s">
        <v>4373</v>
      </c>
      <c r="P2004" s="2" t="s">
        <v>4378</v>
      </c>
    </row>
    <row r="2005" spans="1:16">
      <c r="A2005" s="4">
        <v>46249.880960648145</v>
      </c>
      <c r="B2005" s="2" t="s">
        <v>2206</v>
      </c>
      <c r="C2005" s="2" t="s">
        <v>1594</v>
      </c>
      <c r="D2005" s="2" t="s">
        <v>4151</v>
      </c>
      <c r="E2005" s="2">
        <v>80</v>
      </c>
      <c r="F2005" s="2"/>
      <c r="G2005" s="2">
        <v>80</v>
      </c>
      <c r="H2005" s="2" t="s">
        <v>958</v>
      </c>
      <c r="I2005" s="2" t="s">
        <v>695</v>
      </c>
      <c r="J2005" s="2" t="s">
        <v>2537</v>
      </c>
      <c r="K2005" s="2" t="s">
        <v>1855</v>
      </c>
      <c r="L2005" s="2" t="s">
        <v>2399</v>
      </c>
      <c r="M2005" s="2" t="str">
        <f t="shared" si="34"/>
        <v>05</v>
      </c>
      <c r="N2005" s="2" t="s">
        <v>1696</v>
      </c>
      <c r="O2005" s="2" t="s">
        <v>4373</v>
      </c>
      <c r="P2005" s="2" t="s">
        <v>4378</v>
      </c>
    </row>
    <row r="2006" spans="1:16">
      <c r="A2006" s="4">
        <v>46249.880462962959</v>
      </c>
      <c r="B2006" s="2" t="s">
        <v>4232</v>
      </c>
      <c r="C2006" s="2" t="s">
        <v>1594</v>
      </c>
      <c r="D2006" s="2" t="s">
        <v>4151</v>
      </c>
      <c r="E2006" s="2">
        <v>80</v>
      </c>
      <c r="F2006" s="2"/>
      <c r="G2006" s="2">
        <v>80</v>
      </c>
      <c r="H2006" s="2" t="s">
        <v>958</v>
      </c>
      <c r="I2006" s="2" t="s">
        <v>695</v>
      </c>
      <c r="J2006" s="2" t="s">
        <v>2537</v>
      </c>
      <c r="K2006" s="2" t="s">
        <v>1855</v>
      </c>
      <c r="L2006" s="2" t="s">
        <v>2399</v>
      </c>
      <c r="M2006" s="2" t="str">
        <f t="shared" si="34"/>
        <v>05</v>
      </c>
      <c r="N2006" s="2" t="s">
        <v>4030</v>
      </c>
      <c r="O2006" s="2" t="s">
        <v>4373</v>
      </c>
      <c r="P2006" s="2" t="s">
        <v>4378</v>
      </c>
    </row>
    <row r="2007" spans="1:16">
      <c r="A2007" s="4">
        <v>46249.88040509259</v>
      </c>
      <c r="B2007" s="2" t="s">
        <v>2707</v>
      </c>
      <c r="C2007" s="2" t="s">
        <v>1594</v>
      </c>
      <c r="D2007" s="2" t="s">
        <v>4151</v>
      </c>
      <c r="E2007" s="2">
        <v>80</v>
      </c>
      <c r="F2007" s="2"/>
      <c r="G2007" s="2">
        <v>80</v>
      </c>
      <c r="H2007" s="2" t="s">
        <v>958</v>
      </c>
      <c r="I2007" s="2" t="s">
        <v>695</v>
      </c>
      <c r="J2007" s="2" t="s">
        <v>2537</v>
      </c>
      <c r="K2007" s="2" t="s">
        <v>1855</v>
      </c>
      <c r="L2007" s="2" t="s">
        <v>2399</v>
      </c>
      <c r="M2007" s="2" t="str">
        <f t="shared" si="34"/>
        <v>05</v>
      </c>
      <c r="N2007" s="2" t="s">
        <v>1679</v>
      </c>
      <c r="O2007" s="2" t="s">
        <v>4373</v>
      </c>
      <c r="P2007" s="2" t="s">
        <v>4378</v>
      </c>
    </row>
    <row r="2008" spans="1:16">
      <c r="A2008" s="4">
        <v>46249.880358796298</v>
      </c>
      <c r="B2008" s="2" t="s">
        <v>2298</v>
      </c>
      <c r="C2008" s="2" t="s">
        <v>1594</v>
      </c>
      <c r="D2008" s="2" t="s">
        <v>4151</v>
      </c>
      <c r="E2008" s="2">
        <v>80</v>
      </c>
      <c r="F2008" s="2"/>
      <c r="G2008" s="2">
        <v>80</v>
      </c>
      <c r="H2008" s="2" t="s">
        <v>958</v>
      </c>
      <c r="I2008" s="2" t="s">
        <v>695</v>
      </c>
      <c r="J2008" s="2" t="s">
        <v>2537</v>
      </c>
      <c r="K2008" s="2" t="s">
        <v>1855</v>
      </c>
      <c r="L2008" s="2" t="s">
        <v>2399</v>
      </c>
      <c r="M2008" s="2" t="str">
        <f t="shared" si="34"/>
        <v>05</v>
      </c>
      <c r="N2008" s="2" t="s">
        <v>346</v>
      </c>
      <c r="O2008" s="2" t="s">
        <v>4373</v>
      </c>
      <c r="P2008" s="2" t="s">
        <v>4378</v>
      </c>
    </row>
    <row r="2009" spans="1:16">
      <c r="A2009" s="4">
        <v>46249.879502314812</v>
      </c>
      <c r="B2009" s="2" t="s">
        <v>3283</v>
      </c>
      <c r="C2009" s="2" t="s">
        <v>1594</v>
      </c>
      <c r="D2009" s="2" t="s">
        <v>4151</v>
      </c>
      <c r="E2009" s="2">
        <v>80</v>
      </c>
      <c r="F2009" s="2"/>
      <c r="G2009" s="2">
        <v>80</v>
      </c>
      <c r="H2009" s="2" t="s">
        <v>958</v>
      </c>
      <c r="I2009" s="2" t="s">
        <v>695</v>
      </c>
      <c r="J2009" s="2" t="s">
        <v>2537</v>
      </c>
      <c r="K2009" s="2" t="s">
        <v>1855</v>
      </c>
      <c r="L2009" s="2" t="s">
        <v>2399</v>
      </c>
      <c r="M2009" s="2" t="str">
        <f t="shared" si="34"/>
        <v>05</v>
      </c>
      <c r="N2009" s="2" t="s">
        <v>2584</v>
      </c>
      <c r="O2009" s="2" t="s">
        <v>4373</v>
      </c>
      <c r="P2009" s="2" t="s">
        <v>4378</v>
      </c>
    </row>
    <row r="2010" spans="1:16">
      <c r="A2010" s="4">
        <v>46249.879479166666</v>
      </c>
      <c r="B2010" s="2" t="s">
        <v>1895</v>
      </c>
      <c r="C2010" s="2" t="s">
        <v>1594</v>
      </c>
      <c r="D2010" s="2" t="s">
        <v>4151</v>
      </c>
      <c r="E2010" s="2">
        <v>80</v>
      </c>
      <c r="F2010" s="2"/>
      <c r="G2010" s="2">
        <v>80</v>
      </c>
      <c r="H2010" s="2" t="s">
        <v>958</v>
      </c>
      <c r="I2010" s="2" t="s">
        <v>695</v>
      </c>
      <c r="J2010" s="2" t="s">
        <v>2537</v>
      </c>
      <c r="K2010" s="2" t="s">
        <v>1855</v>
      </c>
      <c r="L2010" s="2" t="s">
        <v>2399</v>
      </c>
      <c r="M2010" s="2" t="str">
        <f t="shared" si="34"/>
        <v>05</v>
      </c>
      <c r="N2010" s="2" t="s">
        <v>4292</v>
      </c>
      <c r="O2010" s="2" t="s">
        <v>4373</v>
      </c>
      <c r="P2010" s="2" t="s">
        <v>4378</v>
      </c>
    </row>
    <row r="2011" spans="1:16">
      <c r="A2011" s="4">
        <v>46249.879444444443</v>
      </c>
      <c r="B2011" s="2" t="s">
        <v>328</v>
      </c>
      <c r="C2011" s="2" t="s">
        <v>1594</v>
      </c>
      <c r="D2011" s="2" t="s">
        <v>4151</v>
      </c>
      <c r="E2011" s="2">
        <v>80</v>
      </c>
      <c r="F2011" s="2"/>
      <c r="G2011" s="2">
        <v>80</v>
      </c>
      <c r="H2011" s="2" t="s">
        <v>958</v>
      </c>
      <c r="I2011" s="2" t="s">
        <v>695</v>
      </c>
      <c r="J2011" s="2" t="s">
        <v>2537</v>
      </c>
      <c r="K2011" s="2" t="s">
        <v>1855</v>
      </c>
      <c r="L2011" s="2" t="s">
        <v>2399</v>
      </c>
      <c r="M2011" s="2" t="str">
        <f t="shared" si="34"/>
        <v>05</v>
      </c>
      <c r="N2011" s="2" t="s">
        <v>3437</v>
      </c>
      <c r="O2011" s="2" t="s">
        <v>4373</v>
      </c>
      <c r="P2011" s="2" t="s">
        <v>4378</v>
      </c>
    </row>
    <row r="2012" spans="1:16">
      <c r="A2012" s="4">
        <v>46249.87939814815</v>
      </c>
      <c r="B2012" s="2" t="s">
        <v>1982</v>
      </c>
      <c r="C2012" s="2" t="s">
        <v>1594</v>
      </c>
      <c r="D2012" s="2" t="s">
        <v>4151</v>
      </c>
      <c r="E2012" s="2">
        <v>80</v>
      </c>
      <c r="F2012" s="2"/>
      <c r="G2012" s="2">
        <v>80</v>
      </c>
      <c r="H2012" s="2" t="s">
        <v>958</v>
      </c>
      <c r="I2012" s="2" t="s">
        <v>695</v>
      </c>
      <c r="J2012" s="2" t="s">
        <v>2537</v>
      </c>
      <c r="K2012" s="2" t="s">
        <v>1855</v>
      </c>
      <c r="L2012" s="2" t="s">
        <v>2399</v>
      </c>
      <c r="M2012" s="2" t="str">
        <f t="shared" si="34"/>
        <v>05</v>
      </c>
      <c r="N2012" s="2" t="s">
        <v>2890</v>
      </c>
      <c r="O2012" s="2" t="s">
        <v>4373</v>
      </c>
      <c r="P2012" s="2" t="s">
        <v>4378</v>
      </c>
    </row>
    <row r="2013" spans="1:16">
      <c r="A2013" s="4">
        <v>46248.638101851851</v>
      </c>
      <c r="B2013" s="2" t="s">
        <v>3489</v>
      </c>
      <c r="C2013" s="2" t="s">
        <v>1594</v>
      </c>
      <c r="D2013" s="2" t="s">
        <v>4151</v>
      </c>
      <c r="E2013" s="2">
        <v>80</v>
      </c>
      <c r="F2013" s="2"/>
      <c r="G2013" s="2">
        <v>80</v>
      </c>
      <c r="H2013" s="2" t="s">
        <v>2060</v>
      </c>
      <c r="I2013" s="2" t="s">
        <v>695</v>
      </c>
      <c r="J2013" s="2" t="s">
        <v>2537</v>
      </c>
      <c r="K2013" s="2" t="s">
        <v>1855</v>
      </c>
      <c r="L2013" s="2" t="s">
        <v>2399</v>
      </c>
      <c r="M2013" s="2" t="str">
        <f t="shared" si="34"/>
        <v>05</v>
      </c>
      <c r="N2013" s="2" t="s">
        <v>327</v>
      </c>
      <c r="O2013" s="2" t="s">
        <v>4373</v>
      </c>
      <c r="P2013" s="2" t="s">
        <v>4379</v>
      </c>
    </row>
    <row r="2014" spans="1:16">
      <c r="A2014" s="4">
        <v>46248.601712962962</v>
      </c>
      <c r="B2014" s="2" t="s">
        <v>2331</v>
      </c>
      <c r="C2014" s="2" t="s">
        <v>1594</v>
      </c>
      <c r="D2014" s="2" t="s">
        <v>4151</v>
      </c>
      <c r="E2014" s="2">
        <v>80</v>
      </c>
      <c r="F2014" s="2"/>
      <c r="G2014" s="2">
        <v>80</v>
      </c>
      <c r="H2014" s="2" t="s">
        <v>2060</v>
      </c>
      <c r="I2014" s="2" t="s">
        <v>695</v>
      </c>
      <c r="J2014" s="2" t="s">
        <v>2537</v>
      </c>
      <c r="K2014" s="2" t="s">
        <v>1855</v>
      </c>
      <c r="L2014" s="2" t="s">
        <v>2399</v>
      </c>
      <c r="M2014" s="2" t="str">
        <f t="shared" si="34"/>
        <v>05</v>
      </c>
      <c r="N2014" s="2" t="s">
        <v>3849</v>
      </c>
      <c r="O2014" s="2" t="s">
        <v>4373</v>
      </c>
      <c r="P2014" s="2" t="s">
        <v>4379</v>
      </c>
    </row>
    <row r="2015" spans="1:16">
      <c r="A2015" s="4">
        <v>46248.601145833331</v>
      </c>
      <c r="B2015" s="2" t="s">
        <v>3777</v>
      </c>
      <c r="C2015" s="2" t="s">
        <v>1594</v>
      </c>
      <c r="D2015" s="2" t="s">
        <v>4151</v>
      </c>
      <c r="E2015" s="2">
        <v>80</v>
      </c>
      <c r="F2015" s="2"/>
      <c r="G2015" s="2">
        <v>80</v>
      </c>
      <c r="H2015" s="2" t="s">
        <v>2060</v>
      </c>
      <c r="I2015" s="2" t="s">
        <v>695</v>
      </c>
      <c r="J2015" s="2" t="s">
        <v>2537</v>
      </c>
      <c r="K2015" s="2" t="s">
        <v>1855</v>
      </c>
      <c r="L2015" s="2" t="s">
        <v>2399</v>
      </c>
      <c r="M2015" s="2" t="str">
        <f t="shared" si="34"/>
        <v>05</v>
      </c>
      <c r="N2015" s="2" t="s">
        <v>729</v>
      </c>
      <c r="O2015" s="2" t="s">
        <v>4373</v>
      </c>
      <c r="P2015" s="2" t="s">
        <v>4379</v>
      </c>
    </row>
    <row r="2016" spans="1:16">
      <c r="A2016" s="4">
        <v>46248.600081018521</v>
      </c>
      <c r="B2016" s="2" t="s">
        <v>1403</v>
      </c>
      <c r="C2016" s="2" t="s">
        <v>1594</v>
      </c>
      <c r="D2016" s="2" t="s">
        <v>4151</v>
      </c>
      <c r="E2016" s="2">
        <v>80</v>
      </c>
      <c r="F2016" s="2"/>
      <c r="G2016" s="2">
        <v>80</v>
      </c>
      <c r="H2016" s="2" t="s">
        <v>2060</v>
      </c>
      <c r="I2016" s="2" t="s">
        <v>695</v>
      </c>
      <c r="J2016" s="2" t="s">
        <v>2537</v>
      </c>
      <c r="K2016" s="2" t="s">
        <v>1855</v>
      </c>
      <c r="L2016" s="2" t="s">
        <v>2399</v>
      </c>
      <c r="M2016" s="2" t="str">
        <f t="shared" si="34"/>
        <v>05</v>
      </c>
      <c r="N2016" s="2" t="s">
        <v>3638</v>
      </c>
      <c r="O2016" s="2" t="s">
        <v>4373</v>
      </c>
      <c r="P2016" s="2" t="s">
        <v>4379</v>
      </c>
    </row>
    <row r="2017" spans="1:16">
      <c r="A2017" s="4">
        <v>46248.600023148145</v>
      </c>
      <c r="B2017" s="2" t="s">
        <v>2548</v>
      </c>
      <c r="C2017" s="2" t="s">
        <v>1594</v>
      </c>
      <c r="D2017" s="2" t="s">
        <v>4151</v>
      </c>
      <c r="E2017" s="2">
        <v>80</v>
      </c>
      <c r="F2017" s="2"/>
      <c r="G2017" s="2">
        <v>80</v>
      </c>
      <c r="H2017" s="2" t="s">
        <v>2060</v>
      </c>
      <c r="I2017" s="2" t="s">
        <v>695</v>
      </c>
      <c r="J2017" s="2" t="s">
        <v>2537</v>
      </c>
      <c r="K2017" s="2" t="s">
        <v>1855</v>
      </c>
      <c r="L2017" s="2" t="s">
        <v>2399</v>
      </c>
      <c r="M2017" s="2" t="str">
        <f t="shared" si="34"/>
        <v>05</v>
      </c>
      <c r="N2017" s="2" t="s">
        <v>1470</v>
      </c>
      <c r="O2017" s="2" t="s">
        <v>4373</v>
      </c>
      <c r="P2017" s="2" t="s">
        <v>4379</v>
      </c>
    </row>
    <row r="2018" spans="1:16">
      <c r="A2018" s="4">
        <v>46248.599398148152</v>
      </c>
      <c r="B2018" s="2" t="s">
        <v>3828</v>
      </c>
      <c r="C2018" s="2" t="s">
        <v>1594</v>
      </c>
      <c r="D2018" s="2" t="s">
        <v>4151</v>
      </c>
      <c r="E2018" s="2">
        <v>80</v>
      </c>
      <c r="F2018" s="2"/>
      <c r="G2018" s="2">
        <v>80</v>
      </c>
      <c r="H2018" s="2" t="s">
        <v>2060</v>
      </c>
      <c r="I2018" s="2" t="s">
        <v>695</v>
      </c>
      <c r="J2018" s="2" t="s">
        <v>2537</v>
      </c>
      <c r="K2018" s="2" t="s">
        <v>1855</v>
      </c>
      <c r="L2018" s="2" t="s">
        <v>2399</v>
      </c>
      <c r="M2018" s="2" t="str">
        <f t="shared" si="34"/>
        <v>05</v>
      </c>
      <c r="N2018" s="2" t="s">
        <v>2813</v>
      </c>
      <c r="O2018" s="2" t="s">
        <v>4373</v>
      </c>
      <c r="P2018" s="2" t="s">
        <v>4379</v>
      </c>
    </row>
    <row r="2019" spans="1:16">
      <c r="A2019" s="4">
        <v>46248.599351851852</v>
      </c>
      <c r="B2019" s="2" t="s">
        <v>1118</v>
      </c>
      <c r="C2019" s="2" t="s">
        <v>1594</v>
      </c>
      <c r="D2019" s="2" t="s">
        <v>4151</v>
      </c>
      <c r="E2019" s="2">
        <v>80</v>
      </c>
      <c r="F2019" s="2"/>
      <c r="G2019" s="2">
        <v>80</v>
      </c>
      <c r="H2019" s="2" t="s">
        <v>2060</v>
      </c>
      <c r="I2019" s="2" t="s">
        <v>695</v>
      </c>
      <c r="J2019" s="2" t="s">
        <v>2537</v>
      </c>
      <c r="K2019" s="2" t="s">
        <v>1855</v>
      </c>
      <c r="L2019" s="2" t="s">
        <v>2399</v>
      </c>
      <c r="M2019" s="2" t="str">
        <f t="shared" si="34"/>
        <v>05</v>
      </c>
      <c r="N2019" s="2" t="s">
        <v>3029</v>
      </c>
      <c r="O2019" s="2" t="s">
        <v>4373</v>
      </c>
      <c r="P2019" s="2" t="s">
        <v>4379</v>
      </c>
    </row>
    <row r="2020" spans="1:16">
      <c r="A2020" s="4">
        <v>46248.598969907405</v>
      </c>
      <c r="B2020" s="2" t="s">
        <v>1665</v>
      </c>
      <c r="C2020" s="2" t="s">
        <v>1594</v>
      </c>
      <c r="D2020" s="2" t="s">
        <v>4151</v>
      </c>
      <c r="E2020" s="2">
        <v>80</v>
      </c>
      <c r="F2020" s="2"/>
      <c r="G2020" s="2">
        <v>80</v>
      </c>
      <c r="H2020" s="2" t="s">
        <v>2060</v>
      </c>
      <c r="I2020" s="2" t="s">
        <v>695</v>
      </c>
      <c r="J2020" s="2" t="s">
        <v>2537</v>
      </c>
      <c r="K2020" s="2" t="s">
        <v>1855</v>
      </c>
      <c r="L2020" s="2" t="s">
        <v>2399</v>
      </c>
      <c r="M2020" s="2" t="str">
        <f t="shared" si="34"/>
        <v>05</v>
      </c>
      <c r="N2020" s="2" t="s">
        <v>2666</v>
      </c>
      <c r="O2020" s="2" t="s">
        <v>4373</v>
      </c>
      <c r="P2020" s="2" t="s">
        <v>4379</v>
      </c>
    </row>
    <row r="2021" spans="1:16">
      <c r="A2021" s="4">
        <v>46248.597951388889</v>
      </c>
      <c r="B2021" s="2" t="s">
        <v>3567</v>
      </c>
      <c r="C2021" s="2" t="s">
        <v>1594</v>
      </c>
      <c r="D2021" s="2" t="s">
        <v>4151</v>
      </c>
      <c r="E2021" s="2">
        <v>80</v>
      </c>
      <c r="F2021" s="2"/>
      <c r="G2021" s="2">
        <v>80</v>
      </c>
      <c r="H2021" s="2" t="s">
        <v>2060</v>
      </c>
      <c r="I2021" s="2" t="s">
        <v>695</v>
      </c>
      <c r="J2021" s="2" t="s">
        <v>2537</v>
      </c>
      <c r="K2021" s="2" t="s">
        <v>1855</v>
      </c>
      <c r="L2021" s="2" t="s">
        <v>2399</v>
      </c>
      <c r="M2021" s="2" t="str">
        <f t="shared" si="34"/>
        <v>05</v>
      </c>
      <c r="N2021" s="2" t="s">
        <v>232</v>
      </c>
      <c r="O2021" s="2" t="s">
        <v>4373</v>
      </c>
      <c r="P2021" s="2" t="s">
        <v>4379</v>
      </c>
    </row>
    <row r="2022" spans="1:16">
      <c r="A2022" s="4">
        <v>46248.597800925927</v>
      </c>
      <c r="B2022" s="2" t="s">
        <v>201</v>
      </c>
      <c r="C2022" s="2" t="s">
        <v>1594</v>
      </c>
      <c r="D2022" s="2" t="s">
        <v>4151</v>
      </c>
      <c r="E2022" s="2">
        <v>80</v>
      </c>
      <c r="F2022" s="2"/>
      <c r="G2022" s="2">
        <v>80</v>
      </c>
      <c r="H2022" s="2" t="s">
        <v>2060</v>
      </c>
      <c r="I2022" s="2" t="s">
        <v>695</v>
      </c>
      <c r="J2022" s="2" t="s">
        <v>2537</v>
      </c>
      <c r="K2022" s="2" t="s">
        <v>1855</v>
      </c>
      <c r="L2022" s="2" t="s">
        <v>2399</v>
      </c>
      <c r="M2022" s="2" t="str">
        <f t="shared" si="34"/>
        <v>05</v>
      </c>
      <c r="N2022" s="2" t="s">
        <v>6</v>
      </c>
      <c r="O2022" s="2" t="s">
        <v>4373</v>
      </c>
      <c r="P2022" s="2" t="s">
        <v>4379</v>
      </c>
    </row>
    <row r="2023" spans="1:16">
      <c r="A2023" s="4">
        <v>46248.597500000003</v>
      </c>
      <c r="B2023" s="2" t="s">
        <v>2229</v>
      </c>
      <c r="C2023" s="2" t="s">
        <v>1594</v>
      </c>
      <c r="D2023" s="2" t="s">
        <v>4151</v>
      </c>
      <c r="E2023" s="2">
        <v>80</v>
      </c>
      <c r="F2023" s="2"/>
      <c r="G2023" s="2">
        <v>80</v>
      </c>
      <c r="H2023" s="2" t="s">
        <v>2060</v>
      </c>
      <c r="I2023" s="2" t="s">
        <v>695</v>
      </c>
      <c r="J2023" s="2" t="s">
        <v>2537</v>
      </c>
      <c r="K2023" s="2" t="s">
        <v>1855</v>
      </c>
      <c r="L2023" s="2" t="s">
        <v>2399</v>
      </c>
      <c r="M2023" s="2" t="str">
        <f t="shared" si="34"/>
        <v>05</v>
      </c>
      <c r="N2023" s="2" t="s">
        <v>2160</v>
      </c>
      <c r="O2023" s="2" t="s">
        <v>4373</v>
      </c>
      <c r="P2023" s="2" t="s">
        <v>4379</v>
      </c>
    </row>
    <row r="2024" spans="1:16">
      <c r="A2024" s="4">
        <v>46248.596805555557</v>
      </c>
      <c r="B2024" s="2" t="s">
        <v>2962</v>
      </c>
      <c r="C2024" s="2" t="s">
        <v>1594</v>
      </c>
      <c r="D2024" s="2" t="s">
        <v>4151</v>
      </c>
      <c r="E2024" s="2">
        <v>80</v>
      </c>
      <c r="F2024" s="2"/>
      <c r="G2024" s="2">
        <v>80</v>
      </c>
      <c r="H2024" s="2" t="s">
        <v>2060</v>
      </c>
      <c r="I2024" s="2" t="s">
        <v>695</v>
      </c>
      <c r="J2024" s="2" t="s">
        <v>2537</v>
      </c>
      <c r="K2024" s="2" t="s">
        <v>1855</v>
      </c>
      <c r="L2024" s="2" t="s">
        <v>2399</v>
      </c>
      <c r="M2024" s="2" t="str">
        <f t="shared" si="34"/>
        <v>05</v>
      </c>
      <c r="N2024" s="2" t="s">
        <v>2292</v>
      </c>
      <c r="O2024" s="2" t="s">
        <v>4373</v>
      </c>
      <c r="P2024" s="2" t="s">
        <v>4379</v>
      </c>
    </row>
    <row r="2025" spans="1:16">
      <c r="A2025" s="4">
        <v>46248.596631944441</v>
      </c>
      <c r="B2025" s="2" t="s">
        <v>4326</v>
      </c>
      <c r="C2025" s="2" t="s">
        <v>1594</v>
      </c>
      <c r="D2025" s="2" t="s">
        <v>4151</v>
      </c>
      <c r="E2025" s="2">
        <v>80</v>
      </c>
      <c r="F2025" s="2"/>
      <c r="G2025" s="2">
        <v>80</v>
      </c>
      <c r="H2025" s="2" t="s">
        <v>2060</v>
      </c>
      <c r="I2025" s="2" t="s">
        <v>695</v>
      </c>
      <c r="J2025" s="2" t="s">
        <v>2537</v>
      </c>
      <c r="K2025" s="2" t="s">
        <v>1855</v>
      </c>
      <c r="L2025" s="2" t="s">
        <v>2399</v>
      </c>
      <c r="M2025" s="2" t="str">
        <f t="shared" si="34"/>
        <v>05</v>
      </c>
      <c r="N2025" s="2" t="s">
        <v>2768</v>
      </c>
      <c r="O2025" s="2" t="s">
        <v>4373</v>
      </c>
      <c r="P2025" s="2" t="s">
        <v>4379</v>
      </c>
    </row>
    <row r="2026" spans="1:16">
      <c r="A2026" s="4">
        <v>46248.596354166664</v>
      </c>
      <c r="B2026" s="2" t="s">
        <v>324</v>
      </c>
      <c r="C2026" s="2" t="s">
        <v>1594</v>
      </c>
      <c r="D2026" s="2" t="s">
        <v>4151</v>
      </c>
      <c r="E2026" s="2">
        <v>80</v>
      </c>
      <c r="F2026" s="2"/>
      <c r="G2026" s="2">
        <v>80</v>
      </c>
      <c r="H2026" s="2" t="s">
        <v>2060</v>
      </c>
      <c r="I2026" s="2" t="s">
        <v>695</v>
      </c>
      <c r="J2026" s="2" t="s">
        <v>2537</v>
      </c>
      <c r="K2026" s="2" t="s">
        <v>1855</v>
      </c>
      <c r="L2026" s="2" t="s">
        <v>2399</v>
      </c>
      <c r="M2026" s="2" t="str">
        <f t="shared" si="34"/>
        <v>05</v>
      </c>
      <c r="N2026" s="2" t="s">
        <v>724</v>
      </c>
      <c r="O2026" s="2" t="s">
        <v>4373</v>
      </c>
      <c r="P2026" s="2" t="s">
        <v>4379</v>
      </c>
    </row>
    <row r="2027" spans="1:16">
      <c r="A2027" s="4">
        <v>46248.596168981479</v>
      </c>
      <c r="B2027" s="2" t="s">
        <v>3954</v>
      </c>
      <c r="C2027" s="2" t="s">
        <v>1594</v>
      </c>
      <c r="D2027" s="2" t="s">
        <v>4151</v>
      </c>
      <c r="E2027" s="2">
        <v>80</v>
      </c>
      <c r="F2027" s="2"/>
      <c r="G2027" s="2">
        <v>80</v>
      </c>
      <c r="H2027" s="2" t="s">
        <v>2060</v>
      </c>
      <c r="I2027" s="2" t="s">
        <v>695</v>
      </c>
      <c r="J2027" s="2" t="s">
        <v>2537</v>
      </c>
      <c r="K2027" s="2" t="s">
        <v>1855</v>
      </c>
      <c r="L2027" s="2" t="s">
        <v>2399</v>
      </c>
      <c r="M2027" s="2" t="str">
        <f t="shared" si="34"/>
        <v>05</v>
      </c>
      <c r="N2027" s="2" t="s">
        <v>1070</v>
      </c>
      <c r="O2027" s="2" t="s">
        <v>4373</v>
      </c>
      <c r="P2027" s="2" t="s">
        <v>4379</v>
      </c>
    </row>
    <row r="2028" spans="1:16">
      <c r="A2028" s="4">
        <v>46248.595659722225</v>
      </c>
      <c r="B2028" s="2" t="s">
        <v>1778</v>
      </c>
      <c r="C2028" s="2" t="s">
        <v>1594</v>
      </c>
      <c r="D2028" s="2" t="s">
        <v>4151</v>
      </c>
      <c r="E2028" s="2">
        <v>80</v>
      </c>
      <c r="F2028" s="2"/>
      <c r="G2028" s="2">
        <v>80</v>
      </c>
      <c r="H2028" s="2" t="s">
        <v>2060</v>
      </c>
      <c r="I2028" s="2" t="s">
        <v>695</v>
      </c>
      <c r="J2028" s="2" t="s">
        <v>2537</v>
      </c>
      <c r="K2028" s="2" t="s">
        <v>1855</v>
      </c>
      <c r="L2028" s="2" t="s">
        <v>2399</v>
      </c>
      <c r="M2028" s="2" t="str">
        <f t="shared" si="34"/>
        <v>05</v>
      </c>
      <c r="N2028" s="2" t="s">
        <v>26</v>
      </c>
      <c r="O2028" s="2" t="s">
        <v>4373</v>
      </c>
      <c r="P2028" s="2" t="s">
        <v>4379</v>
      </c>
    </row>
    <row r="2029" spans="1:16">
      <c r="A2029" s="4">
        <v>46248.595625000002</v>
      </c>
      <c r="B2029" s="2" t="s">
        <v>1878</v>
      </c>
      <c r="C2029" s="2" t="s">
        <v>1594</v>
      </c>
      <c r="D2029" s="2" t="s">
        <v>4151</v>
      </c>
      <c r="E2029" s="2">
        <v>80</v>
      </c>
      <c r="F2029" s="2"/>
      <c r="G2029" s="2">
        <v>80</v>
      </c>
      <c r="H2029" s="2" t="s">
        <v>2060</v>
      </c>
      <c r="I2029" s="2" t="s">
        <v>695</v>
      </c>
      <c r="J2029" s="2" t="s">
        <v>2537</v>
      </c>
      <c r="K2029" s="2" t="s">
        <v>1855</v>
      </c>
      <c r="L2029" s="2" t="s">
        <v>2399</v>
      </c>
      <c r="M2029" s="2" t="str">
        <f t="shared" si="34"/>
        <v>05</v>
      </c>
      <c r="N2029" s="2" t="s">
        <v>2190</v>
      </c>
      <c r="O2029" s="2" t="s">
        <v>4373</v>
      </c>
      <c r="P2029" s="2" t="s">
        <v>4379</v>
      </c>
    </row>
    <row r="2030" spans="1:16">
      <c r="A2030" s="4">
        <v>46248.595208333332</v>
      </c>
      <c r="B2030" s="2" t="s">
        <v>3091</v>
      </c>
      <c r="C2030" s="2" t="s">
        <v>1594</v>
      </c>
      <c r="D2030" s="2" t="s">
        <v>4151</v>
      </c>
      <c r="E2030" s="2">
        <v>80</v>
      </c>
      <c r="F2030" s="2"/>
      <c r="G2030" s="2">
        <v>80</v>
      </c>
      <c r="H2030" s="2" t="s">
        <v>2060</v>
      </c>
      <c r="I2030" s="2" t="s">
        <v>695</v>
      </c>
      <c r="J2030" s="2" t="s">
        <v>2537</v>
      </c>
      <c r="K2030" s="2" t="s">
        <v>1855</v>
      </c>
      <c r="L2030" s="2" t="s">
        <v>2399</v>
      </c>
      <c r="M2030" s="2" t="str">
        <f t="shared" si="34"/>
        <v>05</v>
      </c>
      <c r="N2030" s="2" t="s">
        <v>2119</v>
      </c>
      <c r="O2030" s="2" t="s">
        <v>4373</v>
      </c>
      <c r="P2030" s="2" t="s">
        <v>4379</v>
      </c>
    </row>
    <row r="2031" spans="1:16">
      <c r="A2031" s="4">
        <v>46248.594942129632</v>
      </c>
      <c r="B2031" s="2" t="s">
        <v>3632</v>
      </c>
      <c r="C2031" s="2" t="s">
        <v>1594</v>
      </c>
      <c r="D2031" s="2" t="s">
        <v>4151</v>
      </c>
      <c r="E2031" s="2">
        <v>80</v>
      </c>
      <c r="F2031" s="2"/>
      <c r="G2031" s="2">
        <v>80</v>
      </c>
      <c r="H2031" s="2" t="s">
        <v>2060</v>
      </c>
      <c r="I2031" s="2" t="s">
        <v>695</v>
      </c>
      <c r="J2031" s="2" t="s">
        <v>2537</v>
      </c>
      <c r="K2031" s="2" t="s">
        <v>1855</v>
      </c>
      <c r="L2031" s="2" t="s">
        <v>2399</v>
      </c>
      <c r="M2031" s="2" t="str">
        <f t="shared" si="34"/>
        <v>05</v>
      </c>
      <c r="N2031" s="2" t="s">
        <v>3785</v>
      </c>
      <c r="O2031" s="2" t="s">
        <v>4373</v>
      </c>
      <c r="P2031" s="2" t="s">
        <v>4379</v>
      </c>
    </row>
    <row r="2032" spans="1:16">
      <c r="A2032" s="4">
        <v>46248.594837962963</v>
      </c>
      <c r="B2032" s="2" t="s">
        <v>3104</v>
      </c>
      <c r="C2032" s="2" t="s">
        <v>1594</v>
      </c>
      <c r="D2032" s="2" t="s">
        <v>4151</v>
      </c>
      <c r="E2032" s="2">
        <v>80</v>
      </c>
      <c r="F2032" s="2"/>
      <c r="G2032" s="2">
        <v>80</v>
      </c>
      <c r="H2032" s="2" t="s">
        <v>2060</v>
      </c>
      <c r="I2032" s="2" t="s">
        <v>695</v>
      </c>
      <c r="J2032" s="2" t="s">
        <v>2537</v>
      </c>
      <c r="K2032" s="2" t="s">
        <v>1855</v>
      </c>
      <c r="L2032" s="2" t="s">
        <v>2399</v>
      </c>
      <c r="M2032" s="2" t="str">
        <f t="shared" si="34"/>
        <v>05</v>
      </c>
      <c r="N2032" s="2" t="s">
        <v>2424</v>
      </c>
      <c r="O2032" s="2" t="s">
        <v>4373</v>
      </c>
      <c r="P2032" s="2" t="s">
        <v>4379</v>
      </c>
    </row>
    <row r="2033" spans="1:16">
      <c r="A2033" s="4">
        <v>46248.594722222224</v>
      </c>
      <c r="B2033" s="2" t="s">
        <v>931</v>
      </c>
      <c r="C2033" s="2" t="s">
        <v>1594</v>
      </c>
      <c r="D2033" s="2" t="s">
        <v>4151</v>
      </c>
      <c r="E2033" s="2">
        <v>80</v>
      </c>
      <c r="F2033" s="2"/>
      <c r="G2033" s="2">
        <v>80</v>
      </c>
      <c r="H2033" s="2" t="s">
        <v>2060</v>
      </c>
      <c r="I2033" s="2" t="s">
        <v>695</v>
      </c>
      <c r="J2033" s="2" t="s">
        <v>2537</v>
      </c>
      <c r="K2033" s="2" t="s">
        <v>1855</v>
      </c>
      <c r="L2033" s="2" t="s">
        <v>2399</v>
      </c>
      <c r="M2033" s="2" t="str">
        <f t="shared" si="34"/>
        <v>05</v>
      </c>
      <c r="N2033" s="2" t="s">
        <v>1618</v>
      </c>
      <c r="O2033" s="2" t="s">
        <v>4373</v>
      </c>
      <c r="P2033" s="2" t="s">
        <v>4379</v>
      </c>
    </row>
    <row r="2034" spans="1:16">
      <c r="A2034" s="4">
        <v>46248.594224537039</v>
      </c>
      <c r="B2034" s="2" t="s">
        <v>3163</v>
      </c>
      <c r="C2034" s="2" t="s">
        <v>1594</v>
      </c>
      <c r="D2034" s="2" t="s">
        <v>4151</v>
      </c>
      <c r="E2034" s="2">
        <v>80</v>
      </c>
      <c r="F2034" s="2"/>
      <c r="G2034" s="2">
        <v>80</v>
      </c>
      <c r="H2034" s="2" t="s">
        <v>2060</v>
      </c>
      <c r="I2034" s="2" t="s">
        <v>695</v>
      </c>
      <c r="J2034" s="2" t="s">
        <v>2537</v>
      </c>
      <c r="K2034" s="2" t="s">
        <v>1855</v>
      </c>
      <c r="L2034" s="2" t="s">
        <v>2399</v>
      </c>
      <c r="M2034" s="2" t="str">
        <f t="shared" si="34"/>
        <v>05</v>
      </c>
      <c r="N2034" s="2" t="s">
        <v>1717</v>
      </c>
      <c r="O2034" s="2" t="s">
        <v>4373</v>
      </c>
      <c r="P2034" s="2" t="s">
        <v>4379</v>
      </c>
    </row>
    <row r="2035" spans="1:16">
      <c r="A2035" s="4">
        <v>46248.593726851854</v>
      </c>
      <c r="B2035" s="2" t="s">
        <v>372</v>
      </c>
      <c r="C2035" s="2" t="s">
        <v>1594</v>
      </c>
      <c r="D2035" s="2" t="s">
        <v>4151</v>
      </c>
      <c r="E2035" s="2">
        <v>80</v>
      </c>
      <c r="F2035" s="2"/>
      <c r="G2035" s="2">
        <v>80</v>
      </c>
      <c r="H2035" s="2" t="s">
        <v>2060</v>
      </c>
      <c r="I2035" s="2" t="s">
        <v>695</v>
      </c>
      <c r="J2035" s="2" t="s">
        <v>2537</v>
      </c>
      <c r="K2035" s="2" t="s">
        <v>1855</v>
      </c>
      <c r="L2035" s="2" t="s">
        <v>2399</v>
      </c>
      <c r="M2035" s="2" t="str">
        <f t="shared" si="34"/>
        <v>05</v>
      </c>
      <c r="N2035" s="2" t="s">
        <v>1905</v>
      </c>
      <c r="O2035" s="2" t="s">
        <v>4373</v>
      </c>
      <c r="P2035" s="2" t="s">
        <v>4379</v>
      </c>
    </row>
    <row r="2036" spans="1:16">
      <c r="A2036" s="4">
        <v>46248.592835648145</v>
      </c>
      <c r="B2036" s="2" t="s">
        <v>1242</v>
      </c>
      <c r="C2036" s="2" t="s">
        <v>1594</v>
      </c>
      <c r="D2036" s="2" t="s">
        <v>4151</v>
      </c>
      <c r="E2036" s="2">
        <v>80</v>
      </c>
      <c r="F2036" s="2"/>
      <c r="G2036" s="2">
        <v>80</v>
      </c>
      <c r="H2036" s="2" t="s">
        <v>2060</v>
      </c>
      <c r="I2036" s="2" t="s">
        <v>695</v>
      </c>
      <c r="J2036" s="2" t="s">
        <v>2537</v>
      </c>
      <c r="K2036" s="2" t="s">
        <v>1855</v>
      </c>
      <c r="L2036" s="2" t="s">
        <v>2399</v>
      </c>
      <c r="M2036" s="2" t="str">
        <f t="shared" si="34"/>
        <v>05</v>
      </c>
      <c r="N2036" s="2" t="s">
        <v>2954</v>
      </c>
      <c r="O2036" s="2" t="s">
        <v>4373</v>
      </c>
      <c r="P2036" s="2" t="s">
        <v>4379</v>
      </c>
    </row>
    <row r="2037" spans="1:16">
      <c r="A2037" s="4">
        <v>46248.592824074076</v>
      </c>
      <c r="B2037" s="2" t="s">
        <v>3251</v>
      </c>
      <c r="C2037" s="2" t="s">
        <v>1594</v>
      </c>
      <c r="D2037" s="2" t="s">
        <v>4151</v>
      </c>
      <c r="E2037" s="2">
        <v>80</v>
      </c>
      <c r="F2037" s="2"/>
      <c r="G2037" s="2">
        <v>80</v>
      </c>
      <c r="H2037" s="2" t="s">
        <v>2060</v>
      </c>
      <c r="I2037" s="2" t="s">
        <v>695</v>
      </c>
      <c r="J2037" s="2" t="s">
        <v>2537</v>
      </c>
      <c r="K2037" s="2" t="s">
        <v>1855</v>
      </c>
      <c r="L2037" s="2" t="s">
        <v>2399</v>
      </c>
      <c r="M2037" s="2" t="str">
        <f t="shared" si="34"/>
        <v>05</v>
      </c>
      <c r="N2037" s="2" t="s">
        <v>1442</v>
      </c>
      <c r="O2037" s="2" t="s">
        <v>4373</v>
      </c>
      <c r="P2037" s="2" t="s">
        <v>4379</v>
      </c>
    </row>
    <row r="2038" spans="1:16">
      <c r="A2038" s="4">
        <v>46248.592372685183</v>
      </c>
      <c r="B2038" s="2" t="s">
        <v>1784</v>
      </c>
      <c r="C2038" s="2" t="s">
        <v>1594</v>
      </c>
      <c r="D2038" s="2" t="s">
        <v>4151</v>
      </c>
      <c r="E2038" s="2">
        <v>80</v>
      </c>
      <c r="F2038" s="2"/>
      <c r="G2038" s="2">
        <v>80</v>
      </c>
      <c r="H2038" s="2" t="s">
        <v>2060</v>
      </c>
      <c r="I2038" s="2" t="s">
        <v>695</v>
      </c>
      <c r="J2038" s="2" t="s">
        <v>2537</v>
      </c>
      <c r="K2038" s="2" t="s">
        <v>1855</v>
      </c>
      <c r="L2038" s="2" t="s">
        <v>2399</v>
      </c>
      <c r="M2038" s="2" t="str">
        <f t="shared" si="34"/>
        <v>05</v>
      </c>
      <c r="N2038" s="2" t="s">
        <v>803</v>
      </c>
      <c r="O2038" s="2" t="s">
        <v>4373</v>
      </c>
      <c r="P2038" s="2" t="s">
        <v>4379</v>
      </c>
    </row>
    <row r="2039" spans="1:16">
      <c r="A2039" s="4">
        <v>46248.592199074075</v>
      </c>
      <c r="B2039" s="2" t="s">
        <v>2573</v>
      </c>
      <c r="C2039" s="2" t="s">
        <v>1594</v>
      </c>
      <c r="D2039" s="2" t="s">
        <v>4151</v>
      </c>
      <c r="E2039" s="2">
        <v>80</v>
      </c>
      <c r="F2039" s="2"/>
      <c r="G2039" s="2">
        <v>80</v>
      </c>
      <c r="H2039" s="2" t="s">
        <v>2060</v>
      </c>
      <c r="I2039" s="2" t="s">
        <v>695</v>
      </c>
      <c r="J2039" s="2" t="s">
        <v>2537</v>
      </c>
      <c r="K2039" s="2" t="s">
        <v>1855</v>
      </c>
      <c r="L2039" s="2" t="s">
        <v>2399</v>
      </c>
      <c r="M2039" s="2" t="str">
        <f t="shared" si="34"/>
        <v>05</v>
      </c>
      <c r="N2039" s="2" t="s">
        <v>2527</v>
      </c>
      <c r="O2039" s="2" t="s">
        <v>4373</v>
      </c>
      <c r="P2039" s="2" t="s">
        <v>4379</v>
      </c>
    </row>
    <row r="2040" spans="1:16">
      <c r="A2040" s="4">
        <v>46248.591840277775</v>
      </c>
      <c r="B2040" s="2" t="s">
        <v>3483</v>
      </c>
      <c r="C2040" s="2" t="s">
        <v>1594</v>
      </c>
      <c r="D2040" s="2" t="s">
        <v>4151</v>
      </c>
      <c r="E2040" s="2">
        <v>80</v>
      </c>
      <c r="F2040" s="2"/>
      <c r="G2040" s="2">
        <v>80</v>
      </c>
      <c r="H2040" s="2" t="s">
        <v>2060</v>
      </c>
      <c r="I2040" s="2" t="s">
        <v>695</v>
      </c>
      <c r="J2040" s="2" t="s">
        <v>2537</v>
      </c>
      <c r="K2040" s="2" t="s">
        <v>1855</v>
      </c>
      <c r="L2040" s="2" t="s">
        <v>2399</v>
      </c>
      <c r="M2040" s="2" t="str">
        <f t="shared" si="34"/>
        <v>05</v>
      </c>
      <c r="N2040" s="2" t="s">
        <v>4257</v>
      </c>
      <c r="O2040" s="2" t="s">
        <v>4373</v>
      </c>
      <c r="P2040" s="2" t="s">
        <v>4379</v>
      </c>
    </row>
    <row r="2041" spans="1:16">
      <c r="A2041" s="4">
        <v>46248.591724537036</v>
      </c>
      <c r="B2041" s="2" t="s">
        <v>3633</v>
      </c>
      <c r="C2041" s="2" t="s">
        <v>1594</v>
      </c>
      <c r="D2041" s="2" t="s">
        <v>4151</v>
      </c>
      <c r="E2041" s="2">
        <v>80</v>
      </c>
      <c r="F2041" s="2"/>
      <c r="G2041" s="2">
        <v>80</v>
      </c>
      <c r="H2041" s="2" t="s">
        <v>2060</v>
      </c>
      <c r="I2041" s="2" t="s">
        <v>695</v>
      </c>
      <c r="J2041" s="2" t="s">
        <v>2537</v>
      </c>
      <c r="K2041" s="2" t="s">
        <v>1855</v>
      </c>
      <c r="L2041" s="2" t="s">
        <v>2399</v>
      </c>
      <c r="M2041" s="2" t="str">
        <f t="shared" si="34"/>
        <v>05</v>
      </c>
      <c r="N2041" s="2" t="s">
        <v>3432</v>
      </c>
      <c r="O2041" s="2" t="s">
        <v>4373</v>
      </c>
      <c r="P2041" s="2" t="s">
        <v>4379</v>
      </c>
    </row>
    <row r="2042" spans="1:16">
      <c r="A2042" s="4">
        <v>46248.591562499998</v>
      </c>
      <c r="B2042" s="2" t="s">
        <v>2876</v>
      </c>
      <c r="C2042" s="2" t="s">
        <v>1594</v>
      </c>
      <c r="D2042" s="2" t="s">
        <v>4151</v>
      </c>
      <c r="E2042" s="2">
        <v>80</v>
      </c>
      <c r="F2042" s="2"/>
      <c r="G2042" s="2">
        <v>80</v>
      </c>
      <c r="H2042" s="2" t="s">
        <v>2060</v>
      </c>
      <c r="I2042" s="2" t="s">
        <v>695</v>
      </c>
      <c r="J2042" s="2" t="s">
        <v>2537</v>
      </c>
      <c r="K2042" s="2" t="s">
        <v>1855</v>
      </c>
      <c r="L2042" s="2" t="s">
        <v>2399</v>
      </c>
      <c r="M2042" s="2" t="str">
        <f t="shared" si="34"/>
        <v>05</v>
      </c>
      <c r="N2042" s="2" t="s">
        <v>2638</v>
      </c>
      <c r="O2042" s="2" t="s">
        <v>4373</v>
      </c>
      <c r="P2042" s="2" t="s">
        <v>4379</v>
      </c>
    </row>
    <row r="2043" spans="1:16">
      <c r="A2043" s="4">
        <v>46248.591168981482</v>
      </c>
      <c r="B2043" s="2" t="s">
        <v>407</v>
      </c>
      <c r="C2043" s="2" t="s">
        <v>1594</v>
      </c>
      <c r="D2043" s="2" t="s">
        <v>4151</v>
      </c>
      <c r="E2043" s="2">
        <v>80</v>
      </c>
      <c r="F2043" s="2"/>
      <c r="G2043" s="2">
        <v>80</v>
      </c>
      <c r="H2043" s="2" t="s">
        <v>2060</v>
      </c>
      <c r="I2043" s="2" t="s">
        <v>695</v>
      </c>
      <c r="J2043" s="2" t="s">
        <v>2537</v>
      </c>
      <c r="K2043" s="2" t="s">
        <v>1855</v>
      </c>
      <c r="L2043" s="2" t="s">
        <v>2399</v>
      </c>
      <c r="M2043" s="2" t="str">
        <f t="shared" si="34"/>
        <v>05</v>
      </c>
      <c r="N2043" s="2" t="s">
        <v>113</v>
      </c>
      <c r="O2043" s="2" t="s">
        <v>4373</v>
      </c>
      <c r="P2043" s="2" t="s">
        <v>4379</v>
      </c>
    </row>
    <row r="2044" spans="1:16">
      <c r="A2044" s="4">
        <v>46248.59107638889</v>
      </c>
      <c r="B2044" s="2" t="s">
        <v>1656</v>
      </c>
      <c r="C2044" s="2" t="s">
        <v>1594</v>
      </c>
      <c r="D2044" s="2" t="s">
        <v>4151</v>
      </c>
      <c r="E2044" s="2">
        <v>80</v>
      </c>
      <c r="F2044" s="2"/>
      <c r="G2044" s="2">
        <v>80</v>
      </c>
      <c r="H2044" s="2" t="s">
        <v>2060</v>
      </c>
      <c r="I2044" s="2" t="s">
        <v>695</v>
      </c>
      <c r="J2044" s="2" t="s">
        <v>2537</v>
      </c>
      <c r="K2044" s="2" t="s">
        <v>1855</v>
      </c>
      <c r="L2044" s="2" t="s">
        <v>2399</v>
      </c>
      <c r="M2044" s="2" t="str">
        <f t="shared" si="34"/>
        <v>05</v>
      </c>
      <c r="N2044" s="2" t="s">
        <v>3548</v>
      </c>
      <c r="O2044" s="2" t="s">
        <v>4373</v>
      </c>
      <c r="P2044" s="2" t="s">
        <v>4379</v>
      </c>
    </row>
    <row r="2045" spans="1:16">
      <c r="A2045" s="4">
        <v>46248.590439814812</v>
      </c>
      <c r="B2045" s="2" t="s">
        <v>452</v>
      </c>
      <c r="C2045" s="2" t="s">
        <v>1594</v>
      </c>
      <c r="D2045" s="2" t="s">
        <v>4151</v>
      </c>
      <c r="E2045" s="2">
        <v>80</v>
      </c>
      <c r="F2045" s="2"/>
      <c r="G2045" s="2">
        <v>80</v>
      </c>
      <c r="H2045" s="2" t="s">
        <v>2060</v>
      </c>
      <c r="I2045" s="2" t="s">
        <v>695</v>
      </c>
      <c r="J2045" s="2" t="s">
        <v>2537</v>
      </c>
      <c r="K2045" s="2" t="s">
        <v>1855</v>
      </c>
      <c r="L2045" s="2" t="s">
        <v>2399</v>
      </c>
      <c r="M2045" s="2" t="str">
        <f t="shared" si="34"/>
        <v>05</v>
      </c>
      <c r="N2045" s="2" t="s">
        <v>3007</v>
      </c>
      <c r="O2045" s="2" t="s">
        <v>4373</v>
      </c>
      <c r="P2045" s="2" t="s">
        <v>4379</v>
      </c>
    </row>
    <row r="2046" spans="1:16">
      <c r="A2046" s="4">
        <v>46248.590428240743</v>
      </c>
      <c r="B2046" s="2" t="s">
        <v>2280</v>
      </c>
      <c r="C2046" s="2" t="s">
        <v>1594</v>
      </c>
      <c r="D2046" s="2" t="s">
        <v>4151</v>
      </c>
      <c r="E2046" s="2">
        <v>80</v>
      </c>
      <c r="F2046" s="2"/>
      <c r="G2046" s="2">
        <v>80</v>
      </c>
      <c r="H2046" s="2" t="s">
        <v>2060</v>
      </c>
      <c r="I2046" s="2" t="s">
        <v>695</v>
      </c>
      <c r="J2046" s="2" t="s">
        <v>2537</v>
      </c>
      <c r="K2046" s="2" t="s">
        <v>1855</v>
      </c>
      <c r="L2046" s="2" t="s">
        <v>2399</v>
      </c>
      <c r="M2046" s="2" t="str">
        <f t="shared" si="34"/>
        <v>05</v>
      </c>
      <c r="N2046" s="2" t="s">
        <v>3124</v>
      </c>
      <c r="O2046" s="2" t="s">
        <v>4373</v>
      </c>
      <c r="P2046" s="2" t="s">
        <v>4379</v>
      </c>
    </row>
    <row r="2047" spans="1:16">
      <c r="A2047" s="4">
        <v>46248.590127314812</v>
      </c>
      <c r="B2047" s="2" t="s">
        <v>148</v>
      </c>
      <c r="C2047" s="2" t="s">
        <v>1594</v>
      </c>
      <c r="D2047" s="2" t="s">
        <v>4151</v>
      </c>
      <c r="E2047" s="2">
        <v>80</v>
      </c>
      <c r="F2047" s="2"/>
      <c r="G2047" s="2">
        <v>80</v>
      </c>
      <c r="H2047" s="2" t="s">
        <v>2060</v>
      </c>
      <c r="I2047" s="2" t="s">
        <v>695</v>
      </c>
      <c r="J2047" s="2" t="s">
        <v>2537</v>
      </c>
      <c r="K2047" s="2" t="s">
        <v>1855</v>
      </c>
      <c r="L2047" s="2" t="s">
        <v>2399</v>
      </c>
      <c r="M2047" s="2" t="str">
        <f t="shared" si="34"/>
        <v>05</v>
      </c>
      <c r="N2047" s="2" t="s">
        <v>4315</v>
      </c>
      <c r="O2047" s="2" t="s">
        <v>4373</v>
      </c>
      <c r="P2047" s="2" t="s">
        <v>4379</v>
      </c>
    </row>
    <row r="2048" spans="1:16">
      <c r="A2048" s="4">
        <v>46248.590069444443</v>
      </c>
      <c r="B2048" s="2" t="s">
        <v>3282</v>
      </c>
      <c r="C2048" s="2" t="s">
        <v>1594</v>
      </c>
      <c r="D2048" s="2" t="s">
        <v>4151</v>
      </c>
      <c r="E2048" s="2">
        <v>80</v>
      </c>
      <c r="F2048" s="2"/>
      <c r="G2048" s="2">
        <v>80</v>
      </c>
      <c r="H2048" s="2" t="s">
        <v>2060</v>
      </c>
      <c r="I2048" s="2" t="s">
        <v>695</v>
      </c>
      <c r="J2048" s="2" t="s">
        <v>2537</v>
      </c>
      <c r="K2048" s="2" t="s">
        <v>1855</v>
      </c>
      <c r="L2048" s="2" t="s">
        <v>2399</v>
      </c>
      <c r="M2048" s="2" t="str">
        <f t="shared" si="34"/>
        <v>05</v>
      </c>
      <c r="N2048" s="2" t="s">
        <v>1880</v>
      </c>
      <c r="O2048" s="2" t="s">
        <v>4373</v>
      </c>
      <c r="P2048" s="2" t="s">
        <v>4379</v>
      </c>
    </row>
    <row r="2049" spans="1:16">
      <c r="A2049" s="4">
        <v>46246.558020833334</v>
      </c>
      <c r="B2049" s="2" t="s">
        <v>1473</v>
      </c>
      <c r="C2049" s="2" t="s">
        <v>1594</v>
      </c>
      <c r="D2049" s="2" t="s">
        <v>4151</v>
      </c>
      <c r="E2049" s="2">
        <v>80</v>
      </c>
      <c r="F2049" s="2"/>
      <c r="G2049" s="2">
        <v>80</v>
      </c>
      <c r="H2049" s="2" t="s">
        <v>958</v>
      </c>
      <c r="I2049" s="2" t="s">
        <v>695</v>
      </c>
      <c r="J2049" s="2" t="s">
        <v>2537</v>
      </c>
      <c r="K2049" s="2" t="s">
        <v>1855</v>
      </c>
      <c r="L2049" s="2" t="s">
        <v>850</v>
      </c>
      <c r="M2049" s="2" t="str">
        <f t="shared" si="34"/>
        <v>08</v>
      </c>
      <c r="N2049" s="2" t="s">
        <v>2379</v>
      </c>
      <c r="O2049" s="2" t="s">
        <v>4373</v>
      </c>
      <c r="P2049" s="2" t="s">
        <v>4381</v>
      </c>
    </row>
    <row r="2050" spans="1:16">
      <c r="A2050" s="4">
        <v>46246.558009259257</v>
      </c>
      <c r="B2050" s="2" t="s">
        <v>3096</v>
      </c>
      <c r="C2050" s="2" t="s">
        <v>1594</v>
      </c>
      <c r="D2050" s="2" t="s">
        <v>4151</v>
      </c>
      <c r="E2050" s="2">
        <v>80</v>
      </c>
      <c r="F2050" s="2"/>
      <c r="G2050" s="2">
        <v>80</v>
      </c>
      <c r="H2050" s="2" t="s">
        <v>958</v>
      </c>
      <c r="I2050" s="2" t="s">
        <v>695</v>
      </c>
      <c r="J2050" s="2" t="s">
        <v>2537</v>
      </c>
      <c r="K2050" s="2" t="s">
        <v>1855</v>
      </c>
      <c r="L2050" s="2" t="s">
        <v>850</v>
      </c>
      <c r="M2050" s="2" t="str">
        <f t="shared" ref="M2050:M2113" si="35">RIGHT(L2050,2)</f>
        <v>08</v>
      </c>
      <c r="N2050" s="2" t="s">
        <v>2879</v>
      </c>
      <c r="O2050" s="2" t="s">
        <v>4373</v>
      </c>
      <c r="P2050" s="2" t="s">
        <v>4381</v>
      </c>
    </row>
    <row r="2051" spans="1:16">
      <c r="A2051" s="4">
        <v>46246.557916666665</v>
      </c>
      <c r="B2051" s="2" t="s">
        <v>882</v>
      </c>
      <c r="C2051" s="2" t="s">
        <v>1594</v>
      </c>
      <c r="D2051" s="2" t="s">
        <v>4151</v>
      </c>
      <c r="E2051" s="2">
        <v>80</v>
      </c>
      <c r="F2051" s="2"/>
      <c r="G2051" s="2">
        <v>80</v>
      </c>
      <c r="H2051" s="2" t="s">
        <v>958</v>
      </c>
      <c r="I2051" s="2" t="s">
        <v>695</v>
      </c>
      <c r="J2051" s="2" t="s">
        <v>2537</v>
      </c>
      <c r="K2051" s="2" t="s">
        <v>1855</v>
      </c>
      <c r="L2051" s="2" t="s">
        <v>850</v>
      </c>
      <c r="M2051" s="2" t="str">
        <f t="shared" si="35"/>
        <v>08</v>
      </c>
      <c r="N2051" s="2" t="s">
        <v>3552</v>
      </c>
      <c r="O2051" s="2" t="s">
        <v>4373</v>
      </c>
      <c r="P2051" s="2" t="s">
        <v>4381</v>
      </c>
    </row>
    <row r="2052" spans="1:16">
      <c r="A2052" s="4">
        <v>46246.55741898148</v>
      </c>
      <c r="B2052" s="2" t="s">
        <v>892</v>
      </c>
      <c r="C2052" s="2" t="s">
        <v>1594</v>
      </c>
      <c r="D2052" s="2" t="s">
        <v>4151</v>
      </c>
      <c r="E2052" s="2">
        <v>80</v>
      </c>
      <c r="F2052" s="2"/>
      <c r="G2052" s="2">
        <v>80</v>
      </c>
      <c r="H2052" s="2" t="s">
        <v>958</v>
      </c>
      <c r="I2052" s="2" t="s">
        <v>695</v>
      </c>
      <c r="J2052" s="2" t="s">
        <v>2537</v>
      </c>
      <c r="K2052" s="2" t="s">
        <v>1855</v>
      </c>
      <c r="L2052" s="2" t="s">
        <v>850</v>
      </c>
      <c r="M2052" s="2" t="str">
        <f t="shared" si="35"/>
        <v>08</v>
      </c>
      <c r="N2052" s="2" t="s">
        <v>2681</v>
      </c>
      <c r="O2052" s="2" t="s">
        <v>4373</v>
      </c>
      <c r="P2052" s="2" t="s">
        <v>4381</v>
      </c>
    </row>
    <row r="2053" spans="1:16">
      <c r="A2053" s="4">
        <v>46246.38417824074</v>
      </c>
      <c r="B2053" s="2" t="s">
        <v>1240</v>
      </c>
      <c r="C2053" s="2" t="s">
        <v>1594</v>
      </c>
      <c r="D2053" s="2" t="s">
        <v>4151</v>
      </c>
      <c r="E2053" s="2">
        <v>80</v>
      </c>
      <c r="F2053" s="2"/>
      <c r="G2053" s="2">
        <v>80</v>
      </c>
      <c r="H2053" s="2" t="s">
        <v>4303</v>
      </c>
      <c r="I2053" s="2" t="s">
        <v>695</v>
      </c>
      <c r="J2053" s="2" t="s">
        <v>2537</v>
      </c>
      <c r="K2053" s="2" t="s">
        <v>1855</v>
      </c>
      <c r="L2053" s="2" t="s">
        <v>1188</v>
      </c>
      <c r="M2053" s="2" t="str">
        <f t="shared" si="35"/>
        <v>10</v>
      </c>
      <c r="N2053" s="2" t="s">
        <v>2286</v>
      </c>
      <c r="O2053" s="2" t="s">
        <v>4373</v>
      </c>
      <c r="P2053" s="2" t="s">
        <v>4381</v>
      </c>
    </row>
    <row r="2054" spans="1:16">
      <c r="A2054" s="4">
        <v>46246.383750000001</v>
      </c>
      <c r="B2054" s="2" t="s">
        <v>2347</v>
      </c>
      <c r="C2054" s="2" t="s">
        <v>1594</v>
      </c>
      <c r="D2054" s="2" t="s">
        <v>4151</v>
      </c>
      <c r="E2054" s="2">
        <v>80</v>
      </c>
      <c r="F2054" s="2"/>
      <c r="G2054" s="2">
        <v>80</v>
      </c>
      <c r="H2054" s="2" t="s">
        <v>4303</v>
      </c>
      <c r="I2054" s="2" t="s">
        <v>695</v>
      </c>
      <c r="J2054" s="2" t="s">
        <v>2537</v>
      </c>
      <c r="K2054" s="2" t="s">
        <v>1855</v>
      </c>
      <c r="L2054" s="2" t="s">
        <v>1188</v>
      </c>
      <c r="M2054" s="2" t="str">
        <f t="shared" si="35"/>
        <v>10</v>
      </c>
      <c r="N2054" s="2" t="s">
        <v>4083</v>
      </c>
      <c r="O2054" s="2" t="s">
        <v>4373</v>
      </c>
      <c r="P2054" s="2" t="s">
        <v>4381</v>
      </c>
    </row>
    <row r="2055" spans="1:16">
      <c r="A2055" s="4">
        <v>46246.383726851855</v>
      </c>
      <c r="B2055" s="2" t="s">
        <v>3724</v>
      </c>
      <c r="C2055" s="2" t="s">
        <v>1594</v>
      </c>
      <c r="D2055" s="2" t="s">
        <v>4151</v>
      </c>
      <c r="E2055" s="2">
        <v>80</v>
      </c>
      <c r="F2055" s="2"/>
      <c r="G2055" s="2">
        <v>80</v>
      </c>
      <c r="H2055" s="2" t="s">
        <v>4303</v>
      </c>
      <c r="I2055" s="2" t="s">
        <v>695</v>
      </c>
      <c r="J2055" s="2" t="s">
        <v>2537</v>
      </c>
      <c r="K2055" s="2" t="s">
        <v>1855</v>
      </c>
      <c r="L2055" s="2" t="s">
        <v>1188</v>
      </c>
      <c r="M2055" s="2" t="str">
        <f t="shared" si="35"/>
        <v>10</v>
      </c>
      <c r="N2055" s="2" t="s">
        <v>2814</v>
      </c>
      <c r="O2055" s="2" t="s">
        <v>4373</v>
      </c>
      <c r="P2055" s="2" t="s">
        <v>4381</v>
      </c>
    </row>
    <row r="2056" spans="1:16">
      <c r="A2056" s="4">
        <v>46246.382824074077</v>
      </c>
      <c r="B2056" s="2" t="s">
        <v>769</v>
      </c>
      <c r="C2056" s="2" t="s">
        <v>1594</v>
      </c>
      <c r="D2056" s="2" t="s">
        <v>4151</v>
      </c>
      <c r="E2056" s="2">
        <v>80</v>
      </c>
      <c r="F2056" s="2"/>
      <c r="G2056" s="2">
        <v>80</v>
      </c>
      <c r="H2056" s="2" t="s">
        <v>4303</v>
      </c>
      <c r="I2056" s="2" t="s">
        <v>695</v>
      </c>
      <c r="J2056" s="2" t="s">
        <v>2537</v>
      </c>
      <c r="K2056" s="2" t="s">
        <v>1855</v>
      </c>
      <c r="L2056" s="2" t="s">
        <v>1188</v>
      </c>
      <c r="M2056" s="2" t="str">
        <f t="shared" si="35"/>
        <v>10</v>
      </c>
      <c r="N2056" s="2" t="s">
        <v>1491</v>
      </c>
      <c r="O2056" s="2" t="s">
        <v>4373</v>
      </c>
      <c r="P2056" s="2" t="s">
        <v>4381</v>
      </c>
    </row>
    <row r="2057" spans="1:16">
      <c r="A2057" s="4">
        <v>46246.3827662037</v>
      </c>
      <c r="B2057" s="2" t="s">
        <v>2793</v>
      </c>
      <c r="C2057" s="2" t="s">
        <v>1594</v>
      </c>
      <c r="D2057" s="2" t="s">
        <v>4151</v>
      </c>
      <c r="E2057" s="2">
        <v>80</v>
      </c>
      <c r="F2057" s="2"/>
      <c r="G2057" s="2">
        <v>80</v>
      </c>
      <c r="H2057" s="2" t="s">
        <v>4303</v>
      </c>
      <c r="I2057" s="2" t="s">
        <v>695</v>
      </c>
      <c r="J2057" s="2" t="s">
        <v>2537</v>
      </c>
      <c r="K2057" s="2" t="s">
        <v>1855</v>
      </c>
      <c r="L2057" s="2" t="s">
        <v>1188</v>
      </c>
      <c r="M2057" s="2" t="str">
        <f t="shared" si="35"/>
        <v>10</v>
      </c>
      <c r="N2057" s="2" t="s">
        <v>801</v>
      </c>
      <c r="O2057" s="2" t="s">
        <v>4373</v>
      </c>
      <c r="P2057" s="2" t="s">
        <v>4381</v>
      </c>
    </row>
    <row r="2058" spans="1:16">
      <c r="A2058" s="4">
        <v>46246.382199074076</v>
      </c>
      <c r="B2058" s="2" t="s">
        <v>1008</v>
      </c>
      <c r="C2058" s="2" t="s">
        <v>1594</v>
      </c>
      <c r="D2058" s="2" t="s">
        <v>4151</v>
      </c>
      <c r="E2058" s="2">
        <v>80</v>
      </c>
      <c r="F2058" s="2"/>
      <c r="G2058" s="2">
        <v>80</v>
      </c>
      <c r="H2058" s="2" t="s">
        <v>4303</v>
      </c>
      <c r="I2058" s="2" t="s">
        <v>695</v>
      </c>
      <c r="J2058" s="2" t="s">
        <v>2537</v>
      </c>
      <c r="K2058" s="2" t="s">
        <v>1855</v>
      </c>
      <c r="L2058" s="2" t="s">
        <v>1188</v>
      </c>
      <c r="M2058" s="2" t="str">
        <f t="shared" si="35"/>
        <v>10</v>
      </c>
      <c r="N2058" s="2" t="s">
        <v>3141</v>
      </c>
      <c r="O2058" s="2" t="s">
        <v>4373</v>
      </c>
      <c r="P2058" s="2" t="s">
        <v>4381</v>
      </c>
    </row>
    <row r="2059" spans="1:16">
      <c r="A2059" s="4">
        <v>46246.382152777776</v>
      </c>
      <c r="B2059" s="2" t="s">
        <v>3015</v>
      </c>
      <c r="C2059" s="2" t="s">
        <v>1594</v>
      </c>
      <c r="D2059" s="2" t="s">
        <v>4151</v>
      </c>
      <c r="E2059" s="2">
        <v>80</v>
      </c>
      <c r="F2059" s="2"/>
      <c r="G2059" s="2">
        <v>80</v>
      </c>
      <c r="H2059" s="2" t="s">
        <v>4303</v>
      </c>
      <c r="I2059" s="2" t="s">
        <v>695</v>
      </c>
      <c r="J2059" s="2" t="s">
        <v>2537</v>
      </c>
      <c r="K2059" s="2" t="s">
        <v>1855</v>
      </c>
      <c r="L2059" s="2" t="s">
        <v>1188</v>
      </c>
      <c r="M2059" s="2" t="str">
        <f t="shared" si="35"/>
        <v>10</v>
      </c>
      <c r="N2059" s="2" t="s">
        <v>2635</v>
      </c>
      <c r="O2059" s="2" t="s">
        <v>4373</v>
      </c>
      <c r="P2059" s="2" t="s">
        <v>4381</v>
      </c>
    </row>
    <row r="2060" spans="1:16">
      <c r="A2060" s="4">
        <v>46246.381608796299</v>
      </c>
      <c r="B2060" s="2" t="s">
        <v>1651</v>
      </c>
      <c r="C2060" s="2" t="s">
        <v>1594</v>
      </c>
      <c r="D2060" s="2" t="s">
        <v>4151</v>
      </c>
      <c r="E2060" s="2">
        <v>80</v>
      </c>
      <c r="F2060" s="2"/>
      <c r="G2060" s="2">
        <v>80</v>
      </c>
      <c r="H2060" s="2" t="s">
        <v>4303</v>
      </c>
      <c r="I2060" s="2" t="s">
        <v>695</v>
      </c>
      <c r="J2060" s="2" t="s">
        <v>2537</v>
      </c>
      <c r="K2060" s="2" t="s">
        <v>1855</v>
      </c>
      <c r="L2060" s="2" t="s">
        <v>1188</v>
      </c>
      <c r="M2060" s="2" t="str">
        <f t="shared" si="35"/>
        <v>10</v>
      </c>
      <c r="N2060" s="2" t="s">
        <v>544</v>
      </c>
      <c r="O2060" s="2" t="s">
        <v>4373</v>
      </c>
      <c r="P2060" s="2" t="s">
        <v>4381</v>
      </c>
    </row>
    <row r="2061" spans="1:16">
      <c r="A2061" s="4">
        <v>46246.381284722222</v>
      </c>
      <c r="B2061" s="2" t="s">
        <v>1239</v>
      </c>
      <c r="C2061" s="2" t="s">
        <v>1594</v>
      </c>
      <c r="D2061" s="2" t="s">
        <v>4151</v>
      </c>
      <c r="E2061" s="2">
        <v>80</v>
      </c>
      <c r="F2061" s="2"/>
      <c r="G2061" s="2">
        <v>80</v>
      </c>
      <c r="H2061" s="2" t="s">
        <v>4303</v>
      </c>
      <c r="I2061" s="2" t="s">
        <v>695</v>
      </c>
      <c r="J2061" s="2" t="s">
        <v>2537</v>
      </c>
      <c r="K2061" s="2" t="s">
        <v>1855</v>
      </c>
      <c r="L2061" s="2" t="s">
        <v>1188</v>
      </c>
      <c r="M2061" s="2" t="str">
        <f t="shared" si="35"/>
        <v>10</v>
      </c>
      <c r="N2061" s="2" t="s">
        <v>186</v>
      </c>
      <c r="O2061" s="2" t="s">
        <v>4373</v>
      </c>
      <c r="P2061" s="2" t="s">
        <v>4381</v>
      </c>
    </row>
    <row r="2062" spans="1:16">
      <c r="A2062" s="4">
        <v>46246.379120370373</v>
      </c>
      <c r="B2062" s="2" t="s">
        <v>2687</v>
      </c>
      <c r="C2062" s="2" t="s">
        <v>1594</v>
      </c>
      <c r="D2062" s="2" t="s">
        <v>4151</v>
      </c>
      <c r="E2062" s="2">
        <v>80</v>
      </c>
      <c r="F2062" s="2"/>
      <c r="G2062" s="2">
        <v>80</v>
      </c>
      <c r="H2062" s="2" t="s">
        <v>4303</v>
      </c>
      <c r="I2062" s="2" t="s">
        <v>695</v>
      </c>
      <c r="J2062" s="2" t="s">
        <v>2537</v>
      </c>
      <c r="K2062" s="2" t="s">
        <v>1855</v>
      </c>
      <c r="L2062" s="2" t="s">
        <v>1188</v>
      </c>
      <c r="M2062" s="2" t="str">
        <f t="shared" si="35"/>
        <v>10</v>
      </c>
      <c r="N2062" s="2" t="s">
        <v>2852</v>
      </c>
      <c r="O2062" s="2" t="s">
        <v>4373</v>
      </c>
      <c r="P2062" s="2" t="s">
        <v>4381</v>
      </c>
    </row>
    <row r="2063" spans="1:16">
      <c r="A2063" s="4">
        <v>46246.378888888888</v>
      </c>
      <c r="B2063" s="2" t="s">
        <v>765</v>
      </c>
      <c r="C2063" s="2" t="s">
        <v>1594</v>
      </c>
      <c r="D2063" s="2" t="s">
        <v>4151</v>
      </c>
      <c r="E2063" s="2">
        <v>80</v>
      </c>
      <c r="F2063" s="2"/>
      <c r="G2063" s="2">
        <v>80</v>
      </c>
      <c r="H2063" s="2" t="s">
        <v>4303</v>
      </c>
      <c r="I2063" s="2" t="s">
        <v>695</v>
      </c>
      <c r="J2063" s="2" t="s">
        <v>2537</v>
      </c>
      <c r="K2063" s="2" t="s">
        <v>1855</v>
      </c>
      <c r="L2063" s="2" t="s">
        <v>1188</v>
      </c>
      <c r="M2063" s="2" t="str">
        <f t="shared" si="35"/>
        <v>10</v>
      </c>
      <c r="N2063" s="2" t="s">
        <v>979</v>
      </c>
      <c r="O2063" s="2" t="s">
        <v>4373</v>
      </c>
      <c r="P2063" s="2" t="s">
        <v>4381</v>
      </c>
    </row>
    <row r="2064" spans="1:16">
      <c r="A2064" s="4">
        <v>46246.378576388888</v>
      </c>
      <c r="B2064" s="2" t="s">
        <v>1224</v>
      </c>
      <c r="C2064" s="2" t="s">
        <v>1594</v>
      </c>
      <c r="D2064" s="2" t="s">
        <v>4151</v>
      </c>
      <c r="E2064" s="2">
        <v>80</v>
      </c>
      <c r="F2064" s="2"/>
      <c r="G2064" s="2">
        <v>80</v>
      </c>
      <c r="H2064" s="2" t="s">
        <v>4303</v>
      </c>
      <c r="I2064" s="2" t="s">
        <v>695</v>
      </c>
      <c r="J2064" s="2" t="s">
        <v>2537</v>
      </c>
      <c r="K2064" s="2" t="s">
        <v>1855</v>
      </c>
      <c r="L2064" s="2" t="s">
        <v>1188</v>
      </c>
      <c r="M2064" s="2" t="str">
        <f t="shared" si="35"/>
        <v>10</v>
      </c>
      <c r="N2064" s="2" t="s">
        <v>1485</v>
      </c>
      <c r="O2064" s="2" t="s">
        <v>4373</v>
      </c>
      <c r="P2064" s="2" t="s">
        <v>4381</v>
      </c>
    </row>
    <row r="2065" spans="1:16">
      <c r="A2065" s="4">
        <v>46246.378379629627</v>
      </c>
      <c r="B2065" s="2" t="s">
        <v>2374</v>
      </c>
      <c r="C2065" s="2" t="s">
        <v>1594</v>
      </c>
      <c r="D2065" s="2" t="s">
        <v>4151</v>
      </c>
      <c r="E2065" s="2">
        <v>80</v>
      </c>
      <c r="F2065" s="2"/>
      <c r="G2065" s="2">
        <v>80</v>
      </c>
      <c r="H2065" s="2" t="s">
        <v>4303</v>
      </c>
      <c r="I2065" s="2" t="s">
        <v>695</v>
      </c>
      <c r="J2065" s="2" t="s">
        <v>2537</v>
      </c>
      <c r="K2065" s="2" t="s">
        <v>1855</v>
      </c>
      <c r="L2065" s="2" t="s">
        <v>1188</v>
      </c>
      <c r="M2065" s="2" t="str">
        <f t="shared" si="35"/>
        <v>10</v>
      </c>
      <c r="N2065" s="2" t="s">
        <v>1945</v>
      </c>
      <c r="O2065" s="2" t="s">
        <v>4373</v>
      </c>
      <c r="P2065" s="2" t="s">
        <v>4381</v>
      </c>
    </row>
    <row r="2066" spans="1:16">
      <c r="A2066" s="4">
        <v>46246.377789351849</v>
      </c>
      <c r="B2066" s="2" t="s">
        <v>943</v>
      </c>
      <c r="C2066" s="2" t="s">
        <v>1594</v>
      </c>
      <c r="D2066" s="2" t="s">
        <v>4151</v>
      </c>
      <c r="E2066" s="2">
        <v>80</v>
      </c>
      <c r="F2066" s="2"/>
      <c r="G2066" s="2">
        <v>80</v>
      </c>
      <c r="H2066" s="2" t="s">
        <v>4303</v>
      </c>
      <c r="I2066" s="2" t="s">
        <v>695</v>
      </c>
      <c r="J2066" s="2" t="s">
        <v>2537</v>
      </c>
      <c r="K2066" s="2" t="s">
        <v>1855</v>
      </c>
      <c r="L2066" s="2" t="s">
        <v>1188</v>
      </c>
      <c r="M2066" s="2" t="str">
        <f t="shared" si="35"/>
        <v>10</v>
      </c>
      <c r="N2066" s="2" t="s">
        <v>2343</v>
      </c>
      <c r="O2066" s="2" t="s">
        <v>4373</v>
      </c>
      <c r="P2066" s="2" t="s">
        <v>4381</v>
      </c>
    </row>
    <row r="2067" spans="1:16">
      <c r="A2067" s="4">
        <v>46246.377708333333</v>
      </c>
      <c r="B2067" s="2" t="s">
        <v>635</v>
      </c>
      <c r="C2067" s="2" t="s">
        <v>1594</v>
      </c>
      <c r="D2067" s="2" t="s">
        <v>4151</v>
      </c>
      <c r="E2067" s="2">
        <v>80</v>
      </c>
      <c r="F2067" s="2"/>
      <c r="G2067" s="2">
        <v>80</v>
      </c>
      <c r="H2067" s="2" t="s">
        <v>4303</v>
      </c>
      <c r="I2067" s="2" t="s">
        <v>695</v>
      </c>
      <c r="J2067" s="2" t="s">
        <v>2537</v>
      </c>
      <c r="K2067" s="2" t="s">
        <v>1855</v>
      </c>
      <c r="L2067" s="2" t="s">
        <v>1188</v>
      </c>
      <c r="M2067" s="2" t="str">
        <f t="shared" si="35"/>
        <v>10</v>
      </c>
      <c r="N2067" s="2" t="s">
        <v>776</v>
      </c>
      <c r="O2067" s="2" t="s">
        <v>4373</v>
      </c>
      <c r="P2067" s="2" t="s">
        <v>4381</v>
      </c>
    </row>
    <row r="2068" spans="1:16">
      <c r="A2068" s="4">
        <v>46246.377118055556</v>
      </c>
      <c r="B2068" s="2" t="s">
        <v>2337</v>
      </c>
      <c r="C2068" s="2" t="s">
        <v>1594</v>
      </c>
      <c r="D2068" s="2" t="s">
        <v>4151</v>
      </c>
      <c r="E2068" s="2">
        <v>80</v>
      </c>
      <c r="F2068" s="2"/>
      <c r="G2068" s="2">
        <v>80</v>
      </c>
      <c r="H2068" s="2" t="s">
        <v>4303</v>
      </c>
      <c r="I2068" s="2" t="s">
        <v>695</v>
      </c>
      <c r="J2068" s="2" t="s">
        <v>2537</v>
      </c>
      <c r="K2068" s="2" t="s">
        <v>1855</v>
      </c>
      <c r="L2068" s="2" t="s">
        <v>1188</v>
      </c>
      <c r="M2068" s="2" t="str">
        <f t="shared" si="35"/>
        <v>10</v>
      </c>
      <c r="N2068" s="2" t="s">
        <v>3497</v>
      </c>
      <c r="O2068" s="2" t="s">
        <v>4373</v>
      </c>
      <c r="P2068" s="2" t="s">
        <v>4381</v>
      </c>
    </row>
    <row r="2069" spans="1:16">
      <c r="A2069" s="4">
        <v>46246.377071759256</v>
      </c>
      <c r="B2069" s="2" t="s">
        <v>3083</v>
      </c>
      <c r="C2069" s="2" t="s">
        <v>1594</v>
      </c>
      <c r="D2069" s="2" t="s">
        <v>4151</v>
      </c>
      <c r="E2069" s="2">
        <v>80</v>
      </c>
      <c r="F2069" s="2"/>
      <c r="G2069" s="2">
        <v>80</v>
      </c>
      <c r="H2069" s="2" t="s">
        <v>4303</v>
      </c>
      <c r="I2069" s="2" t="s">
        <v>695</v>
      </c>
      <c r="J2069" s="2" t="s">
        <v>2537</v>
      </c>
      <c r="K2069" s="2" t="s">
        <v>1855</v>
      </c>
      <c r="L2069" s="2" t="s">
        <v>1188</v>
      </c>
      <c r="M2069" s="2" t="str">
        <f t="shared" si="35"/>
        <v>10</v>
      </c>
      <c r="N2069" s="2" t="s">
        <v>2329</v>
      </c>
      <c r="O2069" s="2" t="s">
        <v>4373</v>
      </c>
      <c r="P2069" s="2" t="s">
        <v>4381</v>
      </c>
    </row>
    <row r="2070" spans="1:16">
      <c r="A2070" s="4">
        <v>46246.375949074078</v>
      </c>
      <c r="B2070" s="2" t="s">
        <v>1809</v>
      </c>
      <c r="C2070" s="2" t="s">
        <v>1594</v>
      </c>
      <c r="D2070" s="2" t="s">
        <v>4151</v>
      </c>
      <c r="E2070" s="2">
        <v>80</v>
      </c>
      <c r="F2070" s="2"/>
      <c r="G2070" s="2">
        <v>80</v>
      </c>
      <c r="H2070" s="2" t="s">
        <v>4303</v>
      </c>
      <c r="I2070" s="2" t="s">
        <v>695</v>
      </c>
      <c r="J2070" s="2" t="s">
        <v>2537</v>
      </c>
      <c r="K2070" s="2" t="s">
        <v>1855</v>
      </c>
      <c r="L2070" s="2" t="s">
        <v>1188</v>
      </c>
      <c r="M2070" s="2" t="str">
        <f t="shared" si="35"/>
        <v>10</v>
      </c>
      <c r="N2070" s="2" t="s">
        <v>1670</v>
      </c>
      <c r="O2070" s="2" t="s">
        <v>4373</v>
      </c>
      <c r="P2070" s="2" t="s">
        <v>4381</v>
      </c>
    </row>
    <row r="2071" spans="1:16">
      <c r="A2071" s="4">
        <v>46246.375694444447</v>
      </c>
      <c r="B2071" s="2" t="s">
        <v>19</v>
      </c>
      <c r="C2071" s="2" t="s">
        <v>1594</v>
      </c>
      <c r="D2071" s="2" t="s">
        <v>4151</v>
      </c>
      <c r="E2071" s="2">
        <v>80</v>
      </c>
      <c r="F2071" s="2"/>
      <c r="G2071" s="2">
        <v>80</v>
      </c>
      <c r="H2071" s="2" t="s">
        <v>4303</v>
      </c>
      <c r="I2071" s="2" t="s">
        <v>695</v>
      </c>
      <c r="J2071" s="2" t="s">
        <v>2537</v>
      </c>
      <c r="K2071" s="2" t="s">
        <v>1855</v>
      </c>
      <c r="L2071" s="2" t="s">
        <v>1188</v>
      </c>
      <c r="M2071" s="2" t="str">
        <f t="shared" si="35"/>
        <v>10</v>
      </c>
      <c r="N2071" s="2" t="s">
        <v>596</v>
      </c>
      <c r="O2071" s="2" t="s">
        <v>4373</v>
      </c>
      <c r="P2071" s="2" t="s">
        <v>4381</v>
      </c>
    </row>
    <row r="2072" spans="1:16">
      <c r="A2072" s="4">
        <v>46246.375347222223</v>
      </c>
      <c r="B2072" s="2" t="s">
        <v>4210</v>
      </c>
      <c r="C2072" s="2" t="s">
        <v>1594</v>
      </c>
      <c r="D2072" s="2" t="s">
        <v>4151</v>
      </c>
      <c r="E2072" s="2">
        <v>80</v>
      </c>
      <c r="F2072" s="2"/>
      <c r="G2072" s="2">
        <v>80</v>
      </c>
      <c r="H2072" s="2" t="s">
        <v>4303</v>
      </c>
      <c r="I2072" s="2" t="s">
        <v>695</v>
      </c>
      <c r="J2072" s="2" t="s">
        <v>2537</v>
      </c>
      <c r="K2072" s="2" t="s">
        <v>1855</v>
      </c>
      <c r="L2072" s="2" t="s">
        <v>1188</v>
      </c>
      <c r="M2072" s="2" t="str">
        <f t="shared" si="35"/>
        <v>10</v>
      </c>
      <c r="N2072" s="2" t="s">
        <v>1431</v>
      </c>
      <c r="O2072" s="2" t="s">
        <v>4373</v>
      </c>
      <c r="P2072" s="2" t="s">
        <v>4381</v>
      </c>
    </row>
    <row r="2073" spans="1:16">
      <c r="A2073" s="4">
        <v>46246.375277777777</v>
      </c>
      <c r="B2073" s="2" t="s">
        <v>3733</v>
      </c>
      <c r="C2073" s="2" t="s">
        <v>1594</v>
      </c>
      <c r="D2073" s="2" t="s">
        <v>4151</v>
      </c>
      <c r="E2073" s="2">
        <v>80</v>
      </c>
      <c r="F2073" s="2"/>
      <c r="G2073" s="2">
        <v>80</v>
      </c>
      <c r="H2073" s="2" t="s">
        <v>4303</v>
      </c>
      <c r="I2073" s="2" t="s">
        <v>695</v>
      </c>
      <c r="J2073" s="2" t="s">
        <v>2537</v>
      </c>
      <c r="K2073" s="2" t="s">
        <v>1855</v>
      </c>
      <c r="L2073" s="2" t="s">
        <v>1188</v>
      </c>
      <c r="M2073" s="2" t="str">
        <f t="shared" si="35"/>
        <v>10</v>
      </c>
      <c r="N2073" s="2" t="s">
        <v>2859</v>
      </c>
      <c r="O2073" s="2" t="s">
        <v>4373</v>
      </c>
      <c r="P2073" s="2" t="s">
        <v>4381</v>
      </c>
    </row>
    <row r="2074" spans="1:16">
      <c r="A2074" s="4">
        <v>46246.374409722222</v>
      </c>
      <c r="B2074" s="2" t="s">
        <v>1314</v>
      </c>
      <c r="C2074" s="2" t="s">
        <v>1594</v>
      </c>
      <c r="D2074" s="2" t="s">
        <v>4151</v>
      </c>
      <c r="E2074" s="2">
        <v>80</v>
      </c>
      <c r="F2074" s="2"/>
      <c r="G2074" s="2">
        <v>80</v>
      </c>
      <c r="H2074" s="2" t="s">
        <v>4303</v>
      </c>
      <c r="I2074" s="2" t="s">
        <v>695</v>
      </c>
      <c r="J2074" s="2" t="s">
        <v>2537</v>
      </c>
      <c r="K2074" s="2" t="s">
        <v>1855</v>
      </c>
      <c r="L2074" s="2" t="s">
        <v>1188</v>
      </c>
      <c r="M2074" s="2" t="str">
        <f t="shared" si="35"/>
        <v>10</v>
      </c>
      <c r="N2074" s="2" t="s">
        <v>1941</v>
      </c>
      <c r="O2074" s="2" t="s">
        <v>4373</v>
      </c>
      <c r="P2074" s="2" t="s">
        <v>4381</v>
      </c>
    </row>
    <row r="2075" spans="1:16">
      <c r="A2075" s="4">
        <v>46246.374363425923</v>
      </c>
      <c r="B2075" s="2" t="s">
        <v>2050</v>
      </c>
      <c r="C2075" s="2" t="s">
        <v>1594</v>
      </c>
      <c r="D2075" s="2" t="s">
        <v>4151</v>
      </c>
      <c r="E2075" s="2">
        <v>80</v>
      </c>
      <c r="F2075" s="2"/>
      <c r="G2075" s="2">
        <v>80</v>
      </c>
      <c r="H2075" s="2" t="s">
        <v>4303</v>
      </c>
      <c r="I2075" s="2" t="s">
        <v>695</v>
      </c>
      <c r="J2075" s="2" t="s">
        <v>2537</v>
      </c>
      <c r="K2075" s="2" t="s">
        <v>1855</v>
      </c>
      <c r="L2075" s="2" t="s">
        <v>1188</v>
      </c>
      <c r="M2075" s="2" t="str">
        <f t="shared" si="35"/>
        <v>10</v>
      </c>
      <c r="N2075" s="2" t="s">
        <v>219</v>
      </c>
      <c r="O2075" s="2" t="s">
        <v>4373</v>
      </c>
      <c r="P2075" s="2" t="s">
        <v>4381</v>
      </c>
    </row>
    <row r="2076" spans="1:16">
      <c r="A2076" s="4">
        <v>46246.373738425929</v>
      </c>
      <c r="B2076" s="2" t="s">
        <v>3929</v>
      </c>
      <c r="C2076" s="2" t="s">
        <v>1594</v>
      </c>
      <c r="D2076" s="2" t="s">
        <v>4151</v>
      </c>
      <c r="E2076" s="2">
        <v>80</v>
      </c>
      <c r="F2076" s="2"/>
      <c r="G2076" s="2">
        <v>80</v>
      </c>
      <c r="H2076" s="2" t="s">
        <v>4303</v>
      </c>
      <c r="I2076" s="2" t="s">
        <v>695</v>
      </c>
      <c r="J2076" s="2" t="s">
        <v>2537</v>
      </c>
      <c r="K2076" s="2" t="s">
        <v>1855</v>
      </c>
      <c r="L2076" s="2" t="s">
        <v>1188</v>
      </c>
      <c r="M2076" s="2" t="str">
        <f t="shared" si="35"/>
        <v>10</v>
      </c>
      <c r="N2076" s="2" t="s">
        <v>3721</v>
      </c>
      <c r="O2076" s="2" t="s">
        <v>4373</v>
      </c>
      <c r="P2076" s="2" t="s">
        <v>4381</v>
      </c>
    </row>
    <row r="2077" spans="1:16">
      <c r="A2077" s="4">
        <v>46246.373599537037</v>
      </c>
      <c r="B2077" s="2" t="s">
        <v>1739</v>
      </c>
      <c r="C2077" s="2" t="s">
        <v>1594</v>
      </c>
      <c r="D2077" s="2" t="s">
        <v>4151</v>
      </c>
      <c r="E2077" s="2">
        <v>80</v>
      </c>
      <c r="F2077" s="2"/>
      <c r="G2077" s="2">
        <v>80</v>
      </c>
      <c r="H2077" s="2" t="s">
        <v>4303</v>
      </c>
      <c r="I2077" s="2" t="s">
        <v>695</v>
      </c>
      <c r="J2077" s="2" t="s">
        <v>2537</v>
      </c>
      <c r="K2077" s="2" t="s">
        <v>1855</v>
      </c>
      <c r="L2077" s="2" t="s">
        <v>1188</v>
      </c>
      <c r="M2077" s="2" t="str">
        <f t="shared" si="35"/>
        <v>10</v>
      </c>
      <c r="N2077" s="2" t="s">
        <v>3556</v>
      </c>
      <c r="O2077" s="2" t="s">
        <v>4373</v>
      </c>
      <c r="P2077" s="2" t="s">
        <v>4381</v>
      </c>
    </row>
    <row r="2078" spans="1:16">
      <c r="A2078" s="4">
        <v>46246.372349537036</v>
      </c>
      <c r="B2078" s="2" t="s">
        <v>4029</v>
      </c>
      <c r="C2078" s="2" t="s">
        <v>1594</v>
      </c>
      <c r="D2078" s="2" t="s">
        <v>4151</v>
      </c>
      <c r="E2078" s="2">
        <v>80</v>
      </c>
      <c r="F2078" s="2"/>
      <c r="G2078" s="2">
        <v>80</v>
      </c>
      <c r="H2078" s="2" t="s">
        <v>4303</v>
      </c>
      <c r="I2078" s="2" t="s">
        <v>695</v>
      </c>
      <c r="J2078" s="2" t="s">
        <v>2537</v>
      </c>
      <c r="K2078" s="2" t="s">
        <v>1855</v>
      </c>
      <c r="L2078" s="2" t="s">
        <v>1188</v>
      </c>
      <c r="M2078" s="2" t="str">
        <f t="shared" si="35"/>
        <v>10</v>
      </c>
      <c r="N2078" s="2" t="s">
        <v>1298</v>
      </c>
      <c r="O2078" s="2" t="s">
        <v>4373</v>
      </c>
      <c r="P2078" s="2" t="s">
        <v>4381</v>
      </c>
    </row>
    <row r="2079" spans="1:16">
      <c r="A2079" s="4">
        <v>46246.372199074074</v>
      </c>
      <c r="B2079" s="2" t="s">
        <v>3145</v>
      </c>
      <c r="C2079" s="2" t="s">
        <v>1594</v>
      </c>
      <c r="D2079" s="2" t="s">
        <v>4151</v>
      </c>
      <c r="E2079" s="2">
        <v>80</v>
      </c>
      <c r="F2079" s="2"/>
      <c r="G2079" s="2">
        <v>80</v>
      </c>
      <c r="H2079" s="2" t="s">
        <v>4303</v>
      </c>
      <c r="I2079" s="2" t="s">
        <v>695</v>
      </c>
      <c r="J2079" s="2" t="s">
        <v>2537</v>
      </c>
      <c r="K2079" s="2" t="s">
        <v>1855</v>
      </c>
      <c r="L2079" s="2" t="s">
        <v>1188</v>
      </c>
      <c r="M2079" s="2" t="str">
        <f t="shared" si="35"/>
        <v>10</v>
      </c>
      <c r="N2079" s="2" t="s">
        <v>2330</v>
      </c>
      <c r="O2079" s="2" t="s">
        <v>4373</v>
      </c>
      <c r="P2079" s="2" t="s">
        <v>4381</v>
      </c>
    </row>
    <row r="2080" spans="1:16">
      <c r="A2080" s="4">
        <v>46246.371620370373</v>
      </c>
      <c r="B2080" s="2" t="s">
        <v>3547</v>
      </c>
      <c r="C2080" s="2" t="s">
        <v>1594</v>
      </c>
      <c r="D2080" s="2" t="s">
        <v>4151</v>
      </c>
      <c r="E2080" s="2">
        <v>80</v>
      </c>
      <c r="F2080" s="2"/>
      <c r="G2080" s="2">
        <v>80</v>
      </c>
      <c r="H2080" s="2" t="s">
        <v>4303</v>
      </c>
      <c r="I2080" s="2" t="s">
        <v>695</v>
      </c>
      <c r="J2080" s="2" t="s">
        <v>2537</v>
      </c>
      <c r="K2080" s="2" t="s">
        <v>1855</v>
      </c>
      <c r="L2080" s="2" t="s">
        <v>1188</v>
      </c>
      <c r="M2080" s="2" t="str">
        <f t="shared" si="35"/>
        <v>10</v>
      </c>
      <c r="N2080" s="2" t="s">
        <v>3136</v>
      </c>
      <c r="O2080" s="2" t="s">
        <v>4373</v>
      </c>
      <c r="P2080" s="2" t="s">
        <v>4381</v>
      </c>
    </row>
    <row r="2081" spans="1:16">
      <c r="A2081" s="4">
        <v>46246.371377314812</v>
      </c>
      <c r="B2081" s="2" t="s">
        <v>2503</v>
      </c>
      <c r="C2081" s="2" t="s">
        <v>1594</v>
      </c>
      <c r="D2081" s="2" t="s">
        <v>4151</v>
      </c>
      <c r="E2081" s="2">
        <v>80</v>
      </c>
      <c r="F2081" s="2"/>
      <c r="G2081" s="2">
        <v>80</v>
      </c>
      <c r="H2081" s="2" t="s">
        <v>4303</v>
      </c>
      <c r="I2081" s="2" t="s">
        <v>695</v>
      </c>
      <c r="J2081" s="2" t="s">
        <v>2537</v>
      </c>
      <c r="K2081" s="2" t="s">
        <v>1855</v>
      </c>
      <c r="L2081" s="2" t="s">
        <v>1188</v>
      </c>
      <c r="M2081" s="2" t="str">
        <f t="shared" si="35"/>
        <v>10</v>
      </c>
      <c r="N2081" s="2" t="s">
        <v>251</v>
      </c>
      <c r="O2081" s="2" t="s">
        <v>4373</v>
      </c>
      <c r="P2081" s="2" t="s">
        <v>4381</v>
      </c>
    </row>
    <row r="2082" spans="1:16">
      <c r="A2082" s="4">
        <v>46246.370983796296</v>
      </c>
      <c r="B2082" s="2" t="s">
        <v>4294</v>
      </c>
      <c r="C2082" s="2" t="s">
        <v>1594</v>
      </c>
      <c r="D2082" s="2" t="s">
        <v>4151</v>
      </c>
      <c r="E2082" s="2">
        <v>80</v>
      </c>
      <c r="F2082" s="2"/>
      <c r="G2082" s="2">
        <v>80</v>
      </c>
      <c r="H2082" s="2" t="s">
        <v>4303</v>
      </c>
      <c r="I2082" s="2" t="s">
        <v>695</v>
      </c>
      <c r="J2082" s="2" t="s">
        <v>2537</v>
      </c>
      <c r="K2082" s="2" t="s">
        <v>1855</v>
      </c>
      <c r="L2082" s="2" t="s">
        <v>1188</v>
      </c>
      <c r="M2082" s="2" t="str">
        <f t="shared" si="35"/>
        <v>10</v>
      </c>
      <c r="N2082" s="2" t="s">
        <v>3831</v>
      </c>
      <c r="O2082" s="2" t="s">
        <v>4373</v>
      </c>
      <c r="P2082" s="2" t="s">
        <v>4381</v>
      </c>
    </row>
    <row r="2083" spans="1:16">
      <c r="A2083" s="4">
        <v>46246.37060185185</v>
      </c>
      <c r="B2083" s="2" t="s">
        <v>3630</v>
      </c>
      <c r="C2083" s="2" t="s">
        <v>1594</v>
      </c>
      <c r="D2083" s="2" t="s">
        <v>4151</v>
      </c>
      <c r="E2083" s="2">
        <v>80</v>
      </c>
      <c r="F2083" s="2"/>
      <c r="G2083" s="2">
        <v>80</v>
      </c>
      <c r="H2083" s="2" t="s">
        <v>4303</v>
      </c>
      <c r="I2083" s="2" t="s">
        <v>695</v>
      </c>
      <c r="J2083" s="2" t="s">
        <v>2537</v>
      </c>
      <c r="K2083" s="2" t="s">
        <v>1855</v>
      </c>
      <c r="L2083" s="2" t="s">
        <v>1188</v>
      </c>
      <c r="M2083" s="2" t="str">
        <f t="shared" si="35"/>
        <v>10</v>
      </c>
      <c r="N2083" s="2" t="s">
        <v>4285</v>
      </c>
      <c r="O2083" s="2" t="s">
        <v>4373</v>
      </c>
      <c r="P2083" s="2" t="s">
        <v>4381</v>
      </c>
    </row>
    <row r="2084" spans="1:16">
      <c r="A2084" s="4">
        <v>46244.86923611111</v>
      </c>
      <c r="B2084" s="2" t="s">
        <v>3642</v>
      </c>
      <c r="C2084" s="2" t="s">
        <v>1594</v>
      </c>
      <c r="D2084" s="2" t="s">
        <v>4151</v>
      </c>
      <c r="E2084" s="2">
        <v>80</v>
      </c>
      <c r="F2084" s="2"/>
      <c r="G2084" s="2">
        <v>80</v>
      </c>
      <c r="H2084" s="2" t="s">
        <v>2559</v>
      </c>
      <c r="I2084" s="2" t="s">
        <v>695</v>
      </c>
      <c r="J2084" s="2" t="s">
        <v>2537</v>
      </c>
      <c r="K2084" s="2" t="s">
        <v>1855</v>
      </c>
      <c r="L2084" s="2" t="s">
        <v>338</v>
      </c>
      <c r="M2084" s="2" t="str">
        <f t="shared" si="35"/>
        <v>11</v>
      </c>
      <c r="N2084" s="2" t="s">
        <v>618</v>
      </c>
      <c r="O2084" s="2" t="s">
        <v>4373</v>
      </c>
      <c r="P2084" s="2" t="s">
        <v>4375</v>
      </c>
    </row>
    <row r="2085" spans="1:16">
      <c r="A2085" s="4">
        <v>46244.866782407407</v>
      </c>
      <c r="B2085" s="2" t="s">
        <v>4133</v>
      </c>
      <c r="C2085" s="2" t="s">
        <v>1594</v>
      </c>
      <c r="D2085" s="2" t="s">
        <v>4151</v>
      </c>
      <c r="E2085" s="2">
        <v>80</v>
      </c>
      <c r="F2085" s="2"/>
      <c r="G2085" s="2">
        <v>80</v>
      </c>
      <c r="H2085" s="2" t="s">
        <v>2559</v>
      </c>
      <c r="I2085" s="2" t="s">
        <v>695</v>
      </c>
      <c r="J2085" s="2" t="s">
        <v>2537</v>
      </c>
      <c r="K2085" s="2" t="s">
        <v>1855</v>
      </c>
      <c r="L2085" s="2" t="s">
        <v>338</v>
      </c>
      <c r="M2085" s="2" t="str">
        <f t="shared" si="35"/>
        <v>11</v>
      </c>
      <c r="N2085" s="2" t="s">
        <v>880</v>
      </c>
      <c r="O2085" s="2" t="s">
        <v>4373</v>
      </c>
      <c r="P2085" s="2" t="s">
        <v>4375</v>
      </c>
    </row>
    <row r="2086" spans="1:16">
      <c r="A2086" s="4">
        <v>46244.866631944446</v>
      </c>
      <c r="B2086" s="2" t="s">
        <v>2843</v>
      </c>
      <c r="C2086" s="2" t="s">
        <v>1594</v>
      </c>
      <c r="D2086" s="2" t="s">
        <v>4151</v>
      </c>
      <c r="E2086" s="2">
        <v>80</v>
      </c>
      <c r="F2086" s="2"/>
      <c r="G2086" s="2">
        <v>80</v>
      </c>
      <c r="H2086" s="2" t="s">
        <v>2559</v>
      </c>
      <c r="I2086" s="2" t="s">
        <v>695</v>
      </c>
      <c r="J2086" s="2" t="s">
        <v>2537</v>
      </c>
      <c r="K2086" s="2" t="s">
        <v>1855</v>
      </c>
      <c r="L2086" s="2" t="s">
        <v>338</v>
      </c>
      <c r="M2086" s="2" t="str">
        <f t="shared" si="35"/>
        <v>11</v>
      </c>
      <c r="N2086" s="2" t="s">
        <v>3735</v>
      </c>
      <c r="O2086" s="2" t="s">
        <v>4373</v>
      </c>
      <c r="P2086" s="2" t="s">
        <v>4375</v>
      </c>
    </row>
    <row r="2087" spans="1:16">
      <c r="A2087" s="4">
        <v>46244.866574074076</v>
      </c>
      <c r="B2087" s="2" t="s">
        <v>1827</v>
      </c>
      <c r="C2087" s="2" t="s">
        <v>1594</v>
      </c>
      <c r="D2087" s="2" t="s">
        <v>4151</v>
      </c>
      <c r="E2087" s="2">
        <v>80</v>
      </c>
      <c r="F2087" s="2"/>
      <c r="G2087" s="2">
        <v>80</v>
      </c>
      <c r="H2087" s="2" t="s">
        <v>2559</v>
      </c>
      <c r="I2087" s="2" t="s">
        <v>695</v>
      </c>
      <c r="J2087" s="2" t="s">
        <v>2537</v>
      </c>
      <c r="K2087" s="2" t="s">
        <v>1855</v>
      </c>
      <c r="L2087" s="2" t="s">
        <v>338</v>
      </c>
      <c r="M2087" s="2" t="str">
        <f t="shared" si="35"/>
        <v>11</v>
      </c>
      <c r="N2087" s="2" t="s">
        <v>1075</v>
      </c>
      <c r="O2087" s="2" t="s">
        <v>4373</v>
      </c>
      <c r="P2087" s="2" t="s">
        <v>4375</v>
      </c>
    </row>
    <row r="2088" spans="1:16">
      <c r="A2088" s="4">
        <v>46244.865740740737</v>
      </c>
      <c r="B2088" s="2" t="s">
        <v>931</v>
      </c>
      <c r="C2088" s="2" t="s">
        <v>1594</v>
      </c>
      <c r="D2088" s="2" t="s">
        <v>4151</v>
      </c>
      <c r="E2088" s="2">
        <v>80</v>
      </c>
      <c r="F2088" s="2"/>
      <c r="G2088" s="2">
        <v>80</v>
      </c>
      <c r="H2088" s="2" t="s">
        <v>2559</v>
      </c>
      <c r="I2088" s="2" t="s">
        <v>695</v>
      </c>
      <c r="J2088" s="2" t="s">
        <v>2537</v>
      </c>
      <c r="K2088" s="2" t="s">
        <v>1855</v>
      </c>
      <c r="L2088" s="2" t="s">
        <v>338</v>
      </c>
      <c r="M2088" s="2" t="str">
        <f t="shared" si="35"/>
        <v>11</v>
      </c>
      <c r="N2088" s="2" t="s">
        <v>757</v>
      </c>
      <c r="O2088" s="2" t="s">
        <v>4373</v>
      </c>
      <c r="P2088" s="2" t="s">
        <v>4375</v>
      </c>
    </row>
    <row r="2089" spans="1:16">
      <c r="A2089" s="4">
        <v>46244.86550925926</v>
      </c>
      <c r="B2089" s="2" t="s">
        <v>870</v>
      </c>
      <c r="C2089" s="2" t="s">
        <v>1594</v>
      </c>
      <c r="D2089" s="2" t="s">
        <v>4151</v>
      </c>
      <c r="E2089" s="2">
        <v>80</v>
      </c>
      <c r="F2089" s="2"/>
      <c r="G2089" s="2">
        <v>80</v>
      </c>
      <c r="H2089" s="2" t="s">
        <v>2559</v>
      </c>
      <c r="I2089" s="2" t="s">
        <v>695</v>
      </c>
      <c r="J2089" s="2" t="s">
        <v>2537</v>
      </c>
      <c r="K2089" s="2" t="s">
        <v>1855</v>
      </c>
      <c r="L2089" s="2" t="s">
        <v>338</v>
      </c>
      <c r="M2089" s="2" t="str">
        <f t="shared" si="35"/>
        <v>11</v>
      </c>
      <c r="N2089" s="2" t="s">
        <v>568</v>
      </c>
      <c r="O2089" s="2" t="s">
        <v>4373</v>
      </c>
      <c r="P2089" s="2" t="s">
        <v>4375</v>
      </c>
    </row>
    <row r="2090" spans="1:16">
      <c r="A2090" s="4">
        <v>46244.864907407406</v>
      </c>
      <c r="B2090" s="2" t="s">
        <v>3120</v>
      </c>
      <c r="C2090" s="2" t="s">
        <v>1594</v>
      </c>
      <c r="D2090" s="2" t="s">
        <v>4151</v>
      </c>
      <c r="E2090" s="2">
        <v>80</v>
      </c>
      <c r="F2090" s="2"/>
      <c r="G2090" s="2">
        <v>80</v>
      </c>
      <c r="H2090" s="2" t="s">
        <v>2559</v>
      </c>
      <c r="I2090" s="2" t="s">
        <v>695</v>
      </c>
      <c r="J2090" s="2" t="s">
        <v>2537</v>
      </c>
      <c r="K2090" s="2" t="s">
        <v>1855</v>
      </c>
      <c r="L2090" s="2" t="s">
        <v>338</v>
      </c>
      <c r="M2090" s="2" t="str">
        <f t="shared" si="35"/>
        <v>11</v>
      </c>
      <c r="N2090" s="2" t="s">
        <v>2059</v>
      </c>
      <c r="O2090" s="2" t="s">
        <v>4373</v>
      </c>
      <c r="P2090" s="2" t="s">
        <v>4375</v>
      </c>
    </row>
    <row r="2091" spans="1:16">
      <c r="A2091" s="4">
        <v>46244.864189814813</v>
      </c>
      <c r="B2091" s="2" t="s">
        <v>3841</v>
      </c>
      <c r="C2091" s="2" t="s">
        <v>1594</v>
      </c>
      <c r="D2091" s="2" t="s">
        <v>4151</v>
      </c>
      <c r="E2091" s="2">
        <v>80</v>
      </c>
      <c r="F2091" s="2"/>
      <c r="G2091" s="2">
        <v>80</v>
      </c>
      <c r="H2091" s="2" t="s">
        <v>2559</v>
      </c>
      <c r="I2091" s="2" t="s">
        <v>695</v>
      </c>
      <c r="J2091" s="2" t="s">
        <v>2537</v>
      </c>
      <c r="K2091" s="2" t="s">
        <v>1855</v>
      </c>
      <c r="L2091" s="2" t="s">
        <v>338</v>
      </c>
      <c r="M2091" s="2" t="str">
        <f t="shared" si="35"/>
        <v>11</v>
      </c>
      <c r="N2091" s="2" t="s">
        <v>549</v>
      </c>
      <c r="O2091" s="2" t="s">
        <v>4373</v>
      </c>
      <c r="P2091" s="2" t="s">
        <v>4375</v>
      </c>
    </row>
    <row r="2092" spans="1:16">
      <c r="A2092" s="4">
        <v>46244.864062499997</v>
      </c>
      <c r="B2092" s="2" t="s">
        <v>321</v>
      </c>
      <c r="C2092" s="2" t="s">
        <v>1594</v>
      </c>
      <c r="D2092" s="2" t="s">
        <v>4151</v>
      </c>
      <c r="E2092" s="2">
        <v>80</v>
      </c>
      <c r="F2092" s="2"/>
      <c r="G2092" s="2">
        <v>80</v>
      </c>
      <c r="H2092" s="2" t="s">
        <v>2559</v>
      </c>
      <c r="I2092" s="2" t="s">
        <v>695</v>
      </c>
      <c r="J2092" s="2" t="s">
        <v>2537</v>
      </c>
      <c r="K2092" s="2" t="s">
        <v>1855</v>
      </c>
      <c r="L2092" s="2" t="s">
        <v>338</v>
      </c>
      <c r="M2092" s="2" t="str">
        <f t="shared" si="35"/>
        <v>11</v>
      </c>
      <c r="N2092" s="2" t="s">
        <v>255</v>
      </c>
      <c r="O2092" s="2" t="s">
        <v>4373</v>
      </c>
      <c r="P2092" s="2" t="s">
        <v>4375</v>
      </c>
    </row>
    <row r="2093" spans="1:16">
      <c r="A2093" s="4">
        <v>46244.86377314815</v>
      </c>
      <c r="B2093" s="2" t="s">
        <v>522</v>
      </c>
      <c r="C2093" s="2" t="s">
        <v>1594</v>
      </c>
      <c r="D2093" s="2" t="s">
        <v>4151</v>
      </c>
      <c r="E2093" s="2">
        <v>80</v>
      </c>
      <c r="F2093" s="2"/>
      <c r="G2093" s="2">
        <v>80</v>
      </c>
      <c r="H2093" s="2" t="s">
        <v>2559</v>
      </c>
      <c r="I2093" s="2" t="s">
        <v>695</v>
      </c>
      <c r="J2093" s="2" t="s">
        <v>2537</v>
      </c>
      <c r="K2093" s="2" t="s">
        <v>1855</v>
      </c>
      <c r="L2093" s="2" t="s">
        <v>338</v>
      </c>
      <c r="M2093" s="2" t="str">
        <f t="shared" si="35"/>
        <v>11</v>
      </c>
      <c r="N2093" s="2" t="s">
        <v>1213</v>
      </c>
      <c r="O2093" s="2" t="s">
        <v>4373</v>
      </c>
      <c r="P2093" s="2" t="s">
        <v>4375</v>
      </c>
    </row>
    <row r="2094" spans="1:16">
      <c r="A2094" s="4">
        <v>46244.86310185185</v>
      </c>
      <c r="B2094" s="2" t="s">
        <v>1652</v>
      </c>
      <c r="C2094" s="2" t="s">
        <v>1594</v>
      </c>
      <c r="D2094" s="2" t="s">
        <v>4151</v>
      </c>
      <c r="E2094" s="2">
        <v>80</v>
      </c>
      <c r="F2094" s="2"/>
      <c r="G2094" s="2">
        <v>80</v>
      </c>
      <c r="H2094" s="2" t="s">
        <v>2559</v>
      </c>
      <c r="I2094" s="2" t="s">
        <v>695</v>
      </c>
      <c r="J2094" s="2" t="s">
        <v>2537</v>
      </c>
      <c r="K2094" s="2" t="s">
        <v>1855</v>
      </c>
      <c r="L2094" s="2" t="s">
        <v>338</v>
      </c>
      <c r="M2094" s="2" t="str">
        <f t="shared" si="35"/>
        <v>11</v>
      </c>
      <c r="N2094" s="2" t="s">
        <v>1859</v>
      </c>
      <c r="O2094" s="2" t="s">
        <v>4373</v>
      </c>
      <c r="P2094" s="2" t="s">
        <v>4375</v>
      </c>
    </row>
    <row r="2095" spans="1:16">
      <c r="A2095" s="4">
        <v>46244.863043981481</v>
      </c>
      <c r="B2095" s="2" t="s">
        <v>697</v>
      </c>
      <c r="C2095" s="2" t="s">
        <v>1594</v>
      </c>
      <c r="D2095" s="2" t="s">
        <v>4151</v>
      </c>
      <c r="E2095" s="2">
        <v>80</v>
      </c>
      <c r="F2095" s="2"/>
      <c r="G2095" s="2">
        <v>80</v>
      </c>
      <c r="H2095" s="2" t="s">
        <v>2559</v>
      </c>
      <c r="I2095" s="2" t="s">
        <v>695</v>
      </c>
      <c r="J2095" s="2" t="s">
        <v>2537</v>
      </c>
      <c r="K2095" s="2" t="s">
        <v>1855</v>
      </c>
      <c r="L2095" s="2" t="s">
        <v>338</v>
      </c>
      <c r="M2095" s="2" t="str">
        <f t="shared" si="35"/>
        <v>11</v>
      </c>
      <c r="N2095" s="2" t="s">
        <v>1383</v>
      </c>
      <c r="O2095" s="2" t="s">
        <v>4373</v>
      </c>
      <c r="P2095" s="2" t="s">
        <v>4375</v>
      </c>
    </row>
    <row r="2096" spans="1:16">
      <c r="A2096" s="4">
        <v>46244.862719907411</v>
      </c>
      <c r="B2096" s="2" t="s">
        <v>1303</v>
      </c>
      <c r="C2096" s="2" t="s">
        <v>1594</v>
      </c>
      <c r="D2096" s="2" t="s">
        <v>4151</v>
      </c>
      <c r="E2096" s="2">
        <v>80</v>
      </c>
      <c r="F2096" s="2"/>
      <c r="G2096" s="2">
        <v>80</v>
      </c>
      <c r="H2096" s="2" t="s">
        <v>2559</v>
      </c>
      <c r="I2096" s="2" t="s">
        <v>695</v>
      </c>
      <c r="J2096" s="2" t="s">
        <v>2537</v>
      </c>
      <c r="K2096" s="2" t="s">
        <v>1855</v>
      </c>
      <c r="L2096" s="2" t="s">
        <v>338</v>
      </c>
      <c r="M2096" s="2" t="str">
        <f t="shared" si="35"/>
        <v>11</v>
      </c>
      <c r="N2096" s="2" t="s">
        <v>2549</v>
      </c>
      <c r="O2096" s="2" t="s">
        <v>4373</v>
      </c>
      <c r="P2096" s="2" t="s">
        <v>4375</v>
      </c>
    </row>
    <row r="2097" spans="1:16">
      <c r="A2097" s="4">
        <v>46244.861689814818</v>
      </c>
      <c r="B2097" s="2" t="s">
        <v>1589</v>
      </c>
      <c r="C2097" s="2" t="s">
        <v>1594</v>
      </c>
      <c r="D2097" s="2" t="s">
        <v>4151</v>
      </c>
      <c r="E2097" s="2">
        <v>80</v>
      </c>
      <c r="F2097" s="2"/>
      <c r="G2097" s="2">
        <v>80</v>
      </c>
      <c r="H2097" s="2" t="s">
        <v>2559</v>
      </c>
      <c r="I2097" s="2" t="s">
        <v>695</v>
      </c>
      <c r="J2097" s="2" t="s">
        <v>2537</v>
      </c>
      <c r="K2097" s="2" t="s">
        <v>1855</v>
      </c>
      <c r="L2097" s="2" t="s">
        <v>338</v>
      </c>
      <c r="M2097" s="2" t="str">
        <f t="shared" si="35"/>
        <v>11</v>
      </c>
      <c r="N2097" s="2" t="s">
        <v>2039</v>
      </c>
      <c r="O2097" s="2" t="s">
        <v>4373</v>
      </c>
      <c r="P2097" s="2" t="s">
        <v>4375</v>
      </c>
    </row>
    <row r="2098" spans="1:16">
      <c r="A2098" s="4">
        <v>46244.861678240741</v>
      </c>
      <c r="B2098" s="2" t="s">
        <v>3973</v>
      </c>
      <c r="C2098" s="2" t="s">
        <v>1594</v>
      </c>
      <c r="D2098" s="2" t="s">
        <v>4151</v>
      </c>
      <c r="E2098" s="2">
        <v>80</v>
      </c>
      <c r="F2098" s="2"/>
      <c r="G2098" s="2">
        <v>80</v>
      </c>
      <c r="H2098" s="2" t="s">
        <v>2559</v>
      </c>
      <c r="I2098" s="2" t="s">
        <v>695</v>
      </c>
      <c r="J2098" s="2" t="s">
        <v>2537</v>
      </c>
      <c r="K2098" s="2" t="s">
        <v>1855</v>
      </c>
      <c r="L2098" s="2" t="s">
        <v>338</v>
      </c>
      <c r="M2098" s="2" t="str">
        <f t="shared" si="35"/>
        <v>11</v>
      </c>
      <c r="N2098" s="2" t="s">
        <v>1248</v>
      </c>
      <c r="O2098" s="2" t="s">
        <v>4373</v>
      </c>
      <c r="P2098" s="2" t="s">
        <v>4375</v>
      </c>
    </row>
    <row r="2099" spans="1:16">
      <c r="A2099" s="4">
        <v>46244.861585648148</v>
      </c>
      <c r="B2099" s="2" t="s">
        <v>910</v>
      </c>
      <c r="C2099" s="2" t="s">
        <v>1594</v>
      </c>
      <c r="D2099" s="2" t="s">
        <v>4151</v>
      </c>
      <c r="E2099" s="2">
        <v>80</v>
      </c>
      <c r="F2099" s="2"/>
      <c r="G2099" s="2">
        <v>80</v>
      </c>
      <c r="H2099" s="2" t="s">
        <v>2559</v>
      </c>
      <c r="I2099" s="2" t="s">
        <v>695</v>
      </c>
      <c r="J2099" s="2" t="s">
        <v>2537</v>
      </c>
      <c r="K2099" s="2" t="s">
        <v>1855</v>
      </c>
      <c r="L2099" s="2" t="s">
        <v>338</v>
      </c>
      <c r="M2099" s="2" t="str">
        <f t="shared" si="35"/>
        <v>11</v>
      </c>
      <c r="N2099" s="2" t="s">
        <v>466</v>
      </c>
      <c r="O2099" s="2" t="s">
        <v>4373</v>
      </c>
      <c r="P2099" s="2" t="s">
        <v>4375</v>
      </c>
    </row>
    <row r="2100" spans="1:16">
      <c r="A2100" s="4">
        <v>46244.860682870371</v>
      </c>
      <c r="B2100" s="2" t="s">
        <v>1845</v>
      </c>
      <c r="C2100" s="2" t="s">
        <v>1594</v>
      </c>
      <c r="D2100" s="2" t="s">
        <v>4151</v>
      </c>
      <c r="E2100" s="2">
        <v>80</v>
      </c>
      <c r="F2100" s="2"/>
      <c r="G2100" s="2">
        <v>80</v>
      </c>
      <c r="H2100" s="2" t="s">
        <v>2559</v>
      </c>
      <c r="I2100" s="2" t="s">
        <v>695</v>
      </c>
      <c r="J2100" s="2" t="s">
        <v>2537</v>
      </c>
      <c r="K2100" s="2" t="s">
        <v>1855</v>
      </c>
      <c r="L2100" s="2" t="s">
        <v>338</v>
      </c>
      <c r="M2100" s="2" t="str">
        <f t="shared" si="35"/>
        <v>11</v>
      </c>
      <c r="N2100" s="2" t="s">
        <v>3979</v>
      </c>
      <c r="O2100" s="2" t="s">
        <v>4373</v>
      </c>
      <c r="P2100" s="2" t="s">
        <v>4375</v>
      </c>
    </row>
    <row r="2101" spans="1:16">
      <c r="A2101" s="4">
        <v>46244.860543981478</v>
      </c>
      <c r="B2101" s="2" t="s">
        <v>1613</v>
      </c>
      <c r="C2101" s="2" t="s">
        <v>1594</v>
      </c>
      <c r="D2101" s="2" t="s">
        <v>4151</v>
      </c>
      <c r="E2101" s="2">
        <v>80</v>
      </c>
      <c r="F2101" s="2"/>
      <c r="G2101" s="2">
        <v>80</v>
      </c>
      <c r="H2101" s="2" t="s">
        <v>2559</v>
      </c>
      <c r="I2101" s="2" t="s">
        <v>695</v>
      </c>
      <c r="J2101" s="2" t="s">
        <v>2537</v>
      </c>
      <c r="K2101" s="2" t="s">
        <v>1855</v>
      </c>
      <c r="L2101" s="2" t="s">
        <v>338</v>
      </c>
      <c r="M2101" s="2" t="str">
        <f t="shared" si="35"/>
        <v>11</v>
      </c>
      <c r="N2101" s="2" t="s">
        <v>13</v>
      </c>
      <c r="O2101" s="2" t="s">
        <v>4373</v>
      </c>
      <c r="P2101" s="2" t="s">
        <v>4375</v>
      </c>
    </row>
    <row r="2102" spans="1:16">
      <c r="A2102" s="4">
        <v>46244.860532407409</v>
      </c>
      <c r="B2102" s="2" t="s">
        <v>3549</v>
      </c>
      <c r="C2102" s="2" t="s">
        <v>1594</v>
      </c>
      <c r="D2102" s="2" t="s">
        <v>4151</v>
      </c>
      <c r="E2102" s="2">
        <v>80</v>
      </c>
      <c r="F2102" s="2"/>
      <c r="G2102" s="2">
        <v>80</v>
      </c>
      <c r="H2102" s="2" t="s">
        <v>2559</v>
      </c>
      <c r="I2102" s="2" t="s">
        <v>695</v>
      </c>
      <c r="J2102" s="2" t="s">
        <v>2537</v>
      </c>
      <c r="K2102" s="2" t="s">
        <v>1855</v>
      </c>
      <c r="L2102" s="2" t="s">
        <v>338</v>
      </c>
      <c r="M2102" s="2" t="str">
        <f t="shared" si="35"/>
        <v>11</v>
      </c>
      <c r="N2102" s="2" t="s">
        <v>1108</v>
      </c>
      <c r="O2102" s="2" t="s">
        <v>4373</v>
      </c>
      <c r="P2102" s="2" t="s">
        <v>4375</v>
      </c>
    </row>
    <row r="2103" spans="1:16">
      <c r="A2103" s="4">
        <v>46244.859664351854</v>
      </c>
      <c r="B2103" s="2" t="s">
        <v>2499</v>
      </c>
      <c r="C2103" s="2" t="s">
        <v>1594</v>
      </c>
      <c r="D2103" s="2" t="s">
        <v>4151</v>
      </c>
      <c r="E2103" s="2">
        <v>80</v>
      </c>
      <c r="F2103" s="2"/>
      <c r="G2103" s="2">
        <v>80</v>
      </c>
      <c r="H2103" s="2" t="s">
        <v>2559</v>
      </c>
      <c r="I2103" s="2" t="s">
        <v>695</v>
      </c>
      <c r="J2103" s="2" t="s">
        <v>2537</v>
      </c>
      <c r="K2103" s="2" t="s">
        <v>1855</v>
      </c>
      <c r="L2103" s="2" t="s">
        <v>338</v>
      </c>
      <c r="M2103" s="2" t="str">
        <f t="shared" si="35"/>
        <v>11</v>
      </c>
      <c r="N2103" s="2" t="s">
        <v>3131</v>
      </c>
      <c r="O2103" s="2" t="s">
        <v>4373</v>
      </c>
      <c r="P2103" s="2" t="s">
        <v>4375</v>
      </c>
    </row>
    <row r="2104" spans="1:16">
      <c r="A2104" s="4">
        <v>46244.859594907408</v>
      </c>
      <c r="B2104" s="2" t="s">
        <v>2447</v>
      </c>
      <c r="C2104" s="2" t="s">
        <v>1594</v>
      </c>
      <c r="D2104" s="2" t="s">
        <v>4151</v>
      </c>
      <c r="E2104" s="2">
        <v>80</v>
      </c>
      <c r="F2104" s="2"/>
      <c r="G2104" s="2">
        <v>80</v>
      </c>
      <c r="H2104" s="2" t="s">
        <v>2559</v>
      </c>
      <c r="I2104" s="2" t="s">
        <v>695</v>
      </c>
      <c r="J2104" s="2" t="s">
        <v>2537</v>
      </c>
      <c r="K2104" s="2" t="s">
        <v>1855</v>
      </c>
      <c r="L2104" s="2" t="s">
        <v>338</v>
      </c>
      <c r="M2104" s="2" t="str">
        <f t="shared" si="35"/>
        <v>11</v>
      </c>
      <c r="N2104" s="2" t="s">
        <v>2008</v>
      </c>
      <c r="O2104" s="2" t="s">
        <v>4373</v>
      </c>
      <c r="P2104" s="2" t="s">
        <v>4375</v>
      </c>
    </row>
    <row r="2105" spans="1:16">
      <c r="A2105" s="4">
        <v>46244.859513888892</v>
      </c>
      <c r="B2105" s="2" t="s">
        <v>1038</v>
      </c>
      <c r="C2105" s="2" t="s">
        <v>1594</v>
      </c>
      <c r="D2105" s="2" t="s">
        <v>4151</v>
      </c>
      <c r="E2105" s="2">
        <v>80</v>
      </c>
      <c r="F2105" s="2"/>
      <c r="G2105" s="2">
        <v>80</v>
      </c>
      <c r="H2105" s="2" t="s">
        <v>2559</v>
      </c>
      <c r="I2105" s="2" t="s">
        <v>695</v>
      </c>
      <c r="J2105" s="2" t="s">
        <v>2537</v>
      </c>
      <c r="K2105" s="2" t="s">
        <v>1855</v>
      </c>
      <c r="L2105" s="2" t="s">
        <v>338</v>
      </c>
      <c r="M2105" s="2" t="str">
        <f t="shared" si="35"/>
        <v>11</v>
      </c>
      <c r="N2105" s="2" t="s">
        <v>2219</v>
      </c>
      <c r="O2105" s="2" t="s">
        <v>4373</v>
      </c>
      <c r="P2105" s="2" t="s">
        <v>4375</v>
      </c>
    </row>
    <row r="2106" spans="1:16">
      <c r="A2106" s="4">
        <v>46244.857499999998</v>
      </c>
      <c r="B2106" s="2" t="s">
        <v>1542</v>
      </c>
      <c r="C2106" s="2" t="s">
        <v>1594</v>
      </c>
      <c r="D2106" s="2" t="s">
        <v>4151</v>
      </c>
      <c r="E2106" s="2">
        <v>80</v>
      </c>
      <c r="F2106" s="2"/>
      <c r="G2106" s="2">
        <v>80</v>
      </c>
      <c r="H2106" s="2" t="s">
        <v>2559</v>
      </c>
      <c r="I2106" s="2" t="s">
        <v>695</v>
      </c>
      <c r="J2106" s="2" t="s">
        <v>2537</v>
      </c>
      <c r="K2106" s="2" t="s">
        <v>1855</v>
      </c>
      <c r="L2106" s="2" t="s">
        <v>338</v>
      </c>
      <c r="M2106" s="2" t="str">
        <f t="shared" si="35"/>
        <v>11</v>
      </c>
      <c r="N2106" s="2" t="s">
        <v>3488</v>
      </c>
      <c r="O2106" s="2" t="s">
        <v>4373</v>
      </c>
      <c r="P2106" s="2" t="s">
        <v>4375</v>
      </c>
    </row>
    <row r="2107" spans="1:16">
      <c r="A2107" s="4">
        <v>46244.85696759259</v>
      </c>
      <c r="B2107" s="2" t="s">
        <v>18</v>
      </c>
      <c r="C2107" s="2" t="s">
        <v>1594</v>
      </c>
      <c r="D2107" s="2" t="s">
        <v>4151</v>
      </c>
      <c r="E2107" s="2">
        <v>80</v>
      </c>
      <c r="F2107" s="2"/>
      <c r="G2107" s="2">
        <v>80</v>
      </c>
      <c r="H2107" s="2" t="s">
        <v>2559</v>
      </c>
      <c r="I2107" s="2" t="s">
        <v>695</v>
      </c>
      <c r="J2107" s="2" t="s">
        <v>2537</v>
      </c>
      <c r="K2107" s="2" t="s">
        <v>1855</v>
      </c>
      <c r="L2107" s="2" t="s">
        <v>338</v>
      </c>
      <c r="M2107" s="2" t="str">
        <f t="shared" si="35"/>
        <v>11</v>
      </c>
      <c r="N2107" s="2" t="s">
        <v>406</v>
      </c>
      <c r="O2107" s="2" t="s">
        <v>4373</v>
      </c>
      <c r="P2107" s="2" t="s">
        <v>4375</v>
      </c>
    </row>
    <row r="2108" spans="1:16">
      <c r="A2108" s="4">
        <v>46244.856689814813</v>
      </c>
      <c r="B2108" s="2" t="s">
        <v>154</v>
      </c>
      <c r="C2108" s="2" t="s">
        <v>1594</v>
      </c>
      <c r="D2108" s="2" t="s">
        <v>4151</v>
      </c>
      <c r="E2108" s="2">
        <v>80</v>
      </c>
      <c r="F2108" s="2"/>
      <c r="G2108" s="2">
        <v>80</v>
      </c>
      <c r="H2108" s="2" t="s">
        <v>2559</v>
      </c>
      <c r="I2108" s="2" t="s">
        <v>695</v>
      </c>
      <c r="J2108" s="2" t="s">
        <v>2537</v>
      </c>
      <c r="K2108" s="2" t="s">
        <v>1855</v>
      </c>
      <c r="L2108" s="2" t="s">
        <v>338</v>
      </c>
      <c r="M2108" s="2" t="str">
        <f t="shared" si="35"/>
        <v>11</v>
      </c>
      <c r="N2108" s="2" t="s">
        <v>2169</v>
      </c>
      <c r="O2108" s="2" t="s">
        <v>4373</v>
      </c>
      <c r="P2108" s="2" t="s">
        <v>4375</v>
      </c>
    </row>
    <row r="2109" spans="1:16">
      <c r="A2109" s="4">
        <v>46244.856678240743</v>
      </c>
      <c r="B2109" s="2" t="s">
        <v>1349</v>
      </c>
      <c r="C2109" s="2" t="s">
        <v>1594</v>
      </c>
      <c r="D2109" s="2" t="s">
        <v>4151</v>
      </c>
      <c r="E2109" s="2">
        <v>80</v>
      </c>
      <c r="F2109" s="2"/>
      <c r="G2109" s="2">
        <v>80</v>
      </c>
      <c r="H2109" s="2" t="s">
        <v>2559</v>
      </c>
      <c r="I2109" s="2" t="s">
        <v>695</v>
      </c>
      <c r="J2109" s="2" t="s">
        <v>2537</v>
      </c>
      <c r="K2109" s="2" t="s">
        <v>1855</v>
      </c>
      <c r="L2109" s="2" t="s">
        <v>338</v>
      </c>
      <c r="M2109" s="2" t="str">
        <f t="shared" si="35"/>
        <v>11</v>
      </c>
      <c r="N2109" s="2" t="s">
        <v>3703</v>
      </c>
      <c r="O2109" s="2" t="s">
        <v>4373</v>
      </c>
      <c r="P2109" s="2" t="s">
        <v>4375</v>
      </c>
    </row>
    <row r="2110" spans="1:16">
      <c r="A2110" s="4">
        <v>46244.856504629628</v>
      </c>
      <c r="B2110" s="2" t="s">
        <v>498</v>
      </c>
      <c r="C2110" s="2" t="s">
        <v>1594</v>
      </c>
      <c r="D2110" s="2" t="s">
        <v>4151</v>
      </c>
      <c r="E2110" s="2">
        <v>80</v>
      </c>
      <c r="F2110" s="2"/>
      <c r="G2110" s="2">
        <v>80</v>
      </c>
      <c r="H2110" s="2" t="s">
        <v>2559</v>
      </c>
      <c r="I2110" s="2" t="s">
        <v>695</v>
      </c>
      <c r="J2110" s="2" t="s">
        <v>2537</v>
      </c>
      <c r="K2110" s="2" t="s">
        <v>1855</v>
      </c>
      <c r="L2110" s="2" t="s">
        <v>338</v>
      </c>
      <c r="M2110" s="2" t="str">
        <f t="shared" si="35"/>
        <v>11</v>
      </c>
      <c r="N2110" s="2" t="s">
        <v>2525</v>
      </c>
      <c r="O2110" s="2" t="s">
        <v>4373</v>
      </c>
      <c r="P2110" s="2" t="s">
        <v>4375</v>
      </c>
    </row>
    <row r="2111" spans="1:16">
      <c r="A2111" s="4">
        <v>46244.855821759258</v>
      </c>
      <c r="B2111" s="2" t="s">
        <v>3586</v>
      </c>
      <c r="C2111" s="2" t="s">
        <v>1594</v>
      </c>
      <c r="D2111" s="2" t="s">
        <v>4151</v>
      </c>
      <c r="E2111" s="2">
        <v>80</v>
      </c>
      <c r="F2111" s="2"/>
      <c r="G2111" s="2">
        <v>80</v>
      </c>
      <c r="H2111" s="2" t="s">
        <v>2559</v>
      </c>
      <c r="I2111" s="2" t="s">
        <v>695</v>
      </c>
      <c r="J2111" s="2" t="s">
        <v>2537</v>
      </c>
      <c r="K2111" s="2" t="s">
        <v>1855</v>
      </c>
      <c r="L2111" s="2" t="s">
        <v>338</v>
      </c>
      <c r="M2111" s="2" t="str">
        <f t="shared" si="35"/>
        <v>11</v>
      </c>
      <c r="N2111" s="2" t="s">
        <v>1912</v>
      </c>
      <c r="O2111" s="2" t="s">
        <v>4373</v>
      </c>
      <c r="P2111" s="2" t="s">
        <v>4375</v>
      </c>
    </row>
    <row r="2112" spans="1:16">
      <c r="A2112" s="4">
        <v>46244.855694444443</v>
      </c>
      <c r="B2112" s="2" t="s">
        <v>2340</v>
      </c>
      <c r="C2112" s="2" t="s">
        <v>1594</v>
      </c>
      <c r="D2112" s="2" t="s">
        <v>4151</v>
      </c>
      <c r="E2112" s="2">
        <v>80</v>
      </c>
      <c r="F2112" s="2"/>
      <c r="G2112" s="2">
        <v>80</v>
      </c>
      <c r="H2112" s="2" t="s">
        <v>2559</v>
      </c>
      <c r="I2112" s="2" t="s">
        <v>695</v>
      </c>
      <c r="J2112" s="2" t="s">
        <v>2537</v>
      </c>
      <c r="K2112" s="2" t="s">
        <v>1855</v>
      </c>
      <c r="L2112" s="2" t="s">
        <v>338</v>
      </c>
      <c r="M2112" s="2" t="str">
        <f t="shared" si="35"/>
        <v>11</v>
      </c>
      <c r="N2112" s="2" t="s">
        <v>1104</v>
      </c>
      <c r="O2112" s="2" t="s">
        <v>4373</v>
      </c>
      <c r="P2112" s="2" t="s">
        <v>4375</v>
      </c>
    </row>
    <row r="2113" spans="1:16">
      <c r="A2113" s="4">
        <v>46244.855624999997</v>
      </c>
      <c r="B2113" s="2" t="s">
        <v>2373</v>
      </c>
      <c r="C2113" s="2" t="s">
        <v>1594</v>
      </c>
      <c r="D2113" s="2" t="s">
        <v>4151</v>
      </c>
      <c r="E2113" s="2">
        <v>80</v>
      </c>
      <c r="F2113" s="2"/>
      <c r="G2113" s="2">
        <v>80</v>
      </c>
      <c r="H2113" s="2" t="s">
        <v>2559</v>
      </c>
      <c r="I2113" s="2" t="s">
        <v>695</v>
      </c>
      <c r="J2113" s="2" t="s">
        <v>2537</v>
      </c>
      <c r="K2113" s="2" t="s">
        <v>1855</v>
      </c>
      <c r="L2113" s="2" t="s">
        <v>338</v>
      </c>
      <c r="M2113" s="2" t="str">
        <f t="shared" si="35"/>
        <v>11</v>
      </c>
      <c r="N2113" s="2" t="s">
        <v>1261</v>
      </c>
      <c r="O2113" s="2" t="s">
        <v>4373</v>
      </c>
      <c r="P2113" s="2" t="s">
        <v>4375</v>
      </c>
    </row>
    <row r="2114" spans="1:16">
      <c r="A2114" s="4">
        <v>46244.850416666668</v>
      </c>
      <c r="B2114" s="2" t="s">
        <v>662</v>
      </c>
      <c r="C2114" s="2" t="s">
        <v>1594</v>
      </c>
      <c r="D2114" s="2" t="s">
        <v>4151</v>
      </c>
      <c r="E2114" s="2">
        <v>80</v>
      </c>
      <c r="F2114" s="2"/>
      <c r="G2114" s="2">
        <v>80</v>
      </c>
      <c r="H2114" s="2" t="s">
        <v>2559</v>
      </c>
      <c r="I2114" s="2" t="s">
        <v>695</v>
      </c>
      <c r="J2114" s="2" t="s">
        <v>2537</v>
      </c>
      <c r="K2114" s="2" t="s">
        <v>1855</v>
      </c>
      <c r="L2114" s="2" t="s">
        <v>338</v>
      </c>
      <c r="M2114" s="2" t="str">
        <f t="shared" ref="M2114:M2177" si="36">RIGHT(L2114,2)</f>
        <v>11</v>
      </c>
      <c r="N2114" s="2" t="s">
        <v>951</v>
      </c>
      <c r="O2114" s="2" t="s">
        <v>4373</v>
      </c>
      <c r="P2114" s="2" t="s">
        <v>4375</v>
      </c>
    </row>
    <row r="2115" spans="1:16">
      <c r="A2115" s="4">
        <v>46244.850162037037</v>
      </c>
      <c r="B2115" s="2" t="s">
        <v>1641</v>
      </c>
      <c r="C2115" s="2" t="s">
        <v>1594</v>
      </c>
      <c r="D2115" s="2" t="s">
        <v>4151</v>
      </c>
      <c r="E2115" s="2">
        <v>80</v>
      </c>
      <c r="F2115" s="2"/>
      <c r="G2115" s="2">
        <v>80</v>
      </c>
      <c r="H2115" s="2" t="s">
        <v>2559</v>
      </c>
      <c r="I2115" s="2" t="s">
        <v>695</v>
      </c>
      <c r="J2115" s="2" t="s">
        <v>2537</v>
      </c>
      <c r="K2115" s="2" t="s">
        <v>1855</v>
      </c>
      <c r="L2115" s="2" t="s">
        <v>338</v>
      </c>
      <c r="M2115" s="2" t="str">
        <f t="shared" si="36"/>
        <v>11</v>
      </c>
      <c r="N2115" s="2" t="s">
        <v>2121</v>
      </c>
      <c r="O2115" s="2" t="s">
        <v>4373</v>
      </c>
      <c r="P2115" s="2" t="s">
        <v>4375</v>
      </c>
    </row>
    <row r="2116" spans="1:16">
      <c r="A2116" s="4">
        <v>46244.850081018521</v>
      </c>
      <c r="B2116" s="2" t="s">
        <v>2132</v>
      </c>
      <c r="C2116" s="2" t="s">
        <v>1594</v>
      </c>
      <c r="D2116" s="2" t="s">
        <v>4151</v>
      </c>
      <c r="E2116" s="2">
        <v>80</v>
      </c>
      <c r="F2116" s="2"/>
      <c r="G2116" s="2">
        <v>80</v>
      </c>
      <c r="H2116" s="2" t="s">
        <v>2559</v>
      </c>
      <c r="I2116" s="2" t="s">
        <v>695</v>
      </c>
      <c r="J2116" s="2" t="s">
        <v>2537</v>
      </c>
      <c r="K2116" s="2" t="s">
        <v>1855</v>
      </c>
      <c r="L2116" s="2" t="s">
        <v>338</v>
      </c>
      <c r="M2116" s="2" t="str">
        <f t="shared" si="36"/>
        <v>11</v>
      </c>
      <c r="N2116" s="2" t="s">
        <v>23</v>
      </c>
      <c r="O2116" s="2" t="s">
        <v>4373</v>
      </c>
      <c r="P2116" s="2" t="s">
        <v>4375</v>
      </c>
    </row>
    <row r="2117" spans="1:16">
      <c r="A2117" s="4">
        <v>46244.849733796298</v>
      </c>
      <c r="B2117" s="2" t="s">
        <v>1647</v>
      </c>
      <c r="C2117" s="2" t="s">
        <v>1594</v>
      </c>
      <c r="D2117" s="2" t="s">
        <v>4151</v>
      </c>
      <c r="E2117" s="2">
        <v>80</v>
      </c>
      <c r="F2117" s="2"/>
      <c r="G2117" s="2">
        <v>80</v>
      </c>
      <c r="H2117" s="2" t="s">
        <v>2559</v>
      </c>
      <c r="I2117" s="2" t="s">
        <v>695</v>
      </c>
      <c r="J2117" s="2" t="s">
        <v>2537</v>
      </c>
      <c r="K2117" s="2" t="s">
        <v>1855</v>
      </c>
      <c r="L2117" s="2" t="s">
        <v>338</v>
      </c>
      <c r="M2117" s="2" t="str">
        <f t="shared" si="36"/>
        <v>11</v>
      </c>
      <c r="N2117" s="2" t="s">
        <v>4048</v>
      </c>
      <c r="O2117" s="2" t="s">
        <v>4373</v>
      </c>
      <c r="P2117" s="2" t="s">
        <v>4375</v>
      </c>
    </row>
    <row r="2118" spans="1:16">
      <c r="A2118" s="4">
        <v>46244.849548611113</v>
      </c>
      <c r="B2118" s="2" t="s">
        <v>3669</v>
      </c>
      <c r="C2118" s="2" t="s">
        <v>1594</v>
      </c>
      <c r="D2118" s="2" t="s">
        <v>4151</v>
      </c>
      <c r="E2118" s="2">
        <v>80</v>
      </c>
      <c r="F2118" s="2"/>
      <c r="G2118" s="2">
        <v>80</v>
      </c>
      <c r="H2118" s="2" t="s">
        <v>2559</v>
      </c>
      <c r="I2118" s="2" t="s">
        <v>695</v>
      </c>
      <c r="J2118" s="2" t="s">
        <v>2537</v>
      </c>
      <c r="K2118" s="2" t="s">
        <v>1855</v>
      </c>
      <c r="L2118" s="2" t="s">
        <v>338</v>
      </c>
      <c r="M2118" s="2" t="str">
        <f t="shared" si="36"/>
        <v>11</v>
      </c>
      <c r="N2118" s="2" t="s">
        <v>3916</v>
      </c>
      <c r="O2118" s="2" t="s">
        <v>4373</v>
      </c>
      <c r="P2118" s="2" t="s">
        <v>4375</v>
      </c>
    </row>
    <row r="2119" spans="1:16">
      <c r="A2119" s="4">
        <v>46244.849490740744</v>
      </c>
      <c r="B2119" s="2" t="s">
        <v>1883</v>
      </c>
      <c r="C2119" s="2" t="s">
        <v>1594</v>
      </c>
      <c r="D2119" s="2" t="s">
        <v>4151</v>
      </c>
      <c r="E2119" s="2">
        <v>80</v>
      </c>
      <c r="F2119" s="2"/>
      <c r="G2119" s="2">
        <v>80</v>
      </c>
      <c r="H2119" s="2" t="s">
        <v>2559</v>
      </c>
      <c r="I2119" s="2" t="s">
        <v>695</v>
      </c>
      <c r="J2119" s="2" t="s">
        <v>2537</v>
      </c>
      <c r="K2119" s="2" t="s">
        <v>1855</v>
      </c>
      <c r="L2119" s="2" t="s">
        <v>338</v>
      </c>
      <c r="M2119" s="2" t="str">
        <f t="shared" si="36"/>
        <v>11</v>
      </c>
      <c r="N2119" s="2" t="s">
        <v>3274</v>
      </c>
      <c r="O2119" s="2" t="s">
        <v>4373</v>
      </c>
      <c r="P2119" s="2" t="s">
        <v>4375</v>
      </c>
    </row>
    <row r="2120" spans="1:16">
      <c r="A2120" s="4">
        <v>46244.452743055554</v>
      </c>
      <c r="B2120" s="2" t="s">
        <v>1623</v>
      </c>
      <c r="C2120" s="2" t="s">
        <v>1594</v>
      </c>
      <c r="D2120" s="2" t="s">
        <v>4151</v>
      </c>
      <c r="E2120" s="2">
        <v>80</v>
      </c>
      <c r="F2120" s="2"/>
      <c r="G2120" s="2">
        <v>80</v>
      </c>
      <c r="H2120" s="2" t="s">
        <v>2559</v>
      </c>
      <c r="I2120" s="2" t="s">
        <v>695</v>
      </c>
      <c r="J2120" s="2" t="s">
        <v>2537</v>
      </c>
      <c r="K2120" s="2" t="s">
        <v>1855</v>
      </c>
      <c r="L2120" s="2" t="s">
        <v>4344</v>
      </c>
      <c r="M2120" s="2" t="str">
        <f t="shared" si="36"/>
        <v>06</v>
      </c>
      <c r="N2120" s="2" t="s">
        <v>4020</v>
      </c>
      <c r="O2120" s="2" t="s">
        <v>4373</v>
      </c>
      <c r="P2120" s="2" t="s">
        <v>4375</v>
      </c>
    </row>
    <row r="2121" spans="1:16">
      <c r="A2121" s="4">
        <v>46244.452696759261</v>
      </c>
      <c r="B2121" s="2" t="s">
        <v>2212</v>
      </c>
      <c r="C2121" s="2" t="s">
        <v>1594</v>
      </c>
      <c r="D2121" s="2" t="s">
        <v>4151</v>
      </c>
      <c r="E2121" s="2">
        <v>80</v>
      </c>
      <c r="F2121" s="2"/>
      <c r="G2121" s="2">
        <v>80</v>
      </c>
      <c r="H2121" s="2" t="s">
        <v>2559</v>
      </c>
      <c r="I2121" s="2" t="s">
        <v>695</v>
      </c>
      <c r="J2121" s="2" t="s">
        <v>2537</v>
      </c>
      <c r="K2121" s="2" t="s">
        <v>1855</v>
      </c>
      <c r="L2121" s="2" t="s">
        <v>4344</v>
      </c>
      <c r="M2121" s="2" t="str">
        <f t="shared" si="36"/>
        <v>06</v>
      </c>
      <c r="N2121" s="2" t="s">
        <v>588</v>
      </c>
      <c r="O2121" s="2" t="s">
        <v>4373</v>
      </c>
      <c r="P2121" s="2" t="s">
        <v>4375</v>
      </c>
    </row>
    <row r="2122" spans="1:16">
      <c r="A2122" s="4">
        <v>46244.451516203706</v>
      </c>
      <c r="B2122" s="2" t="s">
        <v>1197</v>
      </c>
      <c r="C2122" s="2" t="s">
        <v>1594</v>
      </c>
      <c r="D2122" s="2" t="s">
        <v>4151</v>
      </c>
      <c r="E2122" s="2">
        <v>80</v>
      </c>
      <c r="F2122" s="2"/>
      <c r="G2122" s="2">
        <v>80</v>
      </c>
      <c r="H2122" s="2" t="s">
        <v>2559</v>
      </c>
      <c r="I2122" s="2" t="s">
        <v>695</v>
      </c>
      <c r="J2122" s="2" t="s">
        <v>2537</v>
      </c>
      <c r="K2122" s="2" t="s">
        <v>1855</v>
      </c>
      <c r="L2122" s="2" t="s">
        <v>4344</v>
      </c>
      <c r="M2122" s="2" t="str">
        <f t="shared" si="36"/>
        <v>06</v>
      </c>
      <c r="N2122" s="2" t="s">
        <v>3926</v>
      </c>
      <c r="O2122" s="2" t="s">
        <v>4373</v>
      </c>
      <c r="P2122" s="2" t="s">
        <v>4375</v>
      </c>
    </row>
    <row r="2123" spans="1:16">
      <c r="A2123" s="4">
        <v>46244.45107638889</v>
      </c>
      <c r="B2123" s="2" t="s">
        <v>2051</v>
      </c>
      <c r="C2123" s="2" t="s">
        <v>1594</v>
      </c>
      <c r="D2123" s="2" t="s">
        <v>4151</v>
      </c>
      <c r="E2123" s="2">
        <v>80</v>
      </c>
      <c r="F2123" s="2"/>
      <c r="G2123" s="2">
        <v>80</v>
      </c>
      <c r="H2123" s="2" t="s">
        <v>2559</v>
      </c>
      <c r="I2123" s="2" t="s">
        <v>695</v>
      </c>
      <c r="J2123" s="2" t="s">
        <v>2537</v>
      </c>
      <c r="K2123" s="2" t="s">
        <v>1855</v>
      </c>
      <c r="L2123" s="2" t="s">
        <v>4344</v>
      </c>
      <c r="M2123" s="2" t="str">
        <f t="shared" si="36"/>
        <v>06</v>
      </c>
      <c r="N2123" s="2" t="s">
        <v>116</v>
      </c>
      <c r="O2123" s="2" t="s">
        <v>4373</v>
      </c>
      <c r="P2123" s="2" t="s">
        <v>4375</v>
      </c>
    </row>
    <row r="2124" spans="1:16">
      <c r="A2124" s="4">
        <v>46244.450995370367</v>
      </c>
      <c r="B2124" s="2" t="s">
        <v>1320</v>
      </c>
      <c r="C2124" s="2" t="s">
        <v>1594</v>
      </c>
      <c r="D2124" s="2" t="s">
        <v>4151</v>
      </c>
      <c r="E2124" s="2">
        <v>80</v>
      </c>
      <c r="F2124" s="2"/>
      <c r="G2124" s="2">
        <v>80</v>
      </c>
      <c r="H2124" s="2" t="s">
        <v>2559</v>
      </c>
      <c r="I2124" s="2" t="s">
        <v>695</v>
      </c>
      <c r="J2124" s="2" t="s">
        <v>2537</v>
      </c>
      <c r="K2124" s="2" t="s">
        <v>1855</v>
      </c>
      <c r="L2124" s="2" t="s">
        <v>4344</v>
      </c>
      <c r="M2124" s="2" t="str">
        <f t="shared" si="36"/>
        <v>06</v>
      </c>
      <c r="N2124" s="2" t="s">
        <v>3240</v>
      </c>
      <c r="O2124" s="2" t="s">
        <v>4373</v>
      </c>
      <c r="P2124" s="2" t="s">
        <v>4375</v>
      </c>
    </row>
    <row r="2125" spans="1:16">
      <c r="A2125" s="4">
        <v>46244.450902777775</v>
      </c>
      <c r="B2125" s="2" t="s">
        <v>2863</v>
      </c>
      <c r="C2125" s="2" t="s">
        <v>1594</v>
      </c>
      <c r="D2125" s="2" t="s">
        <v>4151</v>
      </c>
      <c r="E2125" s="2">
        <v>80</v>
      </c>
      <c r="F2125" s="2"/>
      <c r="G2125" s="2">
        <v>80</v>
      </c>
      <c r="H2125" s="2" t="s">
        <v>2559</v>
      </c>
      <c r="I2125" s="2" t="s">
        <v>695</v>
      </c>
      <c r="J2125" s="2" t="s">
        <v>2537</v>
      </c>
      <c r="K2125" s="2" t="s">
        <v>1855</v>
      </c>
      <c r="L2125" s="2" t="s">
        <v>4344</v>
      </c>
      <c r="M2125" s="2" t="str">
        <f t="shared" si="36"/>
        <v>06</v>
      </c>
      <c r="N2125" s="2" t="s">
        <v>1791</v>
      </c>
      <c r="O2125" s="2" t="s">
        <v>4373</v>
      </c>
      <c r="P2125" s="2" t="s">
        <v>4375</v>
      </c>
    </row>
    <row r="2126" spans="1:16">
      <c r="A2126" s="4">
        <v>46244.45034722222</v>
      </c>
      <c r="B2126" s="2" t="s">
        <v>4050</v>
      </c>
      <c r="C2126" s="2" t="s">
        <v>1594</v>
      </c>
      <c r="D2126" s="2" t="s">
        <v>4151</v>
      </c>
      <c r="E2126" s="2">
        <v>80</v>
      </c>
      <c r="F2126" s="2"/>
      <c r="G2126" s="2">
        <v>80</v>
      </c>
      <c r="H2126" s="2" t="s">
        <v>2559</v>
      </c>
      <c r="I2126" s="2" t="s">
        <v>695</v>
      </c>
      <c r="J2126" s="2" t="s">
        <v>2537</v>
      </c>
      <c r="K2126" s="2" t="s">
        <v>1855</v>
      </c>
      <c r="L2126" s="2" t="s">
        <v>4344</v>
      </c>
      <c r="M2126" s="2" t="str">
        <f t="shared" si="36"/>
        <v>06</v>
      </c>
      <c r="N2126" s="2" t="s">
        <v>1805</v>
      </c>
      <c r="O2126" s="2" t="s">
        <v>4373</v>
      </c>
      <c r="P2126" s="2" t="s">
        <v>4375</v>
      </c>
    </row>
    <row r="2127" spans="1:16">
      <c r="A2127" s="4">
        <v>46244.450289351851</v>
      </c>
      <c r="B2127" s="2" t="s">
        <v>1093</v>
      </c>
      <c r="C2127" s="2" t="s">
        <v>1594</v>
      </c>
      <c r="D2127" s="2" t="s">
        <v>4151</v>
      </c>
      <c r="E2127" s="2">
        <v>80</v>
      </c>
      <c r="F2127" s="2"/>
      <c r="G2127" s="2">
        <v>80</v>
      </c>
      <c r="H2127" s="2" t="s">
        <v>2559</v>
      </c>
      <c r="I2127" s="2" t="s">
        <v>695</v>
      </c>
      <c r="J2127" s="2" t="s">
        <v>2537</v>
      </c>
      <c r="K2127" s="2" t="s">
        <v>1855</v>
      </c>
      <c r="L2127" s="2" t="s">
        <v>4344</v>
      </c>
      <c r="M2127" s="2" t="str">
        <f t="shared" si="36"/>
        <v>06</v>
      </c>
      <c r="N2127" s="2" t="s">
        <v>607</v>
      </c>
      <c r="O2127" s="2" t="s">
        <v>4373</v>
      </c>
      <c r="P2127" s="2" t="s">
        <v>4375</v>
      </c>
    </row>
    <row r="2128" spans="1:16">
      <c r="A2128" s="4">
        <v>46244.45</v>
      </c>
      <c r="B2128" s="2" t="s">
        <v>382</v>
      </c>
      <c r="C2128" s="2" t="s">
        <v>1594</v>
      </c>
      <c r="D2128" s="2" t="s">
        <v>4151</v>
      </c>
      <c r="E2128" s="2">
        <v>80</v>
      </c>
      <c r="F2128" s="2"/>
      <c r="G2128" s="2">
        <v>80</v>
      </c>
      <c r="H2128" s="2" t="s">
        <v>2559</v>
      </c>
      <c r="I2128" s="2" t="s">
        <v>695</v>
      </c>
      <c r="J2128" s="2" t="s">
        <v>2537</v>
      </c>
      <c r="K2128" s="2" t="s">
        <v>1855</v>
      </c>
      <c r="L2128" s="2" t="s">
        <v>4344</v>
      </c>
      <c r="M2128" s="2" t="str">
        <f t="shared" si="36"/>
        <v>06</v>
      </c>
      <c r="N2128" s="2" t="s">
        <v>136</v>
      </c>
      <c r="O2128" s="2" t="s">
        <v>4373</v>
      </c>
      <c r="P2128" s="2" t="s">
        <v>4375</v>
      </c>
    </row>
    <row r="2129" spans="1:16">
      <c r="A2129" s="4">
        <v>46244.449282407404</v>
      </c>
      <c r="B2129" s="2" t="s">
        <v>70</v>
      </c>
      <c r="C2129" s="2" t="s">
        <v>1594</v>
      </c>
      <c r="D2129" s="2" t="s">
        <v>4151</v>
      </c>
      <c r="E2129" s="2">
        <v>80</v>
      </c>
      <c r="F2129" s="2"/>
      <c r="G2129" s="2">
        <v>80</v>
      </c>
      <c r="H2129" s="2" t="s">
        <v>2559</v>
      </c>
      <c r="I2129" s="2" t="s">
        <v>695</v>
      </c>
      <c r="J2129" s="2" t="s">
        <v>2537</v>
      </c>
      <c r="K2129" s="2" t="s">
        <v>1855</v>
      </c>
      <c r="L2129" s="2" t="s">
        <v>4344</v>
      </c>
      <c r="M2129" s="2" t="str">
        <f t="shared" si="36"/>
        <v>06</v>
      </c>
      <c r="N2129" s="2" t="s">
        <v>2825</v>
      </c>
      <c r="O2129" s="2" t="s">
        <v>4373</v>
      </c>
      <c r="P2129" s="2" t="s">
        <v>4375</v>
      </c>
    </row>
    <row r="2130" spans="1:16">
      <c r="A2130" s="4">
        <v>46244.449097222219</v>
      </c>
      <c r="B2130" s="2" t="s">
        <v>3210</v>
      </c>
      <c r="C2130" s="2" t="s">
        <v>1594</v>
      </c>
      <c r="D2130" s="2" t="s">
        <v>4151</v>
      </c>
      <c r="E2130" s="2">
        <v>80</v>
      </c>
      <c r="F2130" s="2"/>
      <c r="G2130" s="2">
        <v>80</v>
      </c>
      <c r="H2130" s="2" t="s">
        <v>2559</v>
      </c>
      <c r="I2130" s="2" t="s">
        <v>695</v>
      </c>
      <c r="J2130" s="2" t="s">
        <v>2537</v>
      </c>
      <c r="K2130" s="2" t="s">
        <v>1855</v>
      </c>
      <c r="L2130" s="2" t="s">
        <v>4344</v>
      </c>
      <c r="M2130" s="2" t="str">
        <f t="shared" si="36"/>
        <v>06</v>
      </c>
      <c r="N2130" s="2" t="s">
        <v>2455</v>
      </c>
      <c r="O2130" s="2" t="s">
        <v>4373</v>
      </c>
      <c r="P2130" s="2" t="s">
        <v>4375</v>
      </c>
    </row>
    <row r="2131" spans="1:16">
      <c r="A2131" s="4">
        <v>46244.448449074072</v>
      </c>
      <c r="B2131" s="2" t="s">
        <v>1831</v>
      </c>
      <c r="C2131" s="2" t="s">
        <v>1594</v>
      </c>
      <c r="D2131" s="2" t="s">
        <v>4151</v>
      </c>
      <c r="E2131" s="2">
        <v>80</v>
      </c>
      <c r="F2131" s="2"/>
      <c r="G2131" s="2">
        <v>80</v>
      </c>
      <c r="H2131" s="2" t="s">
        <v>2559</v>
      </c>
      <c r="I2131" s="2" t="s">
        <v>695</v>
      </c>
      <c r="J2131" s="2" t="s">
        <v>2537</v>
      </c>
      <c r="K2131" s="2" t="s">
        <v>1855</v>
      </c>
      <c r="L2131" s="2" t="s">
        <v>4344</v>
      </c>
      <c r="M2131" s="2" t="str">
        <f t="shared" si="36"/>
        <v>06</v>
      </c>
      <c r="N2131" s="2" t="s">
        <v>1401</v>
      </c>
      <c r="O2131" s="2" t="s">
        <v>4373</v>
      </c>
      <c r="P2131" s="2" t="s">
        <v>4375</v>
      </c>
    </row>
    <row r="2132" spans="1:16">
      <c r="A2132" s="4">
        <v>46244.448437500003</v>
      </c>
      <c r="B2132" s="2" t="s">
        <v>1815</v>
      </c>
      <c r="C2132" s="2" t="s">
        <v>1594</v>
      </c>
      <c r="D2132" s="2" t="s">
        <v>4151</v>
      </c>
      <c r="E2132" s="2">
        <v>80</v>
      </c>
      <c r="F2132" s="2"/>
      <c r="G2132" s="2">
        <v>80</v>
      </c>
      <c r="H2132" s="2" t="s">
        <v>2559</v>
      </c>
      <c r="I2132" s="2" t="s">
        <v>695</v>
      </c>
      <c r="J2132" s="2" t="s">
        <v>2537</v>
      </c>
      <c r="K2132" s="2" t="s">
        <v>1855</v>
      </c>
      <c r="L2132" s="2" t="s">
        <v>4344</v>
      </c>
      <c r="M2132" s="2" t="str">
        <f t="shared" si="36"/>
        <v>06</v>
      </c>
      <c r="N2132" s="2" t="s">
        <v>2824</v>
      </c>
      <c r="O2132" s="2" t="s">
        <v>4373</v>
      </c>
      <c r="P2132" s="2" t="s">
        <v>4375</v>
      </c>
    </row>
    <row r="2133" spans="1:16">
      <c r="A2133" s="4">
        <v>46244.448321759257</v>
      </c>
      <c r="B2133" s="2" t="s">
        <v>1109</v>
      </c>
      <c r="C2133" s="2" t="s">
        <v>1594</v>
      </c>
      <c r="D2133" s="2" t="s">
        <v>4151</v>
      </c>
      <c r="E2133" s="2">
        <v>80</v>
      </c>
      <c r="F2133" s="2"/>
      <c r="G2133" s="2">
        <v>80</v>
      </c>
      <c r="H2133" s="2" t="s">
        <v>2559</v>
      </c>
      <c r="I2133" s="2" t="s">
        <v>695</v>
      </c>
      <c r="J2133" s="2" t="s">
        <v>2537</v>
      </c>
      <c r="K2133" s="2" t="s">
        <v>1855</v>
      </c>
      <c r="L2133" s="2" t="s">
        <v>4344</v>
      </c>
      <c r="M2133" s="2" t="str">
        <f t="shared" si="36"/>
        <v>06</v>
      </c>
      <c r="N2133" s="2" t="s">
        <v>4266</v>
      </c>
      <c r="O2133" s="2" t="s">
        <v>4373</v>
      </c>
      <c r="P2133" s="2" t="s">
        <v>4375</v>
      </c>
    </row>
    <row r="2134" spans="1:16">
      <c r="A2134" s="4">
        <v>46244.447129629632</v>
      </c>
      <c r="B2134" s="2" t="s">
        <v>471</v>
      </c>
      <c r="C2134" s="2" t="s">
        <v>1594</v>
      </c>
      <c r="D2134" s="2" t="s">
        <v>4151</v>
      </c>
      <c r="E2134" s="2">
        <v>80</v>
      </c>
      <c r="F2134" s="2"/>
      <c r="G2134" s="2">
        <v>80</v>
      </c>
      <c r="H2134" s="2" t="s">
        <v>2559</v>
      </c>
      <c r="I2134" s="2" t="s">
        <v>695</v>
      </c>
      <c r="J2134" s="2" t="s">
        <v>2537</v>
      </c>
      <c r="K2134" s="2" t="s">
        <v>1855</v>
      </c>
      <c r="L2134" s="2" t="s">
        <v>4344</v>
      </c>
      <c r="M2134" s="2" t="str">
        <f t="shared" si="36"/>
        <v>06</v>
      </c>
      <c r="N2134" s="2" t="s">
        <v>3645</v>
      </c>
      <c r="O2134" s="2" t="s">
        <v>4373</v>
      </c>
      <c r="P2134" s="2" t="s">
        <v>4375</v>
      </c>
    </row>
    <row r="2135" spans="1:16">
      <c r="A2135" s="4">
        <v>46244.446875000001</v>
      </c>
      <c r="B2135" s="2" t="s">
        <v>3055</v>
      </c>
      <c r="C2135" s="2" t="s">
        <v>1594</v>
      </c>
      <c r="D2135" s="2" t="s">
        <v>4151</v>
      </c>
      <c r="E2135" s="2">
        <v>80</v>
      </c>
      <c r="F2135" s="2"/>
      <c r="G2135" s="2">
        <v>80</v>
      </c>
      <c r="H2135" s="2" t="s">
        <v>2559</v>
      </c>
      <c r="I2135" s="2" t="s">
        <v>695</v>
      </c>
      <c r="J2135" s="2" t="s">
        <v>2537</v>
      </c>
      <c r="K2135" s="2" t="s">
        <v>1855</v>
      </c>
      <c r="L2135" s="2" t="s">
        <v>4344</v>
      </c>
      <c r="M2135" s="2" t="str">
        <f t="shared" si="36"/>
        <v>06</v>
      </c>
      <c r="N2135" s="2" t="s">
        <v>198</v>
      </c>
      <c r="O2135" s="2" t="s">
        <v>4373</v>
      </c>
      <c r="P2135" s="2" t="s">
        <v>4375</v>
      </c>
    </row>
    <row r="2136" spans="1:16">
      <c r="A2136" s="4">
        <v>46244.446666666663</v>
      </c>
      <c r="B2136" s="2" t="s">
        <v>178</v>
      </c>
      <c r="C2136" s="2" t="s">
        <v>1594</v>
      </c>
      <c r="D2136" s="2" t="s">
        <v>4151</v>
      </c>
      <c r="E2136" s="2">
        <v>80</v>
      </c>
      <c r="F2136" s="2"/>
      <c r="G2136" s="2">
        <v>80</v>
      </c>
      <c r="H2136" s="2" t="s">
        <v>2559</v>
      </c>
      <c r="I2136" s="2" t="s">
        <v>695</v>
      </c>
      <c r="J2136" s="2" t="s">
        <v>2537</v>
      </c>
      <c r="K2136" s="2" t="s">
        <v>1855</v>
      </c>
      <c r="L2136" s="2" t="s">
        <v>4344</v>
      </c>
      <c r="M2136" s="2" t="str">
        <f t="shared" si="36"/>
        <v>06</v>
      </c>
      <c r="N2136" s="2" t="s">
        <v>3687</v>
      </c>
      <c r="O2136" s="2" t="s">
        <v>4373</v>
      </c>
      <c r="P2136" s="2" t="s">
        <v>4375</v>
      </c>
    </row>
    <row r="2137" spans="1:16">
      <c r="A2137" s="4">
        <v>46244.446388888886</v>
      </c>
      <c r="B2137" s="2" t="s">
        <v>3666</v>
      </c>
      <c r="C2137" s="2" t="s">
        <v>1594</v>
      </c>
      <c r="D2137" s="2" t="s">
        <v>4151</v>
      </c>
      <c r="E2137" s="2">
        <v>80</v>
      </c>
      <c r="F2137" s="2"/>
      <c r="G2137" s="2">
        <v>80</v>
      </c>
      <c r="H2137" s="2" t="s">
        <v>2559</v>
      </c>
      <c r="I2137" s="2" t="s">
        <v>695</v>
      </c>
      <c r="J2137" s="2" t="s">
        <v>2537</v>
      </c>
      <c r="K2137" s="2" t="s">
        <v>1855</v>
      </c>
      <c r="L2137" s="2" t="s">
        <v>4344</v>
      </c>
      <c r="M2137" s="2" t="str">
        <f t="shared" si="36"/>
        <v>06</v>
      </c>
      <c r="N2137" s="2" t="s">
        <v>3108</v>
      </c>
      <c r="O2137" s="2" t="s">
        <v>4373</v>
      </c>
      <c r="P2137" s="2" t="s">
        <v>4375</v>
      </c>
    </row>
    <row r="2138" spans="1:16">
      <c r="A2138" s="4">
        <v>46244.446111111109</v>
      </c>
      <c r="B2138" s="2" t="s">
        <v>822</v>
      </c>
      <c r="C2138" s="2" t="s">
        <v>1594</v>
      </c>
      <c r="D2138" s="2" t="s">
        <v>4151</v>
      </c>
      <c r="E2138" s="2">
        <v>80</v>
      </c>
      <c r="F2138" s="2"/>
      <c r="G2138" s="2">
        <v>80</v>
      </c>
      <c r="H2138" s="2" t="s">
        <v>2559</v>
      </c>
      <c r="I2138" s="2" t="s">
        <v>695</v>
      </c>
      <c r="J2138" s="2" t="s">
        <v>2537</v>
      </c>
      <c r="K2138" s="2" t="s">
        <v>1855</v>
      </c>
      <c r="L2138" s="2" t="s">
        <v>4344</v>
      </c>
      <c r="M2138" s="2" t="str">
        <f t="shared" si="36"/>
        <v>06</v>
      </c>
      <c r="N2138" s="2" t="s">
        <v>1443</v>
      </c>
      <c r="O2138" s="2" t="s">
        <v>4373</v>
      </c>
      <c r="P2138" s="2" t="s">
        <v>4375</v>
      </c>
    </row>
    <row r="2139" spans="1:16">
      <c r="A2139" s="4">
        <v>46244.445983796293</v>
      </c>
      <c r="B2139" s="2" t="s">
        <v>2261</v>
      </c>
      <c r="C2139" s="2" t="s">
        <v>1594</v>
      </c>
      <c r="D2139" s="2" t="s">
        <v>4151</v>
      </c>
      <c r="E2139" s="2">
        <v>80</v>
      </c>
      <c r="F2139" s="2"/>
      <c r="G2139" s="2">
        <v>80</v>
      </c>
      <c r="H2139" s="2" t="s">
        <v>2559</v>
      </c>
      <c r="I2139" s="2" t="s">
        <v>695</v>
      </c>
      <c r="J2139" s="2" t="s">
        <v>2537</v>
      </c>
      <c r="K2139" s="2" t="s">
        <v>1855</v>
      </c>
      <c r="L2139" s="2" t="s">
        <v>4344</v>
      </c>
      <c r="M2139" s="2" t="str">
        <f t="shared" si="36"/>
        <v>06</v>
      </c>
      <c r="N2139" s="2" t="s">
        <v>2851</v>
      </c>
      <c r="O2139" s="2" t="s">
        <v>4373</v>
      </c>
      <c r="P2139" s="2" t="s">
        <v>4375</v>
      </c>
    </row>
    <row r="2140" spans="1:16">
      <c r="A2140" s="4">
        <v>46244.445798611108</v>
      </c>
      <c r="B2140" s="2" t="s">
        <v>944</v>
      </c>
      <c r="C2140" s="2" t="s">
        <v>1594</v>
      </c>
      <c r="D2140" s="2" t="s">
        <v>4151</v>
      </c>
      <c r="E2140" s="2">
        <v>80</v>
      </c>
      <c r="F2140" s="2"/>
      <c r="G2140" s="2">
        <v>80</v>
      </c>
      <c r="H2140" s="2" t="s">
        <v>2559</v>
      </c>
      <c r="I2140" s="2" t="s">
        <v>695</v>
      </c>
      <c r="J2140" s="2" t="s">
        <v>2537</v>
      </c>
      <c r="K2140" s="2" t="s">
        <v>1855</v>
      </c>
      <c r="L2140" s="2" t="s">
        <v>4344</v>
      </c>
      <c r="M2140" s="2" t="str">
        <f t="shared" si="36"/>
        <v>06</v>
      </c>
      <c r="N2140" s="2" t="s">
        <v>1501</v>
      </c>
      <c r="O2140" s="2" t="s">
        <v>4373</v>
      </c>
      <c r="P2140" s="2" t="s">
        <v>4375</v>
      </c>
    </row>
    <row r="2141" spans="1:16">
      <c r="A2141" s="4">
        <v>46244.445150462961</v>
      </c>
      <c r="B2141" s="2" t="s">
        <v>999</v>
      </c>
      <c r="C2141" s="2" t="s">
        <v>1594</v>
      </c>
      <c r="D2141" s="2" t="s">
        <v>4151</v>
      </c>
      <c r="E2141" s="2">
        <v>80</v>
      </c>
      <c r="F2141" s="2"/>
      <c r="G2141" s="2">
        <v>80</v>
      </c>
      <c r="H2141" s="2" t="s">
        <v>2559</v>
      </c>
      <c r="I2141" s="2" t="s">
        <v>695</v>
      </c>
      <c r="J2141" s="2" t="s">
        <v>2537</v>
      </c>
      <c r="K2141" s="2" t="s">
        <v>1855</v>
      </c>
      <c r="L2141" s="2" t="s">
        <v>4344</v>
      </c>
      <c r="M2141" s="2" t="str">
        <f t="shared" si="36"/>
        <v>06</v>
      </c>
      <c r="N2141" s="2" t="s">
        <v>1438</v>
      </c>
      <c r="O2141" s="2" t="s">
        <v>4373</v>
      </c>
      <c r="P2141" s="2" t="s">
        <v>4375</v>
      </c>
    </row>
    <row r="2142" spans="1:16">
      <c r="A2142" s="4">
        <v>46244.444988425923</v>
      </c>
      <c r="B2142" s="2" t="s">
        <v>2409</v>
      </c>
      <c r="C2142" s="2" t="s">
        <v>1594</v>
      </c>
      <c r="D2142" s="2" t="s">
        <v>4151</v>
      </c>
      <c r="E2142" s="2">
        <v>80</v>
      </c>
      <c r="F2142" s="2"/>
      <c r="G2142" s="2">
        <v>80</v>
      </c>
      <c r="H2142" s="2" t="s">
        <v>2559</v>
      </c>
      <c r="I2142" s="2" t="s">
        <v>695</v>
      </c>
      <c r="J2142" s="2" t="s">
        <v>2537</v>
      </c>
      <c r="K2142" s="2" t="s">
        <v>1855</v>
      </c>
      <c r="L2142" s="2" t="s">
        <v>4344</v>
      </c>
      <c r="M2142" s="2" t="str">
        <f t="shared" si="36"/>
        <v>06</v>
      </c>
      <c r="N2142" s="2" t="s">
        <v>3098</v>
      </c>
      <c r="O2142" s="2" t="s">
        <v>4373</v>
      </c>
      <c r="P2142" s="2" t="s">
        <v>4375</v>
      </c>
    </row>
    <row r="2143" spans="1:16">
      <c r="A2143" s="4">
        <v>46244.444618055553</v>
      </c>
      <c r="B2143" s="2" t="s">
        <v>922</v>
      </c>
      <c r="C2143" s="2" t="s">
        <v>1594</v>
      </c>
      <c r="D2143" s="2" t="s">
        <v>4151</v>
      </c>
      <c r="E2143" s="2">
        <v>80</v>
      </c>
      <c r="F2143" s="2"/>
      <c r="G2143" s="2">
        <v>80</v>
      </c>
      <c r="H2143" s="2" t="s">
        <v>2559</v>
      </c>
      <c r="I2143" s="2" t="s">
        <v>695</v>
      </c>
      <c r="J2143" s="2" t="s">
        <v>2537</v>
      </c>
      <c r="K2143" s="2" t="s">
        <v>1855</v>
      </c>
      <c r="L2143" s="2" t="s">
        <v>4344</v>
      </c>
      <c r="M2143" s="2" t="str">
        <f t="shared" si="36"/>
        <v>06</v>
      </c>
      <c r="N2143" s="2" t="s">
        <v>1502</v>
      </c>
      <c r="O2143" s="2" t="s">
        <v>4373</v>
      </c>
      <c r="P2143" s="2" t="s">
        <v>4375</v>
      </c>
    </row>
    <row r="2144" spans="1:16">
      <c r="A2144" s="4">
        <v>46244.444305555553</v>
      </c>
      <c r="B2144" s="2" t="s">
        <v>1489</v>
      </c>
      <c r="C2144" s="2" t="s">
        <v>1594</v>
      </c>
      <c r="D2144" s="2" t="s">
        <v>4151</v>
      </c>
      <c r="E2144" s="2">
        <v>80</v>
      </c>
      <c r="F2144" s="2"/>
      <c r="G2144" s="2">
        <v>80</v>
      </c>
      <c r="H2144" s="2" t="s">
        <v>2559</v>
      </c>
      <c r="I2144" s="2" t="s">
        <v>695</v>
      </c>
      <c r="J2144" s="2" t="s">
        <v>2537</v>
      </c>
      <c r="K2144" s="2" t="s">
        <v>1855</v>
      </c>
      <c r="L2144" s="2" t="s">
        <v>4344</v>
      </c>
      <c r="M2144" s="2" t="str">
        <f t="shared" si="36"/>
        <v>06</v>
      </c>
      <c r="N2144" s="2" t="s">
        <v>3479</v>
      </c>
      <c r="O2144" s="2" t="s">
        <v>4373</v>
      </c>
      <c r="P2144" s="2" t="s">
        <v>4375</v>
      </c>
    </row>
    <row r="2145" spans="1:16">
      <c r="A2145" s="4">
        <v>46244.444039351853</v>
      </c>
      <c r="B2145" s="2" t="s">
        <v>3468</v>
      </c>
      <c r="C2145" s="2" t="s">
        <v>1594</v>
      </c>
      <c r="D2145" s="2" t="s">
        <v>4151</v>
      </c>
      <c r="E2145" s="2">
        <v>80</v>
      </c>
      <c r="F2145" s="2"/>
      <c r="G2145" s="2">
        <v>80</v>
      </c>
      <c r="H2145" s="2" t="s">
        <v>2559</v>
      </c>
      <c r="I2145" s="2" t="s">
        <v>695</v>
      </c>
      <c r="J2145" s="2" t="s">
        <v>2537</v>
      </c>
      <c r="K2145" s="2" t="s">
        <v>1855</v>
      </c>
      <c r="L2145" s="2" t="s">
        <v>4344</v>
      </c>
      <c r="M2145" s="2" t="str">
        <f t="shared" si="36"/>
        <v>06</v>
      </c>
      <c r="N2145" s="2" t="s">
        <v>3649</v>
      </c>
      <c r="O2145" s="2" t="s">
        <v>4373</v>
      </c>
      <c r="P2145" s="2" t="s">
        <v>4375</v>
      </c>
    </row>
    <row r="2146" spans="1:16">
      <c r="A2146" s="4">
        <v>46244.44263888889</v>
      </c>
      <c r="B2146" s="2" t="s">
        <v>4270</v>
      </c>
      <c r="C2146" s="2" t="s">
        <v>1594</v>
      </c>
      <c r="D2146" s="2" t="s">
        <v>4151</v>
      </c>
      <c r="E2146" s="2">
        <v>80</v>
      </c>
      <c r="F2146" s="2"/>
      <c r="G2146" s="2">
        <v>80</v>
      </c>
      <c r="H2146" s="2" t="s">
        <v>2559</v>
      </c>
      <c r="I2146" s="2" t="s">
        <v>695</v>
      </c>
      <c r="J2146" s="2" t="s">
        <v>2537</v>
      </c>
      <c r="K2146" s="2" t="s">
        <v>1855</v>
      </c>
      <c r="L2146" s="2" t="s">
        <v>4344</v>
      </c>
      <c r="M2146" s="2" t="str">
        <f t="shared" si="36"/>
        <v>06</v>
      </c>
      <c r="N2146" s="2" t="s">
        <v>2613</v>
      </c>
      <c r="O2146" s="2" t="s">
        <v>4373</v>
      </c>
      <c r="P2146" s="2" t="s">
        <v>4375</v>
      </c>
    </row>
    <row r="2147" spans="1:16">
      <c r="A2147" s="4">
        <v>46244.442372685182</v>
      </c>
      <c r="B2147" s="2" t="s">
        <v>4236</v>
      </c>
      <c r="C2147" s="2" t="s">
        <v>1594</v>
      </c>
      <c r="D2147" s="2" t="s">
        <v>4151</v>
      </c>
      <c r="E2147" s="2">
        <v>80</v>
      </c>
      <c r="F2147" s="2"/>
      <c r="G2147" s="2">
        <v>80</v>
      </c>
      <c r="H2147" s="2" t="s">
        <v>2559</v>
      </c>
      <c r="I2147" s="2" t="s">
        <v>695</v>
      </c>
      <c r="J2147" s="2" t="s">
        <v>2537</v>
      </c>
      <c r="K2147" s="2" t="s">
        <v>1855</v>
      </c>
      <c r="L2147" s="2" t="s">
        <v>4344</v>
      </c>
      <c r="M2147" s="2" t="str">
        <f t="shared" si="36"/>
        <v>06</v>
      </c>
      <c r="N2147" s="2" t="s">
        <v>3290</v>
      </c>
      <c r="O2147" s="2" t="s">
        <v>4373</v>
      </c>
      <c r="P2147" s="2" t="s">
        <v>4375</v>
      </c>
    </row>
    <row r="2148" spans="1:16">
      <c r="A2148" s="4">
        <v>46244.442361111112</v>
      </c>
      <c r="B2148" s="2" t="s">
        <v>3212</v>
      </c>
      <c r="C2148" s="2" t="s">
        <v>1594</v>
      </c>
      <c r="D2148" s="2" t="s">
        <v>4151</v>
      </c>
      <c r="E2148" s="2">
        <v>80</v>
      </c>
      <c r="F2148" s="2"/>
      <c r="G2148" s="2">
        <v>80</v>
      </c>
      <c r="H2148" s="2" t="s">
        <v>2559</v>
      </c>
      <c r="I2148" s="2" t="s">
        <v>695</v>
      </c>
      <c r="J2148" s="2" t="s">
        <v>2537</v>
      </c>
      <c r="K2148" s="2" t="s">
        <v>1855</v>
      </c>
      <c r="L2148" s="2" t="s">
        <v>4344</v>
      </c>
      <c r="M2148" s="2" t="str">
        <f t="shared" si="36"/>
        <v>06</v>
      </c>
      <c r="N2148" s="2" t="s">
        <v>952</v>
      </c>
      <c r="O2148" s="2" t="s">
        <v>4373</v>
      </c>
      <c r="P2148" s="2" t="s">
        <v>4375</v>
      </c>
    </row>
    <row r="2149" spans="1:16">
      <c r="A2149" s="4">
        <v>46244.442118055558</v>
      </c>
      <c r="B2149" s="2" t="s">
        <v>2950</v>
      </c>
      <c r="C2149" s="2" t="s">
        <v>1594</v>
      </c>
      <c r="D2149" s="2" t="s">
        <v>4151</v>
      </c>
      <c r="E2149" s="2">
        <v>80</v>
      </c>
      <c r="F2149" s="2"/>
      <c r="G2149" s="2">
        <v>80</v>
      </c>
      <c r="H2149" s="2" t="s">
        <v>2559</v>
      </c>
      <c r="I2149" s="2" t="s">
        <v>695</v>
      </c>
      <c r="J2149" s="2" t="s">
        <v>2537</v>
      </c>
      <c r="K2149" s="2" t="s">
        <v>1855</v>
      </c>
      <c r="L2149" s="2" t="s">
        <v>4344</v>
      </c>
      <c r="M2149" s="2" t="str">
        <f t="shared" si="36"/>
        <v>06</v>
      </c>
      <c r="N2149" s="2" t="s">
        <v>172</v>
      </c>
      <c r="O2149" s="2" t="s">
        <v>4373</v>
      </c>
      <c r="P2149" s="2" t="s">
        <v>4375</v>
      </c>
    </row>
    <row r="2150" spans="1:16">
      <c r="A2150" s="4">
        <v>46244.441701388889</v>
      </c>
      <c r="B2150" s="2" t="s">
        <v>2099</v>
      </c>
      <c r="C2150" s="2" t="s">
        <v>1594</v>
      </c>
      <c r="D2150" s="2" t="s">
        <v>4151</v>
      </c>
      <c r="E2150" s="2">
        <v>80</v>
      </c>
      <c r="F2150" s="2"/>
      <c r="G2150" s="2">
        <v>80</v>
      </c>
      <c r="H2150" s="2" t="s">
        <v>2559</v>
      </c>
      <c r="I2150" s="2" t="s">
        <v>695</v>
      </c>
      <c r="J2150" s="2" t="s">
        <v>2537</v>
      </c>
      <c r="K2150" s="2" t="s">
        <v>1855</v>
      </c>
      <c r="L2150" s="2" t="s">
        <v>4344</v>
      </c>
      <c r="M2150" s="2" t="str">
        <f t="shared" si="36"/>
        <v>06</v>
      </c>
      <c r="N2150" s="2" t="s">
        <v>1223</v>
      </c>
      <c r="O2150" s="2" t="s">
        <v>4373</v>
      </c>
      <c r="P2150" s="2" t="s">
        <v>4375</v>
      </c>
    </row>
    <row r="2151" spans="1:16">
      <c r="A2151" s="4">
        <v>46244.441562499997</v>
      </c>
      <c r="B2151" s="2" t="s">
        <v>197</v>
      </c>
      <c r="C2151" s="2" t="s">
        <v>1594</v>
      </c>
      <c r="D2151" s="2" t="s">
        <v>4151</v>
      </c>
      <c r="E2151" s="2">
        <v>80</v>
      </c>
      <c r="F2151" s="2"/>
      <c r="G2151" s="2">
        <v>80</v>
      </c>
      <c r="H2151" s="2" t="s">
        <v>2559</v>
      </c>
      <c r="I2151" s="2" t="s">
        <v>695</v>
      </c>
      <c r="J2151" s="2" t="s">
        <v>2537</v>
      </c>
      <c r="K2151" s="2" t="s">
        <v>1855</v>
      </c>
      <c r="L2151" s="2" t="s">
        <v>4344</v>
      </c>
      <c r="M2151" s="2" t="str">
        <f t="shared" si="36"/>
        <v>06</v>
      </c>
      <c r="N2151" s="2" t="s">
        <v>4282</v>
      </c>
      <c r="O2151" s="2" t="s">
        <v>4373</v>
      </c>
      <c r="P2151" s="2" t="s">
        <v>4375</v>
      </c>
    </row>
    <row r="2152" spans="1:16">
      <c r="A2152" s="4">
        <v>46248.778599537036</v>
      </c>
      <c r="B2152" s="2" t="s">
        <v>3205</v>
      </c>
      <c r="C2152" s="2" t="s">
        <v>1135</v>
      </c>
      <c r="D2152" s="2" t="s">
        <v>496</v>
      </c>
      <c r="E2152" s="2">
        <v>80</v>
      </c>
      <c r="F2152" s="2"/>
      <c r="G2152" s="2">
        <v>80</v>
      </c>
      <c r="H2152" s="2" t="s">
        <v>935</v>
      </c>
      <c r="I2152" s="2" t="s">
        <v>695</v>
      </c>
      <c r="J2152" s="2" t="s">
        <v>2537</v>
      </c>
      <c r="K2152" s="2" t="s">
        <v>1855</v>
      </c>
      <c r="L2152" s="2" t="s">
        <v>4344</v>
      </c>
      <c r="M2152" s="2" t="str">
        <f t="shared" si="36"/>
        <v>06</v>
      </c>
      <c r="N2152" s="2" t="s">
        <v>2899</v>
      </c>
      <c r="O2152" s="2" t="s">
        <v>4373</v>
      </c>
      <c r="P2152" s="2" t="s">
        <v>4379</v>
      </c>
    </row>
    <row r="2153" spans="1:16">
      <c r="A2153" s="4">
        <v>46248.77847222222</v>
      </c>
      <c r="B2153" s="2" t="s">
        <v>44</v>
      </c>
      <c r="C2153" s="2" t="s">
        <v>1135</v>
      </c>
      <c r="D2153" s="2" t="s">
        <v>496</v>
      </c>
      <c r="E2153" s="2">
        <v>80</v>
      </c>
      <c r="F2153" s="2"/>
      <c r="G2153" s="2">
        <v>80</v>
      </c>
      <c r="H2153" s="2" t="s">
        <v>935</v>
      </c>
      <c r="I2153" s="2" t="s">
        <v>695</v>
      </c>
      <c r="J2153" s="2" t="s">
        <v>2537</v>
      </c>
      <c r="K2153" s="2" t="s">
        <v>1855</v>
      </c>
      <c r="L2153" s="2" t="s">
        <v>4344</v>
      </c>
      <c r="M2153" s="2" t="str">
        <f t="shared" si="36"/>
        <v>06</v>
      </c>
      <c r="N2153" s="2" t="s">
        <v>1125</v>
      </c>
      <c r="O2153" s="2" t="s">
        <v>4373</v>
      </c>
      <c r="P2153" s="2" t="s">
        <v>4379</v>
      </c>
    </row>
    <row r="2154" spans="1:16">
      <c r="A2154" s="4">
        <v>46248.777037037034</v>
      </c>
      <c r="B2154" s="2" t="s">
        <v>2979</v>
      </c>
      <c r="C2154" s="2" t="s">
        <v>1135</v>
      </c>
      <c r="D2154" s="2" t="s">
        <v>496</v>
      </c>
      <c r="E2154" s="2">
        <v>80</v>
      </c>
      <c r="F2154" s="2"/>
      <c r="G2154" s="2">
        <v>80</v>
      </c>
      <c r="H2154" s="2" t="s">
        <v>935</v>
      </c>
      <c r="I2154" s="2" t="s">
        <v>695</v>
      </c>
      <c r="J2154" s="2" t="s">
        <v>2537</v>
      </c>
      <c r="K2154" s="2" t="s">
        <v>1855</v>
      </c>
      <c r="L2154" s="2" t="s">
        <v>4344</v>
      </c>
      <c r="M2154" s="2" t="str">
        <f t="shared" si="36"/>
        <v>06</v>
      </c>
      <c r="N2154" s="2" t="s">
        <v>2301</v>
      </c>
      <c r="O2154" s="2" t="s">
        <v>4373</v>
      </c>
      <c r="P2154" s="2" t="s">
        <v>4379</v>
      </c>
    </row>
    <row r="2155" spans="1:16">
      <c r="A2155" s="4">
        <v>46248.777025462965</v>
      </c>
      <c r="B2155" s="2" t="s">
        <v>1962</v>
      </c>
      <c r="C2155" s="2" t="s">
        <v>1135</v>
      </c>
      <c r="D2155" s="2" t="s">
        <v>496</v>
      </c>
      <c r="E2155" s="2">
        <v>80</v>
      </c>
      <c r="F2155" s="2"/>
      <c r="G2155" s="2">
        <v>80</v>
      </c>
      <c r="H2155" s="2" t="s">
        <v>935</v>
      </c>
      <c r="I2155" s="2" t="s">
        <v>695</v>
      </c>
      <c r="J2155" s="2" t="s">
        <v>2537</v>
      </c>
      <c r="K2155" s="2" t="s">
        <v>1855</v>
      </c>
      <c r="L2155" s="2" t="s">
        <v>4344</v>
      </c>
      <c r="M2155" s="2" t="str">
        <f t="shared" si="36"/>
        <v>06</v>
      </c>
      <c r="N2155" s="2" t="s">
        <v>2588</v>
      </c>
      <c r="O2155" s="2" t="s">
        <v>4373</v>
      </c>
      <c r="P2155" s="2" t="s">
        <v>4379</v>
      </c>
    </row>
    <row r="2156" spans="1:16">
      <c r="A2156" s="4">
        <v>46248.775567129633</v>
      </c>
      <c r="B2156" s="2" t="s">
        <v>1388</v>
      </c>
      <c r="C2156" s="2" t="s">
        <v>1135</v>
      </c>
      <c r="D2156" s="2" t="s">
        <v>496</v>
      </c>
      <c r="E2156" s="2">
        <v>80</v>
      </c>
      <c r="F2156" s="2"/>
      <c r="G2156" s="2">
        <v>80</v>
      </c>
      <c r="H2156" s="2" t="s">
        <v>935</v>
      </c>
      <c r="I2156" s="2" t="s">
        <v>695</v>
      </c>
      <c r="J2156" s="2" t="s">
        <v>2537</v>
      </c>
      <c r="K2156" s="2" t="s">
        <v>1855</v>
      </c>
      <c r="L2156" s="2" t="s">
        <v>4344</v>
      </c>
      <c r="M2156" s="2" t="str">
        <f t="shared" si="36"/>
        <v>06</v>
      </c>
      <c r="N2156" s="2" t="s">
        <v>1969</v>
      </c>
      <c r="O2156" s="2" t="s">
        <v>4373</v>
      </c>
      <c r="P2156" s="2" t="s">
        <v>4379</v>
      </c>
    </row>
    <row r="2157" spans="1:16">
      <c r="A2157" s="4">
        <v>46248.77553240741</v>
      </c>
      <c r="B2157" s="2" t="s">
        <v>684</v>
      </c>
      <c r="C2157" s="2" t="s">
        <v>1135</v>
      </c>
      <c r="D2157" s="2" t="s">
        <v>496</v>
      </c>
      <c r="E2157" s="2">
        <v>80</v>
      </c>
      <c r="F2157" s="2"/>
      <c r="G2157" s="2">
        <v>80</v>
      </c>
      <c r="H2157" s="2" t="s">
        <v>935</v>
      </c>
      <c r="I2157" s="2" t="s">
        <v>695</v>
      </c>
      <c r="J2157" s="2" t="s">
        <v>2537</v>
      </c>
      <c r="K2157" s="2" t="s">
        <v>1855</v>
      </c>
      <c r="L2157" s="2" t="s">
        <v>4344</v>
      </c>
      <c r="M2157" s="2" t="str">
        <f t="shared" si="36"/>
        <v>06</v>
      </c>
      <c r="N2157" s="2" t="s">
        <v>3795</v>
      </c>
      <c r="O2157" s="2" t="s">
        <v>4373</v>
      </c>
      <c r="P2157" s="2" t="s">
        <v>4379</v>
      </c>
    </row>
    <row r="2158" spans="1:16">
      <c r="A2158" s="4">
        <v>46248.773252314815</v>
      </c>
      <c r="B2158" s="2" t="s">
        <v>4155</v>
      </c>
      <c r="C2158" s="2" t="s">
        <v>1135</v>
      </c>
      <c r="D2158" s="2" t="s">
        <v>496</v>
      </c>
      <c r="E2158" s="2">
        <v>80</v>
      </c>
      <c r="F2158" s="2"/>
      <c r="G2158" s="2">
        <v>80</v>
      </c>
      <c r="H2158" s="2" t="s">
        <v>935</v>
      </c>
      <c r="I2158" s="2" t="s">
        <v>695</v>
      </c>
      <c r="J2158" s="2" t="s">
        <v>2537</v>
      </c>
      <c r="K2158" s="2" t="s">
        <v>1855</v>
      </c>
      <c r="L2158" s="2" t="s">
        <v>4344</v>
      </c>
      <c r="M2158" s="2" t="str">
        <f t="shared" si="36"/>
        <v>06</v>
      </c>
      <c r="N2158" s="2" t="s">
        <v>2214</v>
      </c>
      <c r="O2158" s="2" t="s">
        <v>4373</v>
      </c>
      <c r="P2158" s="2" t="s">
        <v>4379</v>
      </c>
    </row>
    <row r="2159" spans="1:16">
      <c r="A2159" s="4">
        <v>46248.772893518515</v>
      </c>
      <c r="B2159" s="2" t="s">
        <v>2672</v>
      </c>
      <c r="C2159" s="2" t="s">
        <v>1135</v>
      </c>
      <c r="D2159" s="2" t="s">
        <v>496</v>
      </c>
      <c r="E2159" s="2">
        <v>80</v>
      </c>
      <c r="F2159" s="2"/>
      <c r="G2159" s="2">
        <v>80</v>
      </c>
      <c r="H2159" s="2" t="s">
        <v>935</v>
      </c>
      <c r="I2159" s="2" t="s">
        <v>695</v>
      </c>
      <c r="J2159" s="2" t="s">
        <v>2537</v>
      </c>
      <c r="K2159" s="2" t="s">
        <v>1855</v>
      </c>
      <c r="L2159" s="2" t="s">
        <v>4344</v>
      </c>
      <c r="M2159" s="2" t="str">
        <f t="shared" si="36"/>
        <v>06</v>
      </c>
      <c r="N2159" s="2" t="s">
        <v>4351</v>
      </c>
      <c r="O2159" s="2" t="s">
        <v>4373</v>
      </c>
      <c r="P2159" s="2" t="s">
        <v>4379</v>
      </c>
    </row>
    <row r="2160" spans="1:16">
      <c r="A2160" s="4">
        <v>46248.77134259259</v>
      </c>
      <c r="B2160" s="2" t="s">
        <v>399</v>
      </c>
      <c r="C2160" s="2" t="s">
        <v>1135</v>
      </c>
      <c r="D2160" s="2" t="s">
        <v>496</v>
      </c>
      <c r="E2160" s="2">
        <v>80</v>
      </c>
      <c r="F2160" s="2"/>
      <c r="G2160" s="2">
        <v>80</v>
      </c>
      <c r="H2160" s="2" t="s">
        <v>935</v>
      </c>
      <c r="I2160" s="2" t="s">
        <v>695</v>
      </c>
      <c r="J2160" s="2" t="s">
        <v>2537</v>
      </c>
      <c r="K2160" s="2" t="s">
        <v>1855</v>
      </c>
      <c r="L2160" s="2" t="s">
        <v>4344</v>
      </c>
      <c r="M2160" s="2" t="str">
        <f t="shared" si="36"/>
        <v>06</v>
      </c>
      <c r="N2160" s="2" t="s">
        <v>673</v>
      </c>
      <c r="O2160" s="2" t="s">
        <v>4373</v>
      </c>
      <c r="P2160" s="2" t="s">
        <v>4379</v>
      </c>
    </row>
    <row r="2161" spans="1:16">
      <c r="A2161" s="4">
        <v>46248.771215277775</v>
      </c>
      <c r="B2161" s="2" t="s">
        <v>1508</v>
      </c>
      <c r="C2161" s="2" t="s">
        <v>1135</v>
      </c>
      <c r="D2161" s="2" t="s">
        <v>496</v>
      </c>
      <c r="E2161" s="2">
        <v>80</v>
      </c>
      <c r="F2161" s="2"/>
      <c r="G2161" s="2">
        <v>80</v>
      </c>
      <c r="H2161" s="2" t="s">
        <v>935</v>
      </c>
      <c r="I2161" s="2" t="s">
        <v>695</v>
      </c>
      <c r="J2161" s="2" t="s">
        <v>2537</v>
      </c>
      <c r="K2161" s="2" t="s">
        <v>1855</v>
      </c>
      <c r="L2161" s="2" t="s">
        <v>4344</v>
      </c>
      <c r="M2161" s="2" t="str">
        <f t="shared" si="36"/>
        <v>06</v>
      </c>
      <c r="N2161" s="2" t="s">
        <v>1160</v>
      </c>
      <c r="O2161" s="2" t="s">
        <v>4373</v>
      </c>
      <c r="P2161" s="2" t="s">
        <v>4379</v>
      </c>
    </row>
    <row r="2162" spans="1:16">
      <c r="A2162" s="4">
        <v>46248.770694444444</v>
      </c>
      <c r="B2162" s="2" t="s">
        <v>863</v>
      </c>
      <c r="C2162" s="2" t="s">
        <v>1135</v>
      </c>
      <c r="D2162" s="2" t="s">
        <v>496</v>
      </c>
      <c r="E2162" s="2">
        <v>80</v>
      </c>
      <c r="F2162" s="2"/>
      <c r="G2162" s="2">
        <v>80</v>
      </c>
      <c r="H2162" s="2" t="s">
        <v>935</v>
      </c>
      <c r="I2162" s="2" t="s">
        <v>695</v>
      </c>
      <c r="J2162" s="2" t="s">
        <v>2537</v>
      </c>
      <c r="K2162" s="2" t="s">
        <v>1855</v>
      </c>
      <c r="L2162" s="2" t="s">
        <v>4344</v>
      </c>
      <c r="M2162" s="2" t="str">
        <f t="shared" si="36"/>
        <v>06</v>
      </c>
      <c r="N2162" s="2" t="s">
        <v>1478</v>
      </c>
      <c r="O2162" s="2" t="s">
        <v>4373</v>
      </c>
      <c r="P2162" s="2" t="s">
        <v>4379</v>
      </c>
    </row>
    <row r="2163" spans="1:16">
      <c r="A2163" s="4">
        <v>46248.770648148151</v>
      </c>
      <c r="B2163" s="2" t="s">
        <v>2266</v>
      </c>
      <c r="C2163" s="2" t="s">
        <v>1135</v>
      </c>
      <c r="D2163" s="2" t="s">
        <v>496</v>
      </c>
      <c r="E2163" s="2">
        <v>80</v>
      </c>
      <c r="F2163" s="2"/>
      <c r="G2163" s="2">
        <v>80</v>
      </c>
      <c r="H2163" s="2" t="s">
        <v>935</v>
      </c>
      <c r="I2163" s="2" t="s">
        <v>695</v>
      </c>
      <c r="J2163" s="2" t="s">
        <v>2537</v>
      </c>
      <c r="K2163" s="2" t="s">
        <v>1855</v>
      </c>
      <c r="L2163" s="2" t="s">
        <v>4344</v>
      </c>
      <c r="M2163" s="2" t="str">
        <f t="shared" si="36"/>
        <v>06</v>
      </c>
      <c r="N2163" s="2" t="s">
        <v>1290</v>
      </c>
      <c r="O2163" s="2" t="s">
        <v>4373</v>
      </c>
      <c r="P2163" s="2" t="s">
        <v>4379</v>
      </c>
    </row>
    <row r="2164" spans="1:16">
      <c r="A2164" s="4">
        <v>46248.765810185185</v>
      </c>
      <c r="B2164" s="2" t="s">
        <v>150</v>
      </c>
      <c r="C2164" s="2" t="s">
        <v>1135</v>
      </c>
      <c r="D2164" s="2" t="s">
        <v>496</v>
      </c>
      <c r="E2164" s="2">
        <v>80</v>
      </c>
      <c r="F2164" s="2"/>
      <c r="G2164" s="2">
        <v>80</v>
      </c>
      <c r="H2164" s="2" t="s">
        <v>935</v>
      </c>
      <c r="I2164" s="2" t="s">
        <v>695</v>
      </c>
      <c r="J2164" s="2" t="s">
        <v>2537</v>
      </c>
      <c r="K2164" s="2" t="s">
        <v>1855</v>
      </c>
      <c r="L2164" s="2" t="s">
        <v>4344</v>
      </c>
      <c r="M2164" s="2" t="str">
        <f t="shared" si="36"/>
        <v>06</v>
      </c>
      <c r="N2164" s="2" t="s">
        <v>3253</v>
      </c>
      <c r="O2164" s="2" t="s">
        <v>4373</v>
      </c>
      <c r="P2164" s="2" t="s">
        <v>4379</v>
      </c>
    </row>
    <row r="2165" spans="1:16">
      <c r="A2165" s="4">
        <v>46248.765682870369</v>
      </c>
      <c r="B2165" s="2" t="s">
        <v>4252</v>
      </c>
      <c r="C2165" s="2" t="s">
        <v>1135</v>
      </c>
      <c r="D2165" s="2" t="s">
        <v>496</v>
      </c>
      <c r="E2165" s="2">
        <v>80</v>
      </c>
      <c r="F2165" s="2"/>
      <c r="G2165" s="2">
        <v>80</v>
      </c>
      <c r="H2165" s="2" t="s">
        <v>935</v>
      </c>
      <c r="I2165" s="2" t="s">
        <v>695</v>
      </c>
      <c r="J2165" s="2" t="s">
        <v>2537</v>
      </c>
      <c r="K2165" s="2" t="s">
        <v>1855</v>
      </c>
      <c r="L2165" s="2" t="s">
        <v>4344</v>
      </c>
      <c r="M2165" s="2" t="str">
        <f t="shared" si="36"/>
        <v>06</v>
      </c>
      <c r="N2165" s="2" t="s">
        <v>574</v>
      </c>
      <c r="O2165" s="2" t="s">
        <v>4373</v>
      </c>
      <c r="P2165" s="2" t="s">
        <v>4379</v>
      </c>
    </row>
    <row r="2166" spans="1:16">
      <c r="A2166" s="4">
        <v>46248.76295138889</v>
      </c>
      <c r="B2166" s="2" t="s">
        <v>3070</v>
      </c>
      <c r="C2166" s="2" t="s">
        <v>1135</v>
      </c>
      <c r="D2166" s="2" t="s">
        <v>496</v>
      </c>
      <c r="E2166" s="2">
        <v>80</v>
      </c>
      <c r="F2166" s="2"/>
      <c r="G2166" s="2">
        <v>80</v>
      </c>
      <c r="H2166" s="2" t="s">
        <v>935</v>
      </c>
      <c r="I2166" s="2" t="s">
        <v>695</v>
      </c>
      <c r="J2166" s="2" t="s">
        <v>2537</v>
      </c>
      <c r="K2166" s="2" t="s">
        <v>1855</v>
      </c>
      <c r="L2166" s="2" t="s">
        <v>4344</v>
      </c>
      <c r="M2166" s="2" t="str">
        <f t="shared" si="36"/>
        <v>06</v>
      </c>
      <c r="N2166" s="2" t="s">
        <v>3641</v>
      </c>
      <c r="O2166" s="2" t="s">
        <v>4373</v>
      </c>
      <c r="P2166" s="2" t="s">
        <v>4379</v>
      </c>
    </row>
    <row r="2167" spans="1:16">
      <c r="A2167" s="4">
        <v>46248.762430555558</v>
      </c>
      <c r="B2167" s="2" t="s">
        <v>3456</v>
      </c>
      <c r="C2167" s="2" t="s">
        <v>1135</v>
      </c>
      <c r="D2167" s="2" t="s">
        <v>496</v>
      </c>
      <c r="E2167" s="2">
        <v>80</v>
      </c>
      <c r="F2167" s="2"/>
      <c r="G2167" s="2">
        <v>80</v>
      </c>
      <c r="H2167" s="2" t="s">
        <v>935</v>
      </c>
      <c r="I2167" s="2" t="s">
        <v>695</v>
      </c>
      <c r="J2167" s="2" t="s">
        <v>2537</v>
      </c>
      <c r="K2167" s="2" t="s">
        <v>1855</v>
      </c>
      <c r="L2167" s="2" t="s">
        <v>4344</v>
      </c>
      <c r="M2167" s="2" t="str">
        <f t="shared" si="36"/>
        <v>06</v>
      </c>
      <c r="N2167" s="2" t="s">
        <v>766</v>
      </c>
      <c r="O2167" s="2" t="s">
        <v>4373</v>
      </c>
      <c r="P2167" s="2" t="s">
        <v>4379</v>
      </c>
    </row>
    <row r="2168" spans="1:16">
      <c r="A2168" s="4">
        <v>46248.76121527778</v>
      </c>
      <c r="B2168" s="2" t="s">
        <v>2431</v>
      </c>
      <c r="C2168" s="2" t="s">
        <v>1135</v>
      </c>
      <c r="D2168" s="2" t="s">
        <v>496</v>
      </c>
      <c r="E2168" s="2">
        <v>80</v>
      </c>
      <c r="F2168" s="2"/>
      <c r="G2168" s="2">
        <v>80</v>
      </c>
      <c r="H2168" s="2" t="s">
        <v>935</v>
      </c>
      <c r="I2168" s="2" t="s">
        <v>695</v>
      </c>
      <c r="J2168" s="2" t="s">
        <v>2537</v>
      </c>
      <c r="K2168" s="2" t="s">
        <v>1855</v>
      </c>
      <c r="L2168" s="2" t="s">
        <v>4344</v>
      </c>
      <c r="M2168" s="2" t="str">
        <f t="shared" si="36"/>
        <v>06</v>
      </c>
      <c r="N2168" s="2" t="s">
        <v>3295</v>
      </c>
      <c r="O2168" s="2" t="s">
        <v>4373</v>
      </c>
      <c r="P2168" s="2" t="s">
        <v>4379</v>
      </c>
    </row>
    <row r="2169" spans="1:16">
      <c r="A2169" s="4">
        <v>46248.760925925926</v>
      </c>
      <c r="B2169" s="2" t="s">
        <v>1423</v>
      </c>
      <c r="C2169" s="2" t="s">
        <v>1135</v>
      </c>
      <c r="D2169" s="2" t="s">
        <v>496</v>
      </c>
      <c r="E2169" s="2">
        <v>80</v>
      </c>
      <c r="F2169" s="2"/>
      <c r="G2169" s="2">
        <v>80</v>
      </c>
      <c r="H2169" s="2" t="s">
        <v>935</v>
      </c>
      <c r="I2169" s="2" t="s">
        <v>695</v>
      </c>
      <c r="J2169" s="2" t="s">
        <v>2537</v>
      </c>
      <c r="K2169" s="2" t="s">
        <v>1855</v>
      </c>
      <c r="L2169" s="2" t="s">
        <v>4344</v>
      </c>
      <c r="M2169" s="2" t="str">
        <f t="shared" si="36"/>
        <v>06</v>
      </c>
      <c r="N2169" s="2" t="s">
        <v>353</v>
      </c>
      <c r="O2169" s="2" t="s">
        <v>4373</v>
      </c>
      <c r="P2169" s="2" t="s">
        <v>4379</v>
      </c>
    </row>
    <row r="2170" spans="1:16">
      <c r="A2170" s="4">
        <v>46247.910208333335</v>
      </c>
      <c r="B2170" s="2" t="s">
        <v>3388</v>
      </c>
      <c r="C2170" s="2" t="s">
        <v>1135</v>
      </c>
      <c r="D2170" s="2" t="s">
        <v>496</v>
      </c>
      <c r="E2170" s="2">
        <v>80</v>
      </c>
      <c r="F2170" s="2"/>
      <c r="G2170" s="2">
        <v>80</v>
      </c>
      <c r="H2170" s="2" t="s">
        <v>935</v>
      </c>
      <c r="I2170" s="2" t="s">
        <v>695</v>
      </c>
      <c r="J2170" s="2" t="s">
        <v>2537</v>
      </c>
      <c r="K2170" s="2" t="s">
        <v>1855</v>
      </c>
      <c r="L2170" s="2" t="s">
        <v>3386</v>
      </c>
      <c r="M2170" s="2" t="str">
        <f t="shared" si="36"/>
        <v>13</v>
      </c>
      <c r="N2170" s="2" t="s">
        <v>2201</v>
      </c>
      <c r="O2170" s="2" t="s">
        <v>4373</v>
      </c>
      <c r="P2170" s="2" t="s">
        <v>4380</v>
      </c>
    </row>
    <row r="2171" spans="1:16">
      <c r="A2171" s="4">
        <v>46247.909351851849</v>
      </c>
      <c r="B2171" s="2" t="s">
        <v>942</v>
      </c>
      <c r="C2171" s="2" t="s">
        <v>1135</v>
      </c>
      <c r="D2171" s="2" t="s">
        <v>496</v>
      </c>
      <c r="E2171" s="2">
        <v>80</v>
      </c>
      <c r="F2171" s="2"/>
      <c r="G2171" s="2">
        <v>80</v>
      </c>
      <c r="H2171" s="2" t="s">
        <v>935</v>
      </c>
      <c r="I2171" s="2" t="s">
        <v>695</v>
      </c>
      <c r="J2171" s="2" t="s">
        <v>2537</v>
      </c>
      <c r="K2171" s="2" t="s">
        <v>1855</v>
      </c>
      <c r="L2171" s="2" t="s">
        <v>3386</v>
      </c>
      <c r="M2171" s="2" t="str">
        <f t="shared" si="36"/>
        <v>13</v>
      </c>
      <c r="N2171" s="2" t="s">
        <v>454</v>
      </c>
      <c r="O2171" s="2" t="s">
        <v>4373</v>
      </c>
      <c r="P2171" s="2" t="s">
        <v>4380</v>
      </c>
    </row>
    <row r="2172" spans="1:16">
      <c r="A2172" s="4">
        <v>46247.909224537034</v>
      </c>
      <c r="B2172" s="2" t="s">
        <v>3928</v>
      </c>
      <c r="C2172" s="2" t="s">
        <v>1135</v>
      </c>
      <c r="D2172" s="2" t="s">
        <v>496</v>
      </c>
      <c r="E2172" s="2">
        <v>80</v>
      </c>
      <c r="F2172" s="2"/>
      <c r="G2172" s="2">
        <v>80</v>
      </c>
      <c r="H2172" s="2" t="s">
        <v>935</v>
      </c>
      <c r="I2172" s="2" t="s">
        <v>695</v>
      </c>
      <c r="J2172" s="2" t="s">
        <v>2537</v>
      </c>
      <c r="K2172" s="2" t="s">
        <v>1855</v>
      </c>
      <c r="L2172" s="2" t="s">
        <v>3386</v>
      </c>
      <c r="M2172" s="2" t="str">
        <f t="shared" si="36"/>
        <v>13</v>
      </c>
      <c r="N2172" s="2" t="s">
        <v>3673</v>
      </c>
      <c r="O2172" s="2" t="s">
        <v>4373</v>
      </c>
      <c r="P2172" s="2" t="s">
        <v>4380</v>
      </c>
    </row>
    <row r="2173" spans="1:16">
      <c r="A2173" s="4">
        <v>46247.907511574071</v>
      </c>
      <c r="B2173" s="2" t="s">
        <v>1608</v>
      </c>
      <c r="C2173" s="2" t="s">
        <v>1135</v>
      </c>
      <c r="D2173" s="2" t="s">
        <v>496</v>
      </c>
      <c r="E2173" s="2">
        <v>80</v>
      </c>
      <c r="F2173" s="2"/>
      <c r="G2173" s="2">
        <v>80</v>
      </c>
      <c r="H2173" s="2" t="s">
        <v>935</v>
      </c>
      <c r="I2173" s="2" t="s">
        <v>695</v>
      </c>
      <c r="J2173" s="2" t="s">
        <v>2537</v>
      </c>
      <c r="K2173" s="2" t="s">
        <v>1855</v>
      </c>
      <c r="L2173" s="2" t="s">
        <v>3386</v>
      </c>
      <c r="M2173" s="2" t="str">
        <f t="shared" si="36"/>
        <v>13</v>
      </c>
      <c r="N2173" s="2" t="s">
        <v>3536</v>
      </c>
      <c r="O2173" s="2" t="s">
        <v>4373</v>
      </c>
      <c r="P2173" s="2" t="s">
        <v>4380</v>
      </c>
    </row>
    <row r="2174" spans="1:16">
      <c r="A2174" s="4">
        <v>46247.907418981478</v>
      </c>
      <c r="B2174" s="2" t="s">
        <v>2013</v>
      </c>
      <c r="C2174" s="2" t="s">
        <v>1135</v>
      </c>
      <c r="D2174" s="2" t="s">
        <v>496</v>
      </c>
      <c r="E2174" s="2">
        <v>80</v>
      </c>
      <c r="F2174" s="2"/>
      <c r="G2174" s="2">
        <v>80</v>
      </c>
      <c r="H2174" s="2" t="s">
        <v>935</v>
      </c>
      <c r="I2174" s="2" t="s">
        <v>695</v>
      </c>
      <c r="J2174" s="2" t="s">
        <v>2537</v>
      </c>
      <c r="K2174" s="2" t="s">
        <v>1855</v>
      </c>
      <c r="L2174" s="2" t="s">
        <v>3386</v>
      </c>
      <c r="M2174" s="2" t="str">
        <f t="shared" si="36"/>
        <v>13</v>
      </c>
      <c r="N2174" s="2" t="s">
        <v>80</v>
      </c>
      <c r="O2174" s="2" t="s">
        <v>4373</v>
      </c>
      <c r="P2174" s="2" t="s">
        <v>4380</v>
      </c>
    </row>
    <row r="2175" spans="1:16">
      <c r="A2175" s="4">
        <v>46247.905891203707</v>
      </c>
      <c r="B2175" s="2" t="s">
        <v>3294</v>
      </c>
      <c r="C2175" s="2" t="s">
        <v>1135</v>
      </c>
      <c r="D2175" s="2" t="s">
        <v>496</v>
      </c>
      <c r="E2175" s="2">
        <v>80</v>
      </c>
      <c r="F2175" s="2"/>
      <c r="G2175" s="2">
        <v>80</v>
      </c>
      <c r="H2175" s="2" t="s">
        <v>935</v>
      </c>
      <c r="I2175" s="2" t="s">
        <v>695</v>
      </c>
      <c r="J2175" s="2" t="s">
        <v>2537</v>
      </c>
      <c r="K2175" s="2" t="s">
        <v>1855</v>
      </c>
      <c r="L2175" s="2" t="s">
        <v>3386</v>
      </c>
      <c r="M2175" s="2" t="str">
        <f t="shared" si="36"/>
        <v>13</v>
      </c>
      <c r="N2175" s="2" t="s">
        <v>2594</v>
      </c>
      <c r="O2175" s="2" t="s">
        <v>4373</v>
      </c>
      <c r="P2175" s="2" t="s">
        <v>4380</v>
      </c>
    </row>
    <row r="2176" spans="1:16">
      <c r="A2176" s="4">
        <v>46247.905682870369</v>
      </c>
      <c r="B2176" s="2" t="s">
        <v>556</v>
      </c>
      <c r="C2176" s="2" t="s">
        <v>1135</v>
      </c>
      <c r="D2176" s="2" t="s">
        <v>496</v>
      </c>
      <c r="E2176" s="2">
        <v>80</v>
      </c>
      <c r="F2176" s="2"/>
      <c r="G2176" s="2">
        <v>80</v>
      </c>
      <c r="H2176" s="2" t="s">
        <v>935</v>
      </c>
      <c r="I2176" s="2" t="s">
        <v>695</v>
      </c>
      <c r="J2176" s="2" t="s">
        <v>2537</v>
      </c>
      <c r="K2176" s="2" t="s">
        <v>1855</v>
      </c>
      <c r="L2176" s="2" t="s">
        <v>3386</v>
      </c>
      <c r="M2176" s="2" t="str">
        <f t="shared" si="36"/>
        <v>13</v>
      </c>
      <c r="N2176" s="2" t="s">
        <v>1620</v>
      </c>
      <c r="O2176" s="2" t="s">
        <v>4373</v>
      </c>
      <c r="P2176" s="2" t="s">
        <v>4380</v>
      </c>
    </row>
    <row r="2177" spans="1:16">
      <c r="A2177" s="4">
        <v>46247.903680555559</v>
      </c>
      <c r="B2177" s="2" t="s">
        <v>1026</v>
      </c>
      <c r="C2177" s="2" t="s">
        <v>1135</v>
      </c>
      <c r="D2177" s="2" t="s">
        <v>496</v>
      </c>
      <c r="E2177" s="2">
        <v>80</v>
      </c>
      <c r="F2177" s="2"/>
      <c r="G2177" s="2">
        <v>80</v>
      </c>
      <c r="H2177" s="2" t="s">
        <v>935</v>
      </c>
      <c r="I2177" s="2" t="s">
        <v>695</v>
      </c>
      <c r="J2177" s="2" t="s">
        <v>2537</v>
      </c>
      <c r="K2177" s="2" t="s">
        <v>1855</v>
      </c>
      <c r="L2177" s="2" t="s">
        <v>3386</v>
      </c>
      <c r="M2177" s="2" t="str">
        <f t="shared" si="36"/>
        <v>13</v>
      </c>
      <c r="N2177" s="2" t="s">
        <v>4161</v>
      </c>
      <c r="O2177" s="2" t="s">
        <v>4373</v>
      </c>
      <c r="P2177" s="2" t="s">
        <v>4380</v>
      </c>
    </row>
    <row r="2178" spans="1:16">
      <c r="A2178" s="4">
        <v>46247.90320601852</v>
      </c>
      <c r="B2178" s="2" t="s">
        <v>4024</v>
      </c>
      <c r="C2178" s="2" t="s">
        <v>1135</v>
      </c>
      <c r="D2178" s="2" t="s">
        <v>496</v>
      </c>
      <c r="E2178" s="2">
        <v>80</v>
      </c>
      <c r="F2178" s="2"/>
      <c r="G2178" s="2">
        <v>80</v>
      </c>
      <c r="H2178" s="2" t="s">
        <v>935</v>
      </c>
      <c r="I2178" s="2" t="s">
        <v>695</v>
      </c>
      <c r="J2178" s="2" t="s">
        <v>2537</v>
      </c>
      <c r="K2178" s="2" t="s">
        <v>1855</v>
      </c>
      <c r="L2178" s="2" t="s">
        <v>3386</v>
      </c>
      <c r="M2178" s="2" t="str">
        <f t="shared" ref="M2178:M2217" si="37">RIGHT(L2178,2)</f>
        <v>13</v>
      </c>
      <c r="N2178" s="2" t="s">
        <v>2744</v>
      </c>
      <c r="O2178" s="2" t="s">
        <v>4373</v>
      </c>
      <c r="P2178" s="2" t="s">
        <v>4380</v>
      </c>
    </row>
    <row r="2179" spans="1:16">
      <c r="A2179" s="4">
        <v>46247.901296296295</v>
      </c>
      <c r="B2179" s="2" t="s">
        <v>152</v>
      </c>
      <c r="C2179" s="2" t="s">
        <v>1135</v>
      </c>
      <c r="D2179" s="2" t="s">
        <v>496</v>
      </c>
      <c r="E2179" s="2">
        <v>80</v>
      </c>
      <c r="F2179" s="2"/>
      <c r="G2179" s="2">
        <v>80</v>
      </c>
      <c r="H2179" s="2" t="s">
        <v>935</v>
      </c>
      <c r="I2179" s="2" t="s">
        <v>695</v>
      </c>
      <c r="J2179" s="2" t="s">
        <v>2537</v>
      </c>
      <c r="K2179" s="2" t="s">
        <v>1855</v>
      </c>
      <c r="L2179" s="2" t="s">
        <v>3386</v>
      </c>
      <c r="M2179" s="2" t="str">
        <f t="shared" si="37"/>
        <v>13</v>
      </c>
      <c r="N2179" s="2" t="s">
        <v>3303</v>
      </c>
      <c r="O2179" s="2" t="s">
        <v>4373</v>
      </c>
      <c r="P2179" s="2" t="s">
        <v>4380</v>
      </c>
    </row>
    <row r="2180" spans="1:16">
      <c r="A2180" s="4">
        <v>46247.901076388887</v>
      </c>
      <c r="B2180" s="2" t="s">
        <v>2883</v>
      </c>
      <c r="C2180" s="2" t="s">
        <v>1135</v>
      </c>
      <c r="D2180" s="2" t="s">
        <v>496</v>
      </c>
      <c r="E2180" s="2">
        <v>80</v>
      </c>
      <c r="F2180" s="2"/>
      <c r="G2180" s="2">
        <v>80</v>
      </c>
      <c r="H2180" s="2" t="s">
        <v>935</v>
      </c>
      <c r="I2180" s="2" t="s">
        <v>695</v>
      </c>
      <c r="J2180" s="2" t="s">
        <v>2537</v>
      </c>
      <c r="K2180" s="2" t="s">
        <v>1855</v>
      </c>
      <c r="L2180" s="2" t="s">
        <v>3386</v>
      </c>
      <c r="M2180" s="2" t="str">
        <f t="shared" si="37"/>
        <v>13</v>
      </c>
      <c r="N2180" s="2" t="s">
        <v>3754</v>
      </c>
      <c r="O2180" s="2" t="s">
        <v>4373</v>
      </c>
      <c r="P2180" s="2" t="s">
        <v>4380</v>
      </c>
    </row>
    <row r="2181" spans="1:16">
      <c r="A2181" s="4">
        <v>46247.9</v>
      </c>
      <c r="B2181" s="2" t="s">
        <v>4213</v>
      </c>
      <c r="C2181" s="2" t="s">
        <v>1135</v>
      </c>
      <c r="D2181" s="2" t="s">
        <v>496</v>
      </c>
      <c r="E2181" s="2">
        <v>80</v>
      </c>
      <c r="F2181" s="2"/>
      <c r="G2181" s="2">
        <v>80</v>
      </c>
      <c r="H2181" s="2" t="s">
        <v>935</v>
      </c>
      <c r="I2181" s="2" t="s">
        <v>695</v>
      </c>
      <c r="J2181" s="2" t="s">
        <v>2537</v>
      </c>
      <c r="K2181" s="2" t="s">
        <v>1855</v>
      </c>
      <c r="L2181" s="2" t="s">
        <v>3386</v>
      </c>
      <c r="M2181" s="2" t="str">
        <f t="shared" si="37"/>
        <v>13</v>
      </c>
      <c r="N2181" s="2" t="s">
        <v>1409</v>
      </c>
      <c r="O2181" s="2" t="s">
        <v>4373</v>
      </c>
      <c r="P2181" s="2" t="s">
        <v>4380</v>
      </c>
    </row>
    <row r="2182" spans="1:16">
      <c r="A2182" s="4">
        <v>46247.899722222224</v>
      </c>
      <c r="B2182" s="2" t="s">
        <v>3215</v>
      </c>
      <c r="C2182" s="2" t="s">
        <v>1135</v>
      </c>
      <c r="D2182" s="2" t="s">
        <v>496</v>
      </c>
      <c r="E2182" s="2">
        <v>80</v>
      </c>
      <c r="F2182" s="2"/>
      <c r="G2182" s="2">
        <v>80</v>
      </c>
      <c r="H2182" s="2" t="s">
        <v>935</v>
      </c>
      <c r="I2182" s="2" t="s">
        <v>695</v>
      </c>
      <c r="J2182" s="2" t="s">
        <v>2537</v>
      </c>
      <c r="K2182" s="2" t="s">
        <v>1855</v>
      </c>
      <c r="L2182" s="2" t="s">
        <v>3386</v>
      </c>
      <c r="M2182" s="2" t="str">
        <f t="shared" si="37"/>
        <v>13</v>
      </c>
      <c r="N2182" s="2" t="s">
        <v>3341</v>
      </c>
      <c r="O2182" s="2" t="s">
        <v>4373</v>
      </c>
      <c r="P2182" s="2" t="s">
        <v>4380</v>
      </c>
    </row>
    <row r="2183" spans="1:16">
      <c r="A2183" s="4">
        <v>46247.897546296299</v>
      </c>
      <c r="B2183" s="2" t="s">
        <v>570</v>
      </c>
      <c r="C2183" s="2" t="s">
        <v>1135</v>
      </c>
      <c r="D2183" s="2" t="s">
        <v>496</v>
      </c>
      <c r="E2183" s="2">
        <v>80</v>
      </c>
      <c r="F2183" s="2"/>
      <c r="G2183" s="2">
        <v>80</v>
      </c>
      <c r="H2183" s="2" t="s">
        <v>935</v>
      </c>
      <c r="I2183" s="2" t="s">
        <v>695</v>
      </c>
      <c r="J2183" s="2" t="s">
        <v>2537</v>
      </c>
      <c r="K2183" s="2" t="s">
        <v>1855</v>
      </c>
      <c r="L2183" s="2" t="s">
        <v>3386</v>
      </c>
      <c r="M2183" s="2" t="str">
        <f t="shared" si="37"/>
        <v>13</v>
      </c>
      <c r="N2183" s="2" t="s">
        <v>2392</v>
      </c>
      <c r="O2183" s="2" t="s">
        <v>4373</v>
      </c>
      <c r="P2183" s="2" t="s">
        <v>4380</v>
      </c>
    </row>
    <row r="2184" spans="1:16">
      <c r="A2184" s="4">
        <v>46247.897465277776</v>
      </c>
      <c r="B2184" s="2" t="s">
        <v>2178</v>
      </c>
      <c r="C2184" s="2" t="s">
        <v>1135</v>
      </c>
      <c r="D2184" s="2" t="s">
        <v>496</v>
      </c>
      <c r="E2184" s="2">
        <v>80</v>
      </c>
      <c r="F2184" s="2"/>
      <c r="G2184" s="2">
        <v>80</v>
      </c>
      <c r="H2184" s="2" t="s">
        <v>935</v>
      </c>
      <c r="I2184" s="2" t="s">
        <v>695</v>
      </c>
      <c r="J2184" s="2" t="s">
        <v>2537</v>
      </c>
      <c r="K2184" s="2" t="s">
        <v>1855</v>
      </c>
      <c r="L2184" s="2" t="s">
        <v>3386</v>
      </c>
      <c r="M2184" s="2" t="str">
        <f t="shared" si="37"/>
        <v>13</v>
      </c>
      <c r="N2184" s="2" t="s">
        <v>1690</v>
      </c>
      <c r="O2184" s="2" t="s">
        <v>4373</v>
      </c>
      <c r="P2184" s="2" t="s">
        <v>4380</v>
      </c>
    </row>
    <row r="2185" spans="1:16">
      <c r="A2185" s="4">
        <v>46247.895069444443</v>
      </c>
      <c r="B2185" s="2" t="s">
        <v>3898</v>
      </c>
      <c r="C2185" s="2" t="s">
        <v>1135</v>
      </c>
      <c r="D2185" s="2" t="s">
        <v>496</v>
      </c>
      <c r="E2185" s="2">
        <v>80</v>
      </c>
      <c r="F2185" s="2"/>
      <c r="G2185" s="2">
        <v>80</v>
      </c>
      <c r="H2185" s="2" t="s">
        <v>935</v>
      </c>
      <c r="I2185" s="2" t="s">
        <v>695</v>
      </c>
      <c r="J2185" s="2" t="s">
        <v>2537</v>
      </c>
      <c r="K2185" s="2" t="s">
        <v>1855</v>
      </c>
      <c r="L2185" s="2" t="s">
        <v>3386</v>
      </c>
      <c r="M2185" s="2" t="str">
        <f t="shared" si="37"/>
        <v>13</v>
      </c>
      <c r="N2185" s="2" t="s">
        <v>4283</v>
      </c>
      <c r="O2185" s="2" t="s">
        <v>4373</v>
      </c>
      <c r="P2185" s="2" t="s">
        <v>4380</v>
      </c>
    </row>
    <row r="2186" spans="1:16">
      <c r="A2186" s="4">
        <v>46247.894618055558</v>
      </c>
      <c r="B2186" s="2" t="s">
        <v>4368</v>
      </c>
      <c r="C2186" s="2" t="s">
        <v>1135</v>
      </c>
      <c r="D2186" s="2" t="s">
        <v>496</v>
      </c>
      <c r="E2186" s="2">
        <v>80</v>
      </c>
      <c r="F2186" s="2"/>
      <c r="G2186" s="2">
        <v>80</v>
      </c>
      <c r="H2186" s="2" t="s">
        <v>935</v>
      </c>
      <c r="I2186" s="2" t="s">
        <v>695</v>
      </c>
      <c r="J2186" s="2" t="s">
        <v>2537</v>
      </c>
      <c r="K2186" s="2" t="s">
        <v>1855</v>
      </c>
      <c r="L2186" s="2" t="s">
        <v>3386</v>
      </c>
      <c r="M2186" s="2" t="str">
        <f t="shared" si="37"/>
        <v>13</v>
      </c>
      <c r="N2186" s="2" t="s">
        <v>2508</v>
      </c>
      <c r="O2186" s="2" t="s">
        <v>4373</v>
      </c>
      <c r="P2186" s="2" t="s">
        <v>4380</v>
      </c>
    </row>
    <row r="2187" spans="1:16">
      <c r="A2187" s="4">
        <v>46247.89303240741</v>
      </c>
      <c r="B2187" s="2" t="s">
        <v>348</v>
      </c>
      <c r="C2187" s="2" t="s">
        <v>1135</v>
      </c>
      <c r="D2187" s="2" t="s">
        <v>496</v>
      </c>
      <c r="E2187" s="2">
        <v>80</v>
      </c>
      <c r="F2187" s="2"/>
      <c r="G2187" s="2">
        <v>80</v>
      </c>
      <c r="H2187" s="2" t="s">
        <v>935</v>
      </c>
      <c r="I2187" s="2" t="s">
        <v>695</v>
      </c>
      <c r="J2187" s="2" t="s">
        <v>2537</v>
      </c>
      <c r="K2187" s="2" t="s">
        <v>1855</v>
      </c>
      <c r="L2187" s="2" t="s">
        <v>3386</v>
      </c>
      <c r="M2187" s="2" t="str">
        <f t="shared" si="37"/>
        <v>13</v>
      </c>
      <c r="N2187" s="2" t="s">
        <v>545</v>
      </c>
      <c r="O2187" s="2" t="s">
        <v>4373</v>
      </c>
      <c r="P2187" s="2" t="s">
        <v>4380</v>
      </c>
    </row>
    <row r="2188" spans="1:16">
      <c r="A2188" s="4">
        <v>46247.892858796295</v>
      </c>
      <c r="B2188" s="2" t="s">
        <v>1079</v>
      </c>
      <c r="C2188" s="2" t="s">
        <v>1135</v>
      </c>
      <c r="D2188" s="2" t="s">
        <v>496</v>
      </c>
      <c r="E2188" s="2">
        <v>80</v>
      </c>
      <c r="F2188" s="2"/>
      <c r="G2188" s="2">
        <v>80</v>
      </c>
      <c r="H2188" s="2" t="s">
        <v>935</v>
      </c>
      <c r="I2188" s="2" t="s">
        <v>695</v>
      </c>
      <c r="J2188" s="2" t="s">
        <v>2537</v>
      </c>
      <c r="K2188" s="2" t="s">
        <v>1855</v>
      </c>
      <c r="L2188" s="2" t="s">
        <v>3386</v>
      </c>
      <c r="M2188" s="2" t="str">
        <f t="shared" si="37"/>
        <v>13</v>
      </c>
      <c r="N2188" s="2" t="s">
        <v>1748</v>
      </c>
      <c r="O2188" s="2" t="s">
        <v>4373</v>
      </c>
      <c r="P2188" s="2" t="s">
        <v>4380</v>
      </c>
    </row>
    <row r="2189" spans="1:16">
      <c r="A2189" s="4">
        <v>46247.8908912037</v>
      </c>
      <c r="B2189" s="2" t="s">
        <v>2675</v>
      </c>
      <c r="C2189" s="2" t="s">
        <v>1135</v>
      </c>
      <c r="D2189" s="2" t="s">
        <v>496</v>
      </c>
      <c r="E2189" s="2">
        <v>80</v>
      </c>
      <c r="F2189" s="2"/>
      <c r="G2189" s="2">
        <v>80</v>
      </c>
      <c r="H2189" s="2" t="s">
        <v>935</v>
      </c>
      <c r="I2189" s="2" t="s">
        <v>695</v>
      </c>
      <c r="J2189" s="2" t="s">
        <v>2537</v>
      </c>
      <c r="K2189" s="2" t="s">
        <v>1855</v>
      </c>
      <c r="L2189" s="2" t="s">
        <v>3386</v>
      </c>
      <c r="M2189" s="2" t="str">
        <f t="shared" si="37"/>
        <v>13</v>
      </c>
      <c r="N2189" s="2" t="s">
        <v>2155</v>
      </c>
      <c r="O2189" s="2" t="s">
        <v>4373</v>
      </c>
      <c r="P2189" s="2" t="s">
        <v>4380</v>
      </c>
    </row>
    <row r="2190" spans="1:16">
      <c r="A2190" s="4">
        <v>46247.890659722223</v>
      </c>
      <c r="B2190" s="2" t="s">
        <v>1140</v>
      </c>
      <c r="C2190" s="2" t="s">
        <v>1135</v>
      </c>
      <c r="D2190" s="2" t="s">
        <v>496</v>
      </c>
      <c r="E2190" s="2">
        <v>80</v>
      </c>
      <c r="F2190" s="2"/>
      <c r="G2190" s="2">
        <v>80</v>
      </c>
      <c r="H2190" s="2" t="s">
        <v>935</v>
      </c>
      <c r="I2190" s="2" t="s">
        <v>695</v>
      </c>
      <c r="J2190" s="2" t="s">
        <v>2537</v>
      </c>
      <c r="K2190" s="2" t="s">
        <v>1855</v>
      </c>
      <c r="L2190" s="2" t="s">
        <v>3386</v>
      </c>
      <c r="M2190" s="2" t="str">
        <f t="shared" si="37"/>
        <v>13</v>
      </c>
      <c r="N2190" s="2" t="s">
        <v>3042</v>
      </c>
      <c r="O2190" s="2" t="s">
        <v>4373</v>
      </c>
      <c r="P2190" s="2" t="s">
        <v>4380</v>
      </c>
    </row>
    <row r="2191" spans="1:16">
      <c r="A2191" s="4">
        <v>46247.888749999998</v>
      </c>
      <c r="B2191" s="2" t="s">
        <v>1919</v>
      </c>
      <c r="C2191" s="2" t="s">
        <v>1135</v>
      </c>
      <c r="D2191" s="2" t="s">
        <v>496</v>
      </c>
      <c r="E2191" s="2">
        <v>80</v>
      </c>
      <c r="F2191" s="2"/>
      <c r="G2191" s="2">
        <v>80</v>
      </c>
      <c r="H2191" s="2" t="s">
        <v>935</v>
      </c>
      <c r="I2191" s="2" t="s">
        <v>695</v>
      </c>
      <c r="J2191" s="2" t="s">
        <v>2537</v>
      </c>
      <c r="K2191" s="2" t="s">
        <v>1855</v>
      </c>
      <c r="L2191" s="2" t="s">
        <v>3386</v>
      </c>
      <c r="M2191" s="2" t="str">
        <f t="shared" si="37"/>
        <v>13</v>
      </c>
      <c r="N2191" s="2" t="s">
        <v>1842</v>
      </c>
      <c r="O2191" s="2" t="s">
        <v>4373</v>
      </c>
      <c r="P2191" s="2" t="s">
        <v>4380</v>
      </c>
    </row>
    <row r="2192" spans="1:16">
      <c r="A2192" s="4">
        <v>46247.888553240744</v>
      </c>
      <c r="B2192" s="2" t="s">
        <v>2626</v>
      </c>
      <c r="C2192" s="2" t="s">
        <v>1135</v>
      </c>
      <c r="D2192" s="2" t="s">
        <v>496</v>
      </c>
      <c r="E2192" s="2">
        <v>80</v>
      </c>
      <c r="F2192" s="2"/>
      <c r="G2192" s="2">
        <v>80</v>
      </c>
      <c r="H2192" s="2" t="s">
        <v>935</v>
      </c>
      <c r="I2192" s="2" t="s">
        <v>695</v>
      </c>
      <c r="J2192" s="2" t="s">
        <v>2537</v>
      </c>
      <c r="K2192" s="2" t="s">
        <v>1855</v>
      </c>
      <c r="L2192" s="2" t="s">
        <v>3386</v>
      </c>
      <c r="M2192" s="2" t="str">
        <f t="shared" si="37"/>
        <v>13</v>
      </c>
      <c r="N2192" s="2" t="s">
        <v>3697</v>
      </c>
      <c r="O2192" s="2" t="s">
        <v>4373</v>
      </c>
      <c r="P2192" s="2" t="s">
        <v>4380</v>
      </c>
    </row>
    <row r="2193" spans="1:16">
      <c r="A2193" s="4">
        <v>46247.886296296296</v>
      </c>
      <c r="B2193" s="2" t="s">
        <v>2646</v>
      </c>
      <c r="C2193" s="2" t="s">
        <v>1135</v>
      </c>
      <c r="D2193" s="2" t="s">
        <v>496</v>
      </c>
      <c r="E2193" s="2">
        <v>80</v>
      </c>
      <c r="F2193" s="2"/>
      <c r="G2193" s="2">
        <v>80</v>
      </c>
      <c r="H2193" s="2" t="s">
        <v>935</v>
      </c>
      <c r="I2193" s="2" t="s">
        <v>695</v>
      </c>
      <c r="J2193" s="2" t="s">
        <v>2537</v>
      </c>
      <c r="K2193" s="2" t="s">
        <v>1855</v>
      </c>
      <c r="L2193" s="2" t="s">
        <v>3386</v>
      </c>
      <c r="M2193" s="2" t="str">
        <f t="shared" si="37"/>
        <v>13</v>
      </c>
      <c r="N2193" s="2" t="s">
        <v>2711</v>
      </c>
      <c r="O2193" s="2" t="s">
        <v>4373</v>
      </c>
      <c r="P2193" s="2" t="s">
        <v>4380</v>
      </c>
    </row>
    <row r="2194" spans="1:16">
      <c r="A2194" s="4">
        <v>46245.036932870367</v>
      </c>
      <c r="B2194" s="2" t="s">
        <v>2894</v>
      </c>
      <c r="C2194" s="2" t="s">
        <v>1135</v>
      </c>
      <c r="D2194" s="2" t="s">
        <v>496</v>
      </c>
      <c r="E2194" s="2">
        <v>80</v>
      </c>
      <c r="F2194" s="2"/>
      <c r="G2194" s="2">
        <v>80</v>
      </c>
      <c r="H2194" s="2" t="s">
        <v>4097</v>
      </c>
      <c r="I2194" s="2" t="s">
        <v>695</v>
      </c>
      <c r="J2194" s="2" t="s">
        <v>2537</v>
      </c>
      <c r="K2194" s="2" t="s">
        <v>1855</v>
      </c>
      <c r="L2194" s="2" t="s">
        <v>2399</v>
      </c>
      <c r="M2194" s="2" t="str">
        <f t="shared" si="37"/>
        <v>05</v>
      </c>
      <c r="N2194" s="2" t="s">
        <v>3947</v>
      </c>
      <c r="O2194" s="2" t="s">
        <v>4373</v>
      </c>
      <c r="P2194" s="2" t="s">
        <v>4375</v>
      </c>
    </row>
    <row r="2195" spans="1:16">
      <c r="A2195" s="4">
        <v>46245.033773148149</v>
      </c>
      <c r="B2195" s="2" t="s">
        <v>2488</v>
      </c>
      <c r="C2195" s="2" t="s">
        <v>1135</v>
      </c>
      <c r="D2195" s="2" t="s">
        <v>496</v>
      </c>
      <c r="E2195" s="2">
        <v>80</v>
      </c>
      <c r="F2195" s="2"/>
      <c r="G2195" s="2">
        <v>80</v>
      </c>
      <c r="H2195" s="2" t="s">
        <v>4097</v>
      </c>
      <c r="I2195" s="2" t="s">
        <v>695</v>
      </c>
      <c r="J2195" s="2" t="s">
        <v>2537</v>
      </c>
      <c r="K2195" s="2" t="s">
        <v>1855</v>
      </c>
      <c r="L2195" s="2" t="s">
        <v>2399</v>
      </c>
      <c r="M2195" s="2" t="str">
        <f t="shared" si="37"/>
        <v>05</v>
      </c>
      <c r="N2195" s="2" t="s">
        <v>277</v>
      </c>
      <c r="O2195" s="2" t="s">
        <v>4373</v>
      </c>
      <c r="P2195" s="2" t="s">
        <v>4375</v>
      </c>
    </row>
    <row r="2196" spans="1:16">
      <c r="A2196" s="4">
        <v>46245.033761574072</v>
      </c>
      <c r="B2196" s="2" t="s">
        <v>795</v>
      </c>
      <c r="C2196" s="2" t="s">
        <v>1135</v>
      </c>
      <c r="D2196" s="2" t="s">
        <v>496</v>
      </c>
      <c r="E2196" s="2">
        <v>80</v>
      </c>
      <c r="F2196" s="2"/>
      <c r="G2196" s="2">
        <v>80</v>
      </c>
      <c r="H2196" s="2" t="s">
        <v>4097</v>
      </c>
      <c r="I2196" s="2" t="s">
        <v>695</v>
      </c>
      <c r="J2196" s="2" t="s">
        <v>2537</v>
      </c>
      <c r="K2196" s="2" t="s">
        <v>1855</v>
      </c>
      <c r="L2196" s="2" t="s">
        <v>2399</v>
      </c>
      <c r="M2196" s="2" t="str">
        <f t="shared" si="37"/>
        <v>05</v>
      </c>
      <c r="N2196" s="2" t="s">
        <v>4259</v>
      </c>
      <c r="O2196" s="2" t="s">
        <v>4373</v>
      </c>
      <c r="P2196" s="2" t="s">
        <v>4375</v>
      </c>
    </row>
    <row r="2197" spans="1:16">
      <c r="A2197" s="4">
        <v>46245.032384259262</v>
      </c>
      <c r="B2197" s="2" t="s">
        <v>1752</v>
      </c>
      <c r="C2197" s="2" t="s">
        <v>1135</v>
      </c>
      <c r="D2197" s="2" t="s">
        <v>496</v>
      </c>
      <c r="E2197" s="2">
        <v>80</v>
      </c>
      <c r="F2197" s="2"/>
      <c r="G2197" s="2">
        <v>80</v>
      </c>
      <c r="H2197" s="2" t="s">
        <v>4097</v>
      </c>
      <c r="I2197" s="2" t="s">
        <v>695</v>
      </c>
      <c r="J2197" s="2" t="s">
        <v>2537</v>
      </c>
      <c r="K2197" s="2" t="s">
        <v>1855</v>
      </c>
      <c r="L2197" s="2" t="s">
        <v>2399</v>
      </c>
      <c r="M2197" s="2" t="str">
        <f t="shared" si="37"/>
        <v>05</v>
      </c>
      <c r="N2197" s="2" t="s">
        <v>1637</v>
      </c>
      <c r="O2197" s="2" t="s">
        <v>4373</v>
      </c>
      <c r="P2197" s="2" t="s">
        <v>4375</v>
      </c>
    </row>
    <row r="2198" spans="1:16">
      <c r="A2198" s="4">
        <v>46245.032164351855</v>
      </c>
      <c r="B2198" s="2" t="s">
        <v>1469</v>
      </c>
      <c r="C2198" s="2" t="s">
        <v>1135</v>
      </c>
      <c r="D2198" s="2" t="s">
        <v>496</v>
      </c>
      <c r="E2198" s="2">
        <v>80</v>
      </c>
      <c r="F2198" s="2"/>
      <c r="G2198" s="2">
        <v>80</v>
      </c>
      <c r="H2198" s="2" t="s">
        <v>4097</v>
      </c>
      <c r="I2198" s="2" t="s">
        <v>695</v>
      </c>
      <c r="J2198" s="2" t="s">
        <v>2537</v>
      </c>
      <c r="K2198" s="2" t="s">
        <v>1855</v>
      </c>
      <c r="L2198" s="2" t="s">
        <v>2399</v>
      </c>
      <c r="M2198" s="2" t="str">
        <f t="shared" si="37"/>
        <v>05</v>
      </c>
      <c r="N2198" s="2" t="s">
        <v>1353</v>
      </c>
      <c r="O2198" s="2" t="s">
        <v>4373</v>
      </c>
      <c r="P2198" s="2" t="s">
        <v>4375</v>
      </c>
    </row>
    <row r="2199" spans="1:16">
      <c r="A2199" s="4">
        <v>46245.030555555553</v>
      </c>
      <c r="B2199" s="2" t="s">
        <v>2026</v>
      </c>
      <c r="C2199" s="2" t="s">
        <v>1135</v>
      </c>
      <c r="D2199" s="2" t="s">
        <v>496</v>
      </c>
      <c r="E2199" s="2">
        <v>80</v>
      </c>
      <c r="F2199" s="2"/>
      <c r="G2199" s="2">
        <v>80</v>
      </c>
      <c r="H2199" s="2" t="s">
        <v>4097</v>
      </c>
      <c r="I2199" s="2" t="s">
        <v>695</v>
      </c>
      <c r="J2199" s="2" t="s">
        <v>2537</v>
      </c>
      <c r="K2199" s="2" t="s">
        <v>1855</v>
      </c>
      <c r="L2199" s="2" t="s">
        <v>2399</v>
      </c>
      <c r="M2199" s="2" t="str">
        <f t="shared" si="37"/>
        <v>05</v>
      </c>
      <c r="N2199" s="2" t="s">
        <v>3222</v>
      </c>
      <c r="O2199" s="2" t="s">
        <v>4373</v>
      </c>
      <c r="P2199" s="2" t="s">
        <v>4375</v>
      </c>
    </row>
    <row r="2200" spans="1:16">
      <c r="A2200" s="4">
        <v>46245.030451388891</v>
      </c>
      <c r="B2200" s="2" t="s">
        <v>2045</v>
      </c>
      <c r="C2200" s="2" t="s">
        <v>1135</v>
      </c>
      <c r="D2200" s="2" t="s">
        <v>496</v>
      </c>
      <c r="E2200" s="2">
        <v>80</v>
      </c>
      <c r="F2200" s="2"/>
      <c r="G2200" s="2">
        <v>80</v>
      </c>
      <c r="H2200" s="2" t="s">
        <v>4097</v>
      </c>
      <c r="I2200" s="2" t="s">
        <v>695</v>
      </c>
      <c r="J2200" s="2" t="s">
        <v>2537</v>
      </c>
      <c r="K2200" s="2" t="s">
        <v>1855</v>
      </c>
      <c r="L2200" s="2" t="s">
        <v>2399</v>
      </c>
      <c r="M2200" s="2" t="str">
        <f t="shared" si="37"/>
        <v>05</v>
      </c>
      <c r="N2200" s="2" t="s">
        <v>634</v>
      </c>
      <c r="O2200" s="2" t="s">
        <v>4373</v>
      </c>
      <c r="P2200" s="2" t="s">
        <v>4375</v>
      </c>
    </row>
    <row r="2201" spans="1:16">
      <c r="A2201" s="4">
        <v>46245.029166666667</v>
      </c>
      <c r="B2201" s="2" t="s">
        <v>510</v>
      </c>
      <c r="C2201" s="2" t="s">
        <v>1135</v>
      </c>
      <c r="D2201" s="2" t="s">
        <v>496</v>
      </c>
      <c r="E2201" s="2">
        <v>80</v>
      </c>
      <c r="F2201" s="2"/>
      <c r="G2201" s="2">
        <v>80</v>
      </c>
      <c r="H2201" s="2" t="s">
        <v>4097</v>
      </c>
      <c r="I2201" s="2" t="s">
        <v>695</v>
      </c>
      <c r="J2201" s="2" t="s">
        <v>2537</v>
      </c>
      <c r="K2201" s="2" t="s">
        <v>1855</v>
      </c>
      <c r="L2201" s="2" t="s">
        <v>2399</v>
      </c>
      <c r="M2201" s="2" t="str">
        <f t="shared" si="37"/>
        <v>05</v>
      </c>
      <c r="N2201" s="2" t="s">
        <v>847</v>
      </c>
      <c r="O2201" s="2" t="s">
        <v>4373</v>
      </c>
      <c r="P2201" s="2" t="s">
        <v>4375</v>
      </c>
    </row>
    <row r="2202" spans="1:16">
      <c r="A2202" s="4">
        <v>46245.028645833336</v>
      </c>
      <c r="B2202" s="2" t="s">
        <v>4349</v>
      </c>
      <c r="C2202" s="2" t="s">
        <v>1135</v>
      </c>
      <c r="D2202" s="2" t="s">
        <v>496</v>
      </c>
      <c r="E2202" s="2">
        <v>80</v>
      </c>
      <c r="F2202" s="2"/>
      <c r="G2202" s="2">
        <v>80</v>
      </c>
      <c r="H2202" s="2" t="s">
        <v>4097</v>
      </c>
      <c r="I2202" s="2" t="s">
        <v>695</v>
      </c>
      <c r="J2202" s="2" t="s">
        <v>2537</v>
      </c>
      <c r="K2202" s="2" t="s">
        <v>1855</v>
      </c>
      <c r="L2202" s="2" t="s">
        <v>2399</v>
      </c>
      <c r="M2202" s="2" t="str">
        <f t="shared" si="37"/>
        <v>05</v>
      </c>
      <c r="N2202" s="2" t="s">
        <v>781</v>
      </c>
      <c r="O2202" s="2" t="s">
        <v>4373</v>
      </c>
      <c r="P2202" s="2" t="s">
        <v>4375</v>
      </c>
    </row>
    <row r="2203" spans="1:16">
      <c r="A2203" s="4">
        <v>46245.027013888888</v>
      </c>
      <c r="B2203" s="2" t="s">
        <v>3448</v>
      </c>
      <c r="C2203" s="2" t="s">
        <v>1135</v>
      </c>
      <c r="D2203" s="2" t="s">
        <v>496</v>
      </c>
      <c r="E2203" s="2">
        <v>80</v>
      </c>
      <c r="F2203" s="2"/>
      <c r="G2203" s="2">
        <v>80</v>
      </c>
      <c r="H2203" s="2" t="s">
        <v>4097</v>
      </c>
      <c r="I2203" s="2" t="s">
        <v>695</v>
      </c>
      <c r="J2203" s="2" t="s">
        <v>2537</v>
      </c>
      <c r="K2203" s="2" t="s">
        <v>1855</v>
      </c>
      <c r="L2203" s="2" t="s">
        <v>2399</v>
      </c>
      <c r="M2203" s="2" t="str">
        <f t="shared" si="37"/>
        <v>05</v>
      </c>
      <c r="N2203" s="2" t="s">
        <v>2086</v>
      </c>
      <c r="O2203" s="2" t="s">
        <v>4373</v>
      </c>
      <c r="P2203" s="2" t="s">
        <v>4375</v>
      </c>
    </row>
    <row r="2204" spans="1:16">
      <c r="A2204" s="4">
        <v>46245.026898148149</v>
      </c>
      <c r="B2204" s="2" t="s">
        <v>57</v>
      </c>
      <c r="C2204" s="2" t="s">
        <v>1135</v>
      </c>
      <c r="D2204" s="2" t="s">
        <v>496</v>
      </c>
      <c r="E2204" s="2">
        <v>80</v>
      </c>
      <c r="F2204" s="2"/>
      <c r="G2204" s="2">
        <v>80</v>
      </c>
      <c r="H2204" s="2" t="s">
        <v>4097</v>
      </c>
      <c r="I2204" s="2" t="s">
        <v>695</v>
      </c>
      <c r="J2204" s="2" t="s">
        <v>2537</v>
      </c>
      <c r="K2204" s="2" t="s">
        <v>1855</v>
      </c>
      <c r="L2204" s="2" t="s">
        <v>2399</v>
      </c>
      <c r="M2204" s="2" t="str">
        <f t="shared" si="37"/>
        <v>05</v>
      </c>
      <c r="N2204" s="2" t="s">
        <v>3852</v>
      </c>
      <c r="O2204" s="2" t="s">
        <v>4373</v>
      </c>
      <c r="P2204" s="2" t="s">
        <v>4375</v>
      </c>
    </row>
    <row r="2205" spans="1:16">
      <c r="A2205" s="4">
        <v>46245.025636574072</v>
      </c>
      <c r="B2205" s="2" t="s">
        <v>4242</v>
      </c>
      <c r="C2205" s="2" t="s">
        <v>1135</v>
      </c>
      <c r="D2205" s="2" t="s">
        <v>496</v>
      </c>
      <c r="E2205" s="2">
        <v>80</v>
      </c>
      <c r="F2205" s="2"/>
      <c r="G2205" s="2">
        <v>80</v>
      </c>
      <c r="H2205" s="2" t="s">
        <v>4097</v>
      </c>
      <c r="I2205" s="2" t="s">
        <v>695</v>
      </c>
      <c r="J2205" s="2" t="s">
        <v>2537</v>
      </c>
      <c r="K2205" s="2" t="s">
        <v>1855</v>
      </c>
      <c r="L2205" s="2" t="s">
        <v>2399</v>
      </c>
      <c r="M2205" s="2" t="str">
        <f t="shared" si="37"/>
        <v>05</v>
      </c>
      <c r="N2205" s="2" t="s">
        <v>1862</v>
      </c>
      <c r="O2205" s="2" t="s">
        <v>4373</v>
      </c>
      <c r="P2205" s="2" t="s">
        <v>4375</v>
      </c>
    </row>
    <row r="2206" spans="1:16">
      <c r="A2206" s="4">
        <v>46245.025497685187</v>
      </c>
      <c r="B2206" s="2" t="s">
        <v>1606</v>
      </c>
      <c r="C2206" s="2" t="s">
        <v>1135</v>
      </c>
      <c r="D2206" s="2" t="s">
        <v>496</v>
      </c>
      <c r="E2206" s="2">
        <v>80</v>
      </c>
      <c r="F2206" s="2"/>
      <c r="G2206" s="2">
        <v>80</v>
      </c>
      <c r="H2206" s="2" t="s">
        <v>4097</v>
      </c>
      <c r="I2206" s="2" t="s">
        <v>695</v>
      </c>
      <c r="J2206" s="2" t="s">
        <v>2537</v>
      </c>
      <c r="K2206" s="2" t="s">
        <v>1855</v>
      </c>
      <c r="L2206" s="2" t="s">
        <v>2399</v>
      </c>
      <c r="M2206" s="2" t="str">
        <f t="shared" si="37"/>
        <v>05</v>
      </c>
      <c r="N2206" s="2" t="s">
        <v>2804</v>
      </c>
      <c r="O2206" s="2" t="s">
        <v>4373</v>
      </c>
      <c r="P2206" s="2" t="s">
        <v>4375</v>
      </c>
    </row>
    <row r="2207" spans="1:16">
      <c r="A2207" s="4">
        <v>46245.024791666663</v>
      </c>
      <c r="B2207" s="2" t="s">
        <v>1907</v>
      </c>
      <c r="C2207" s="2" t="s">
        <v>1135</v>
      </c>
      <c r="D2207" s="2" t="s">
        <v>496</v>
      </c>
      <c r="E2207" s="2">
        <v>80</v>
      </c>
      <c r="F2207" s="2"/>
      <c r="G2207" s="2">
        <v>80</v>
      </c>
      <c r="H2207" s="2" t="s">
        <v>4097</v>
      </c>
      <c r="I2207" s="2" t="s">
        <v>695</v>
      </c>
      <c r="J2207" s="2" t="s">
        <v>2537</v>
      </c>
      <c r="K2207" s="2" t="s">
        <v>1855</v>
      </c>
      <c r="L2207" s="2" t="s">
        <v>2399</v>
      </c>
      <c r="M2207" s="2" t="str">
        <f t="shared" si="37"/>
        <v>05</v>
      </c>
      <c r="N2207" s="2" t="s">
        <v>250</v>
      </c>
      <c r="O2207" s="2" t="s">
        <v>4373</v>
      </c>
      <c r="P2207" s="2" t="s">
        <v>4375</v>
      </c>
    </row>
    <row r="2208" spans="1:16">
      <c r="A2208" s="4">
        <v>46245.024756944447</v>
      </c>
      <c r="B2208" s="2" t="s">
        <v>3325</v>
      </c>
      <c r="C2208" s="2" t="s">
        <v>1135</v>
      </c>
      <c r="D2208" s="2" t="s">
        <v>496</v>
      </c>
      <c r="E2208" s="2">
        <v>80</v>
      </c>
      <c r="F2208" s="2"/>
      <c r="G2208" s="2">
        <v>80</v>
      </c>
      <c r="H2208" s="2" t="s">
        <v>4097</v>
      </c>
      <c r="I2208" s="2" t="s">
        <v>695</v>
      </c>
      <c r="J2208" s="2" t="s">
        <v>2537</v>
      </c>
      <c r="K2208" s="2" t="s">
        <v>1855</v>
      </c>
      <c r="L2208" s="2" t="s">
        <v>2399</v>
      </c>
      <c r="M2208" s="2" t="str">
        <f t="shared" si="37"/>
        <v>05</v>
      </c>
      <c r="N2208" s="2" t="s">
        <v>2180</v>
      </c>
      <c r="O2208" s="2" t="s">
        <v>4373</v>
      </c>
      <c r="P2208" s="2" t="s">
        <v>4375</v>
      </c>
    </row>
    <row r="2209" spans="1:16">
      <c r="A2209" s="4">
        <v>46245.024351851855</v>
      </c>
      <c r="B2209" s="2" t="s">
        <v>3766</v>
      </c>
      <c r="C2209" s="2" t="s">
        <v>1135</v>
      </c>
      <c r="D2209" s="2" t="s">
        <v>496</v>
      </c>
      <c r="E2209" s="2">
        <v>80</v>
      </c>
      <c r="F2209" s="2"/>
      <c r="G2209" s="2">
        <v>80</v>
      </c>
      <c r="H2209" s="2" t="s">
        <v>4097</v>
      </c>
      <c r="I2209" s="2" t="s">
        <v>695</v>
      </c>
      <c r="J2209" s="2" t="s">
        <v>2537</v>
      </c>
      <c r="K2209" s="2" t="s">
        <v>1855</v>
      </c>
      <c r="L2209" s="2" t="s">
        <v>2399</v>
      </c>
      <c r="M2209" s="2" t="str">
        <f t="shared" si="37"/>
        <v>05</v>
      </c>
      <c r="N2209" s="2" t="s">
        <v>2785</v>
      </c>
      <c r="O2209" s="2" t="s">
        <v>4373</v>
      </c>
      <c r="P2209" s="2" t="s">
        <v>4375</v>
      </c>
    </row>
    <row r="2210" spans="1:16">
      <c r="A2210" s="4">
        <v>46245.024328703701</v>
      </c>
      <c r="B2210" s="2" t="s">
        <v>1149</v>
      </c>
      <c r="C2210" s="2" t="s">
        <v>1135</v>
      </c>
      <c r="D2210" s="2" t="s">
        <v>496</v>
      </c>
      <c r="E2210" s="2">
        <v>80</v>
      </c>
      <c r="F2210" s="2"/>
      <c r="G2210" s="2">
        <v>80</v>
      </c>
      <c r="H2210" s="2" t="s">
        <v>4097</v>
      </c>
      <c r="I2210" s="2" t="s">
        <v>695</v>
      </c>
      <c r="J2210" s="2" t="s">
        <v>2537</v>
      </c>
      <c r="K2210" s="2" t="s">
        <v>1855</v>
      </c>
      <c r="L2210" s="2" t="s">
        <v>2399</v>
      </c>
      <c r="M2210" s="2" t="str">
        <f t="shared" si="37"/>
        <v>05</v>
      </c>
      <c r="N2210" s="2" t="s">
        <v>1599</v>
      </c>
      <c r="O2210" s="2" t="s">
        <v>4373</v>
      </c>
      <c r="P2210" s="2" t="s">
        <v>4375</v>
      </c>
    </row>
    <row r="2211" spans="1:16">
      <c r="A2211" s="4">
        <v>46245.02076388889</v>
      </c>
      <c r="B2211" s="2" t="s">
        <v>2439</v>
      </c>
      <c r="C2211" s="2" t="s">
        <v>1135</v>
      </c>
      <c r="D2211" s="2" t="s">
        <v>496</v>
      </c>
      <c r="E2211" s="2">
        <v>80</v>
      </c>
      <c r="F2211" s="2"/>
      <c r="G2211" s="2">
        <v>80</v>
      </c>
      <c r="H2211" s="2" t="s">
        <v>4097</v>
      </c>
      <c r="I2211" s="2" t="s">
        <v>695</v>
      </c>
      <c r="J2211" s="2" t="s">
        <v>2537</v>
      </c>
      <c r="K2211" s="2" t="s">
        <v>1855</v>
      </c>
      <c r="L2211" s="2" t="s">
        <v>2399</v>
      </c>
      <c r="M2211" s="2" t="str">
        <f t="shared" si="37"/>
        <v>05</v>
      </c>
      <c r="N2211" s="2" t="s">
        <v>2369</v>
      </c>
      <c r="O2211" s="2" t="s">
        <v>4373</v>
      </c>
      <c r="P2211" s="2" t="s">
        <v>4375</v>
      </c>
    </row>
    <row r="2212" spans="1:16">
      <c r="A2212" s="4">
        <v>46245.02034722222</v>
      </c>
      <c r="B2212" s="2" t="s">
        <v>873</v>
      </c>
      <c r="C2212" s="2" t="s">
        <v>1135</v>
      </c>
      <c r="D2212" s="2" t="s">
        <v>496</v>
      </c>
      <c r="E2212" s="2">
        <v>80</v>
      </c>
      <c r="F2212" s="2"/>
      <c r="G2212" s="2">
        <v>80</v>
      </c>
      <c r="H2212" s="2" t="s">
        <v>4097</v>
      </c>
      <c r="I2212" s="2" t="s">
        <v>695</v>
      </c>
      <c r="J2212" s="2" t="s">
        <v>2537</v>
      </c>
      <c r="K2212" s="2" t="s">
        <v>1855</v>
      </c>
      <c r="L2212" s="2" t="s">
        <v>2399</v>
      </c>
      <c r="M2212" s="2" t="str">
        <f t="shared" si="37"/>
        <v>05</v>
      </c>
      <c r="N2212" s="2" t="s">
        <v>3304</v>
      </c>
      <c r="O2212" s="2" t="s">
        <v>4373</v>
      </c>
      <c r="P2212" s="2" t="s">
        <v>4375</v>
      </c>
    </row>
    <row r="2213" spans="1:16">
      <c r="A2213" s="4">
        <v>46245.018657407411</v>
      </c>
      <c r="B2213" s="2" t="s">
        <v>1207</v>
      </c>
      <c r="C2213" s="2" t="s">
        <v>1135</v>
      </c>
      <c r="D2213" s="2" t="s">
        <v>496</v>
      </c>
      <c r="E2213" s="2">
        <v>80</v>
      </c>
      <c r="F2213" s="2"/>
      <c r="G2213" s="2">
        <v>80</v>
      </c>
      <c r="H2213" s="2" t="s">
        <v>4097</v>
      </c>
      <c r="I2213" s="2" t="s">
        <v>695</v>
      </c>
      <c r="J2213" s="2" t="s">
        <v>2537</v>
      </c>
      <c r="K2213" s="2" t="s">
        <v>1855</v>
      </c>
      <c r="L2213" s="2" t="s">
        <v>2399</v>
      </c>
      <c r="M2213" s="2" t="str">
        <f t="shared" si="37"/>
        <v>05</v>
      </c>
      <c r="N2213" s="2" t="s">
        <v>146</v>
      </c>
      <c r="O2213" s="2" t="s">
        <v>4373</v>
      </c>
      <c r="P2213" s="2" t="s">
        <v>4375</v>
      </c>
    </row>
    <row r="2214" spans="1:16">
      <c r="A2214" s="4">
        <v>46245.01840277778</v>
      </c>
      <c r="B2214" s="2" t="s">
        <v>2312</v>
      </c>
      <c r="C2214" s="2" t="s">
        <v>1135</v>
      </c>
      <c r="D2214" s="2" t="s">
        <v>496</v>
      </c>
      <c r="E2214" s="2">
        <v>80</v>
      </c>
      <c r="F2214" s="2"/>
      <c r="G2214" s="2">
        <v>80</v>
      </c>
      <c r="H2214" s="2" t="s">
        <v>4097</v>
      </c>
      <c r="I2214" s="2" t="s">
        <v>695</v>
      </c>
      <c r="J2214" s="2" t="s">
        <v>2537</v>
      </c>
      <c r="K2214" s="2" t="s">
        <v>1855</v>
      </c>
      <c r="L2214" s="2" t="s">
        <v>2399</v>
      </c>
      <c r="M2214" s="2" t="str">
        <f t="shared" si="37"/>
        <v>05</v>
      </c>
      <c r="N2214" s="2" t="s">
        <v>2909</v>
      </c>
      <c r="O2214" s="2" t="s">
        <v>4373</v>
      </c>
      <c r="P2214" s="2" t="s">
        <v>4375</v>
      </c>
    </row>
    <row r="2215" spans="1:16">
      <c r="A2215" s="4">
        <v>46245.017187500001</v>
      </c>
      <c r="B2215" s="2" t="s">
        <v>3175</v>
      </c>
      <c r="C2215" s="2" t="s">
        <v>1135</v>
      </c>
      <c r="D2215" s="2" t="s">
        <v>496</v>
      </c>
      <c r="E2215" s="2">
        <v>80</v>
      </c>
      <c r="F2215" s="2"/>
      <c r="G2215" s="2">
        <v>80</v>
      </c>
      <c r="H2215" s="2" t="s">
        <v>4097</v>
      </c>
      <c r="I2215" s="2" t="s">
        <v>695</v>
      </c>
      <c r="J2215" s="2" t="s">
        <v>2537</v>
      </c>
      <c r="K2215" s="2" t="s">
        <v>1855</v>
      </c>
      <c r="L2215" s="2" t="s">
        <v>2399</v>
      </c>
      <c r="M2215" s="2" t="str">
        <f t="shared" si="37"/>
        <v>05</v>
      </c>
      <c r="N2215" s="2" t="s">
        <v>1330</v>
      </c>
      <c r="O2215" s="2" t="s">
        <v>4373</v>
      </c>
      <c r="P2215" s="2" t="s">
        <v>4375</v>
      </c>
    </row>
    <row r="2216" spans="1:16">
      <c r="A2216" s="4">
        <v>46245.016701388886</v>
      </c>
      <c r="B2216" s="2" t="s">
        <v>524</v>
      </c>
      <c r="C2216" s="2" t="s">
        <v>1135</v>
      </c>
      <c r="D2216" s="2" t="s">
        <v>496</v>
      </c>
      <c r="E2216" s="2">
        <v>80</v>
      </c>
      <c r="F2216" s="2"/>
      <c r="G2216" s="2">
        <v>80</v>
      </c>
      <c r="H2216" s="2" t="s">
        <v>4097</v>
      </c>
      <c r="I2216" s="2" t="s">
        <v>695</v>
      </c>
      <c r="J2216" s="2" t="s">
        <v>2537</v>
      </c>
      <c r="K2216" s="2" t="s">
        <v>1855</v>
      </c>
      <c r="L2216" s="2" t="s">
        <v>2399</v>
      </c>
      <c r="M2216" s="2" t="str">
        <f t="shared" si="37"/>
        <v>05</v>
      </c>
      <c r="N2216" s="2" t="s">
        <v>3245</v>
      </c>
      <c r="O2216" s="2" t="s">
        <v>4373</v>
      </c>
      <c r="P2216" s="2" t="s">
        <v>4375</v>
      </c>
    </row>
    <row r="2217" spans="1:16">
      <c r="A2217" s="4">
        <v>46245.016111111108</v>
      </c>
      <c r="B2217" s="2" t="s">
        <v>1499</v>
      </c>
      <c r="C2217" s="2" t="s">
        <v>1135</v>
      </c>
      <c r="D2217" s="2" t="s">
        <v>496</v>
      </c>
      <c r="E2217" s="2">
        <v>80</v>
      </c>
      <c r="F2217" s="2"/>
      <c r="G2217" s="2">
        <v>80</v>
      </c>
      <c r="H2217" s="2" t="s">
        <v>4097</v>
      </c>
      <c r="I2217" s="2" t="s">
        <v>695</v>
      </c>
      <c r="J2217" s="2" t="s">
        <v>2537</v>
      </c>
      <c r="K2217" s="2" t="s">
        <v>1855</v>
      </c>
      <c r="L2217" s="2" t="s">
        <v>2399</v>
      </c>
      <c r="M2217" s="2" t="str">
        <f t="shared" si="37"/>
        <v>05</v>
      </c>
      <c r="N2217" s="2" t="s">
        <v>2716</v>
      </c>
      <c r="O2217" s="2" t="s">
        <v>4373</v>
      </c>
      <c r="P2217" s="2" t="s">
        <v>4375</v>
      </c>
    </row>
  </sheetData>
  <autoFilter ref="A1:AB2217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SUMMARY</vt:lpstr>
      <vt:lpstr>상품별 작업시간</vt:lpstr>
      <vt:lpstr>Order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BGF</dc:creator>
  <cp:lastModifiedBy>BGF</cp:lastModifiedBy>
  <dcterms:created xsi:type="dcterms:W3CDTF">2026-08-21T02:23:28Z</dcterms:created>
  <dcterms:modified xsi:type="dcterms:W3CDTF">2026-09-23T10:32:16Z</dcterms:modified>
</cp:coreProperties>
</file>